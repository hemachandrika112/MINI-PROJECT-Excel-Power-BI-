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DF808AD4-B636-4DA2-BED2-BCC93A21A5DC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dummy" sheetId="1" r:id="rId1"/>
    <sheet name="data cleaning" sheetId="2" r:id="rId2"/>
    <sheet name="cleaned data" sheetId="4" r:id="rId3"/>
    <sheet name="pivot" sheetId="6" r:id="rId4"/>
  </sheets>
  <calcPr calcId="191029"/>
  <pivotCaches>
    <pivotCache cacheId="17" r:id="rId5"/>
    <pivotCache cacheId="23" r:id="rId6"/>
    <pivotCache cacheId="29" r:id="rId7"/>
    <pivotCache cacheId="41" r:id="rId8"/>
  </pivotCaches>
</workbook>
</file>

<file path=xl/calcChain.xml><?xml version="1.0" encoding="utf-8"?>
<calcChain xmlns="http://schemas.openxmlformats.org/spreadsheetml/2006/main">
  <c r="N68" i="4" l="1"/>
  <c r="N690" i="4"/>
  <c r="N116" i="4"/>
  <c r="N307" i="4"/>
  <c r="N532" i="4"/>
  <c r="N182" i="4"/>
  <c r="N642" i="4"/>
  <c r="N151" i="4"/>
  <c r="N204" i="4"/>
  <c r="N686" i="4"/>
  <c r="N309" i="4"/>
  <c r="N347" i="4"/>
  <c r="N310" i="4"/>
  <c r="N183" i="4"/>
  <c r="N103" i="4"/>
  <c r="N154" i="4"/>
  <c r="N114" i="4"/>
  <c r="N411" i="4"/>
  <c r="N134" i="4"/>
  <c r="N398" i="4"/>
  <c r="N743" i="4"/>
  <c r="N621" i="4"/>
  <c r="N211" i="4"/>
  <c r="N491" i="4"/>
  <c r="N340" i="4"/>
  <c r="N390" i="4"/>
  <c r="N249" i="4"/>
  <c r="N419" i="4"/>
  <c r="N188" i="4"/>
  <c r="N17" i="4"/>
  <c r="N738" i="4"/>
  <c r="N602" i="4"/>
  <c r="N636" i="4"/>
  <c r="N200" i="4"/>
  <c r="N481" i="4"/>
  <c r="N444" i="4"/>
  <c r="N118" i="4"/>
  <c r="N504" i="4"/>
  <c r="N14" i="4"/>
  <c r="N699" i="4"/>
  <c r="N520" i="4"/>
  <c r="N744" i="4"/>
  <c r="N674" i="4"/>
  <c r="N518" i="4"/>
  <c r="N325" i="4"/>
  <c r="N109" i="4"/>
  <c r="N463" i="4"/>
  <c r="N233" i="4"/>
  <c r="N634" i="4"/>
  <c r="N441" i="4"/>
  <c r="N212" i="4"/>
  <c r="N513" i="4"/>
  <c r="N170" i="4"/>
  <c r="N591" i="4"/>
  <c r="N442" i="4"/>
  <c r="N238" i="4"/>
  <c r="N479" i="4"/>
  <c r="N197" i="4"/>
  <c r="N198" i="4"/>
  <c r="N528" i="4"/>
  <c r="N422" i="4"/>
  <c r="N79" i="4"/>
  <c r="N219" i="4"/>
  <c r="N202" i="4"/>
  <c r="N724" i="4"/>
  <c r="N282" i="4"/>
  <c r="N43" i="4"/>
  <c r="N719" i="4"/>
  <c r="N49" i="4"/>
  <c r="N624" i="4"/>
  <c r="N137" i="4"/>
  <c r="N23" i="4"/>
  <c r="N8" i="4"/>
  <c r="N623" i="4"/>
  <c r="N3" i="4"/>
  <c r="N199" i="4"/>
  <c r="N81" i="4"/>
  <c r="N371" i="4"/>
  <c r="N330" i="4"/>
  <c r="N284" i="4"/>
  <c r="N289" i="4"/>
  <c r="N236" i="4"/>
  <c r="N514" i="4"/>
  <c r="N415" i="4"/>
  <c r="N45" i="4"/>
  <c r="N467" i="4"/>
  <c r="N497" i="4"/>
  <c r="N644" i="4"/>
  <c r="N541" i="4"/>
  <c r="N237" i="4"/>
  <c r="N673" i="4"/>
  <c r="N682" i="4"/>
  <c r="N506" i="4"/>
  <c r="N148" i="4"/>
  <c r="N539" i="4"/>
  <c r="N311" i="4"/>
  <c r="N160" i="4"/>
  <c r="N157" i="4"/>
  <c r="N590" i="4"/>
  <c r="N713" i="4"/>
  <c r="N254" i="4"/>
  <c r="N374" i="4"/>
  <c r="N386" i="4"/>
  <c r="N742" i="4"/>
  <c r="N97" i="4"/>
  <c r="N331" i="4"/>
  <c r="N416" i="4"/>
  <c r="N64" i="4"/>
  <c r="N714" i="4"/>
  <c r="N631" i="4"/>
  <c r="N141" i="4"/>
  <c r="N424" i="4"/>
  <c r="N343" i="4"/>
  <c r="N501" i="4"/>
  <c r="N65" i="4"/>
  <c r="N681" i="4"/>
  <c r="N716" i="4"/>
  <c r="N221" i="4"/>
  <c r="N244" i="4"/>
  <c r="N190" i="4"/>
  <c r="N604" i="4"/>
  <c r="N401" i="4"/>
  <c r="N147" i="4"/>
  <c r="N215" i="4"/>
  <c r="N50" i="4"/>
  <c r="N462" i="4"/>
  <c r="N208" i="4"/>
  <c r="N110" i="4"/>
  <c r="N184" i="4"/>
  <c r="N363" i="4"/>
  <c r="N445" i="4"/>
  <c r="N464" i="4"/>
  <c r="N484" i="4"/>
  <c r="N510" i="4"/>
  <c r="N662" i="4"/>
  <c r="N478" i="4"/>
  <c r="N41" i="4"/>
  <c r="N707" i="4"/>
  <c r="N535" i="4"/>
  <c r="N228" i="4"/>
  <c r="N164" i="4"/>
  <c r="N584" i="4"/>
  <c r="N12" i="4"/>
  <c r="N355" i="4"/>
  <c r="N308" i="4"/>
  <c r="N500" i="4"/>
  <c r="N617" i="4"/>
  <c r="N290" i="4"/>
  <c r="N473" i="4"/>
  <c r="N376" i="4"/>
  <c r="N100" i="4"/>
  <c r="N287" i="4"/>
  <c r="N721" i="4"/>
  <c r="N298" i="4"/>
  <c r="N59" i="4"/>
  <c r="N85" i="4"/>
  <c r="N95" i="4"/>
  <c r="N563" i="4"/>
  <c r="N511" i="4"/>
  <c r="N280" i="4"/>
  <c r="N606" i="4"/>
  <c r="N733" i="4"/>
  <c r="N332" i="4"/>
  <c r="N538" i="4"/>
  <c r="N732" i="4"/>
  <c r="N314" i="4"/>
  <c r="N607" i="4"/>
  <c r="N234" i="4"/>
  <c r="N639" i="4"/>
  <c r="N678" i="4"/>
  <c r="N486" i="4"/>
  <c r="N598" i="4"/>
  <c r="N697" i="4"/>
  <c r="N592" i="4"/>
  <c r="N276" i="4"/>
  <c r="N562" i="4"/>
  <c r="N646" i="4"/>
  <c r="N354" i="4"/>
  <c r="N400" i="4"/>
  <c r="N596" i="4"/>
  <c r="N569" i="4"/>
  <c r="N87" i="4"/>
  <c r="N435" i="4"/>
  <c r="N168" i="4"/>
  <c r="N28" i="4"/>
  <c r="N545" i="4"/>
  <c r="N74" i="4"/>
  <c r="N540" i="4"/>
  <c r="N389" i="4"/>
  <c r="N610" i="4"/>
  <c r="N32" i="4"/>
  <c r="N358" i="4"/>
  <c r="N286" i="4"/>
  <c r="N172" i="4"/>
  <c r="N150" i="4"/>
  <c r="N16" i="4"/>
  <c r="N611" i="4"/>
  <c r="N51" i="4"/>
  <c r="N709" i="4"/>
  <c r="N31" i="4"/>
  <c r="N322" i="4"/>
  <c r="N235" i="4"/>
  <c r="N503" i="4"/>
  <c r="N227" i="4"/>
  <c r="N603" i="4"/>
  <c r="N412" i="4"/>
  <c r="N600" i="4"/>
  <c r="N173" i="4"/>
  <c r="N267" i="4"/>
  <c r="N240" i="4"/>
  <c r="N216" i="4"/>
  <c r="N378" i="4"/>
  <c r="N39" i="4"/>
  <c r="N726" i="4"/>
  <c r="N536" i="4"/>
  <c r="N245" i="4"/>
  <c r="N18" i="4"/>
  <c r="N509" i="4"/>
  <c r="N320" i="4"/>
  <c r="N737" i="4"/>
  <c r="N637" i="4"/>
  <c r="N75" i="4"/>
  <c r="N88" i="4"/>
  <c r="N485" i="4"/>
  <c r="N407" i="4"/>
  <c r="N24" i="4"/>
  <c r="N178" i="4"/>
  <c r="N317" i="4"/>
  <c r="N741" i="4"/>
  <c r="N431" i="4"/>
  <c r="N342" i="4"/>
  <c r="N550" i="4"/>
  <c r="N7" i="4"/>
  <c r="N281" i="4"/>
  <c r="N275" i="4"/>
  <c r="N193" i="4"/>
  <c r="N482" i="4"/>
  <c r="N70" i="4"/>
  <c r="N288" i="4"/>
  <c r="N375" i="4"/>
  <c r="N534" i="4"/>
  <c r="N350" i="4"/>
  <c r="N613" i="4"/>
  <c r="N487" i="4"/>
  <c r="N171" i="4"/>
  <c r="N587" i="4"/>
  <c r="N338" i="4"/>
  <c r="N120" i="4"/>
  <c r="N670" i="4"/>
  <c r="N702" i="4"/>
  <c r="N83" i="4"/>
  <c r="N570" i="4"/>
  <c r="N366" i="4"/>
  <c r="N703" i="4"/>
  <c r="N96" i="4"/>
  <c r="N339" i="4"/>
  <c r="N577" i="4"/>
  <c r="N44" i="4"/>
  <c r="N104" i="4"/>
  <c r="N47" i="4"/>
  <c r="N9" i="4"/>
  <c r="N297" i="4"/>
  <c r="N615" i="4"/>
  <c r="N242" i="4"/>
  <c r="N145" i="4"/>
  <c r="N122" i="4"/>
  <c r="N667" i="4"/>
  <c r="N333" i="4"/>
  <c r="N605" i="4"/>
  <c r="N80" i="4"/>
  <c r="N192" i="4"/>
  <c r="N117" i="4"/>
  <c r="N98" i="4"/>
  <c r="N651" i="4"/>
  <c r="N304" i="4"/>
  <c r="N687" i="4"/>
  <c r="N270" i="4"/>
  <c r="N645" i="4"/>
  <c r="N465" i="4"/>
  <c r="N450" i="4"/>
  <c r="N499" i="4"/>
  <c r="N54" i="4"/>
  <c r="N71" i="4"/>
  <c r="N360" i="4"/>
  <c r="N144" i="4"/>
  <c r="N516" i="4"/>
  <c r="N77" i="4"/>
  <c r="N11" i="4"/>
  <c r="N261" i="4"/>
  <c r="N226" i="4"/>
  <c r="N530" i="4"/>
  <c r="N382" i="4"/>
  <c r="N695" i="4"/>
  <c r="N353" i="4"/>
  <c r="N285" i="4"/>
  <c r="N277" i="4"/>
  <c r="N384" i="4"/>
  <c r="N176" i="4"/>
  <c r="N705" i="4"/>
  <c r="N438" i="4"/>
  <c r="N313" i="4"/>
  <c r="N688" i="4"/>
  <c r="N746" i="4"/>
  <c r="N152" i="4"/>
  <c r="N581" i="4"/>
  <c r="N206" i="4"/>
  <c r="N278" i="4"/>
  <c r="N323" i="4"/>
  <c r="N635" i="4"/>
  <c r="N387" i="4"/>
  <c r="N599" i="4"/>
  <c r="N446" i="4"/>
  <c r="N652" i="4"/>
  <c r="N669" i="4"/>
  <c r="N576" i="4"/>
  <c r="N318" i="4"/>
  <c r="N519" i="4"/>
  <c r="N373" i="4"/>
  <c r="N620" i="4"/>
  <c r="N552" i="4"/>
  <c r="N708" i="4"/>
  <c r="N243" i="4"/>
  <c r="N268" i="4"/>
  <c r="N296" i="4"/>
  <c r="N377" i="4"/>
  <c r="N684" i="4"/>
  <c r="N2" i="4"/>
  <c r="N121" i="4"/>
  <c r="N469" i="4"/>
  <c r="N595" i="4"/>
  <c r="N413" i="4"/>
  <c r="N78" i="4"/>
  <c r="N728" i="4"/>
  <c r="N647" i="4"/>
  <c r="N531" i="4"/>
  <c r="N214" i="4"/>
  <c r="N185" i="4"/>
  <c r="N361" i="4"/>
  <c r="N452" i="4"/>
  <c r="N734" i="4"/>
  <c r="N402" i="4"/>
  <c r="N210" i="4"/>
  <c r="N303" i="4"/>
  <c r="N21" i="4"/>
  <c r="N488" i="4"/>
  <c r="N25" i="4"/>
  <c r="N629" i="4"/>
  <c r="N750" i="4"/>
  <c r="N222" i="4"/>
  <c r="N507" i="4"/>
  <c r="N302" i="4"/>
  <c r="N316" i="4"/>
  <c r="N589" i="4"/>
  <c r="N86" i="4"/>
  <c r="N586" i="4"/>
  <c r="N704" i="4"/>
  <c r="N474" i="4"/>
  <c r="N62" i="4"/>
  <c r="N82" i="4"/>
  <c r="N196" i="4"/>
  <c r="N443" i="4"/>
  <c r="N640" i="4"/>
  <c r="N627" i="4"/>
  <c r="N537" i="4"/>
  <c r="N175" i="4"/>
  <c r="N472" i="4"/>
  <c r="N440" i="4"/>
  <c r="N357" i="4"/>
  <c r="N73" i="4"/>
  <c r="N362" i="4"/>
  <c r="N396" i="4"/>
  <c r="N517" i="4"/>
  <c r="N327" i="4"/>
  <c r="N135" i="4"/>
  <c r="N573" i="4"/>
  <c r="N453" i="4"/>
  <c r="N525" i="4"/>
  <c r="N264" i="4"/>
  <c r="N476" i="4"/>
  <c r="N368" i="4"/>
  <c r="N337" i="4"/>
  <c r="N459" i="4"/>
  <c r="N55" i="4"/>
  <c r="N564" i="4"/>
  <c r="N329" i="4"/>
  <c r="N101" i="4"/>
  <c r="N248" i="4"/>
  <c r="N305" i="4"/>
  <c r="N52" i="4"/>
  <c r="N299" i="4"/>
  <c r="N335" i="4"/>
  <c r="N655" i="4"/>
  <c r="N594" i="4"/>
  <c r="N230" i="4"/>
  <c r="N247" i="4"/>
  <c r="N666" i="4"/>
  <c r="N177" i="4"/>
  <c r="N239" i="4"/>
  <c r="N722" i="4"/>
  <c r="N142" i="4"/>
  <c r="N461" i="4"/>
  <c r="N496" i="4"/>
  <c r="N209" i="4"/>
  <c r="N466" i="4"/>
  <c r="N246" i="4"/>
  <c r="N48" i="4"/>
  <c r="N295" i="4"/>
  <c r="N558" i="4"/>
  <c r="N725" i="4"/>
  <c r="N522" i="4"/>
  <c r="N698" i="4"/>
  <c r="N111" i="4"/>
  <c r="N356" i="4"/>
  <c r="N76" i="4"/>
  <c r="N257" i="4"/>
  <c r="N588" i="4"/>
  <c r="N661" i="4"/>
  <c r="N694" i="4"/>
  <c r="N420" i="4"/>
  <c r="N46" i="4"/>
  <c r="N115" i="4"/>
  <c r="N40" i="4"/>
  <c r="N430" i="4"/>
  <c r="N153" i="4"/>
  <c r="N437" i="4"/>
  <c r="N250" i="4"/>
  <c r="N614" i="4"/>
  <c r="N30" i="4"/>
  <c r="N90" i="4"/>
  <c r="N291" i="4"/>
  <c r="N657" i="4"/>
  <c r="N454" i="4"/>
  <c r="N364" i="4"/>
  <c r="N213" i="4"/>
  <c r="N715" i="4"/>
  <c r="N671" i="4"/>
  <c r="N37" i="4"/>
  <c r="N557" i="4"/>
  <c r="N163" i="4"/>
  <c r="N140" i="4"/>
  <c r="N679" i="4"/>
  <c r="N548" i="4"/>
  <c r="N417" i="4"/>
  <c r="N112" i="4"/>
  <c r="N626" i="4"/>
  <c r="N253" i="4"/>
  <c r="N67" i="4"/>
  <c r="N271" i="4"/>
  <c r="N224" i="4"/>
  <c r="N425" i="4"/>
  <c r="N108" i="4"/>
  <c r="N426" i="4"/>
  <c r="N292" i="4"/>
  <c r="N723" i="4"/>
  <c r="N608" i="4"/>
  <c r="N58" i="4"/>
  <c r="N456" i="4"/>
  <c r="N346" i="4"/>
  <c r="N218" i="4"/>
  <c r="N609" i="4"/>
  <c r="N460" i="4"/>
  <c r="N502" i="4"/>
  <c r="N751" i="4"/>
  <c r="N273" i="4"/>
  <c r="N229" i="4"/>
  <c r="N392" i="4"/>
  <c r="N660" i="4"/>
  <c r="N394" i="4"/>
  <c r="N130" i="4"/>
  <c r="N27" i="4"/>
  <c r="N174" i="4"/>
  <c r="N554" i="4"/>
  <c r="N658" i="4"/>
  <c r="N749" i="4"/>
  <c r="N107" i="4"/>
  <c r="N383" i="4"/>
  <c r="N189" i="4"/>
  <c r="N508" i="4"/>
  <c r="N194" i="4"/>
  <c r="N643" i="4"/>
  <c r="N717" i="4"/>
  <c r="N619" i="4"/>
  <c r="N512" i="4"/>
  <c r="N36" i="4"/>
  <c r="N458" i="4"/>
  <c r="N6" i="4"/>
  <c r="N349" i="4"/>
  <c r="N630" i="4"/>
  <c r="N580" i="4"/>
  <c r="N668" i="4"/>
  <c r="N225" i="4"/>
  <c r="N255" i="4"/>
  <c r="N26" i="4"/>
  <c r="N551" i="4"/>
  <c r="N632" i="4"/>
  <c r="N56" i="4"/>
  <c r="N93" i="4"/>
  <c r="N521" i="4"/>
  <c r="N231" i="4"/>
  <c r="N53" i="4"/>
  <c r="N523" i="4"/>
  <c r="N136" i="4"/>
  <c r="N165" i="4"/>
  <c r="N166" i="4"/>
  <c r="N638" i="4"/>
  <c r="N106" i="4"/>
  <c r="N468" i="4"/>
  <c r="N300" i="4"/>
  <c r="N89" i="4"/>
  <c r="N201" i="4"/>
  <c r="N155" i="4"/>
  <c r="N692" i="4"/>
  <c r="N696" i="4"/>
  <c r="N597" i="4"/>
  <c r="N712" i="4"/>
  <c r="N429" i="4"/>
  <c r="N747" i="4"/>
  <c r="N568" i="4"/>
  <c r="N99" i="4"/>
  <c r="N455" i="4"/>
  <c r="N547" i="4"/>
  <c r="N730" i="4"/>
  <c r="N448" i="4"/>
  <c r="N269" i="4"/>
  <c r="N380" i="4"/>
  <c r="N223" i="4"/>
  <c r="N433" i="4"/>
  <c r="N158" i="4"/>
  <c r="N351" i="4"/>
  <c r="N653" i="4"/>
  <c r="N490" i="4"/>
  <c r="N489" i="4"/>
  <c r="N131" i="4"/>
  <c r="N133" i="4"/>
  <c r="N480" i="4"/>
  <c r="N60" i="4"/>
  <c r="N572" i="4"/>
  <c r="N408" i="4"/>
  <c r="N149" i="4"/>
  <c r="N252" i="4"/>
  <c r="N217" i="4"/>
  <c r="N143" i="4"/>
  <c r="N274" i="4"/>
  <c r="N94" i="4"/>
  <c r="N352" i="4"/>
  <c r="N241" i="4"/>
  <c r="N359" i="4"/>
  <c r="N370" i="4"/>
  <c r="N159" i="4"/>
  <c r="N113" i="4"/>
  <c r="N556" i="4"/>
  <c r="N585" i="4"/>
  <c r="N262" i="4"/>
  <c r="N526" i="4"/>
  <c r="N533" i="4"/>
  <c r="N428" i="4"/>
  <c r="N649" i="4"/>
  <c r="N735" i="4"/>
  <c r="N180" i="4"/>
  <c r="N91" i="4"/>
  <c r="N105" i="4"/>
  <c r="N546" i="4"/>
  <c r="N345" i="4"/>
  <c r="N312" i="4"/>
  <c r="N555" i="4"/>
  <c r="N493" i="4"/>
  <c r="N612" i="4"/>
  <c r="N475" i="4"/>
  <c r="N372" i="4"/>
  <c r="N720" i="4"/>
  <c r="N35" i="4"/>
  <c r="N72" i="4"/>
  <c r="N279" i="4"/>
  <c r="N33" i="4"/>
  <c r="N427" i="4"/>
  <c r="N19" i="4"/>
  <c r="N648" i="4"/>
  <c r="N574" i="4"/>
  <c r="N365" i="4"/>
  <c r="N483" i="4"/>
  <c r="N397" i="4"/>
  <c r="N119" i="4"/>
  <c r="N399" i="4"/>
  <c r="N344" i="4"/>
  <c r="N57" i="4"/>
  <c r="N324" i="4"/>
  <c r="N69" i="4"/>
  <c r="N693" i="4"/>
  <c r="N414" i="4"/>
  <c r="N4" i="4"/>
  <c r="N181" i="4"/>
  <c r="N529" i="4"/>
  <c r="N665" i="4"/>
  <c r="N495" i="4"/>
  <c r="N10" i="4"/>
  <c r="N29" i="4"/>
  <c r="N207" i="4"/>
  <c r="N672" i="4"/>
  <c r="N66" i="4"/>
  <c r="N683" i="4"/>
  <c r="N84" i="4"/>
  <c r="N560" i="4"/>
  <c r="N5" i="4"/>
  <c r="N544" i="4"/>
  <c r="N505" i="4"/>
  <c r="N301" i="4"/>
  <c r="N447" i="4"/>
  <c r="N691" i="4"/>
  <c r="N575" i="4"/>
  <c r="N319" i="4"/>
  <c r="N421" i="4"/>
  <c r="N283" i="4"/>
  <c r="N515" i="4"/>
  <c r="N92" i="4"/>
  <c r="N418" i="4"/>
  <c r="N328" i="4"/>
  <c r="N125" i="4"/>
  <c r="N625" i="4"/>
  <c r="N34" i="4"/>
  <c r="N138" i="4"/>
  <c r="N315" i="4"/>
  <c r="N63" i="4"/>
  <c r="N132" i="4"/>
  <c r="N745" i="4"/>
  <c r="N470" i="4"/>
  <c r="N689" i="4"/>
  <c r="N739" i="4"/>
  <c r="N618" i="4"/>
  <c r="N139" i="4"/>
  <c r="N718" i="4"/>
  <c r="N593" i="4"/>
  <c r="N306" i="4"/>
  <c r="N492" i="4"/>
  <c r="N127" i="4"/>
  <c r="N259" i="4"/>
  <c r="N391" i="4"/>
  <c r="N260" i="4"/>
  <c r="N385" i="4"/>
  <c r="N61" i="4"/>
  <c r="N22" i="4"/>
  <c r="N641" i="4"/>
  <c r="N654" i="4"/>
  <c r="N42" i="4"/>
  <c r="N203" i="4"/>
  <c r="N393" i="4"/>
  <c r="N406" i="4"/>
  <c r="N161" i="4"/>
  <c r="N736" i="4"/>
  <c r="N436" i="4"/>
  <c r="N403" i="4"/>
  <c r="N432" i="4"/>
  <c r="N336" i="4"/>
  <c r="N740" i="4"/>
  <c r="N559" i="4"/>
  <c r="N566" i="4"/>
  <c r="N124" i="4"/>
  <c r="N567" i="4"/>
  <c r="N451" i="4"/>
  <c r="N156" i="4"/>
  <c r="N622" i="4"/>
  <c r="N579" i="4"/>
  <c r="N701" i="4"/>
  <c r="N543" i="4"/>
  <c r="N251" i="4"/>
  <c r="N731" i="4"/>
  <c r="N633" i="4"/>
  <c r="N565" i="4"/>
  <c r="N167" i="4"/>
  <c r="N20" i="4"/>
  <c r="N263" i="4"/>
  <c r="N404" i="4"/>
  <c r="N381" i="4"/>
  <c r="N38" i="4"/>
  <c r="N434" i="4"/>
  <c r="N582" i="4"/>
  <c r="N186" i="4"/>
  <c r="N102" i="4"/>
  <c r="N457" i="4"/>
  <c r="N700" i="4"/>
  <c r="N205" i="4"/>
  <c r="N191" i="4"/>
  <c r="N13" i="4"/>
  <c r="N561" i="4"/>
  <c r="N663" i="4"/>
  <c r="N321" i="4"/>
  <c r="N326" i="4"/>
  <c r="N405" i="4"/>
  <c r="N685" i="4"/>
  <c r="N388" i="4"/>
  <c r="N220" i="4"/>
  <c r="N601" i="4"/>
  <c r="N395" i="4"/>
  <c r="N293" i="4"/>
  <c r="N449" i="4"/>
  <c r="N553" i="4"/>
  <c r="N680" i="4"/>
  <c r="N266" i="4"/>
  <c r="N524" i="4"/>
  <c r="N272" i="4"/>
  <c r="N659" i="4"/>
  <c r="N571" i="4"/>
  <c r="N169" i="4"/>
  <c r="N369" i="4"/>
  <c r="N727" i="4"/>
  <c r="N650" i="4"/>
  <c r="N439" i="4"/>
  <c r="N494" i="4"/>
  <c r="N128" i="4"/>
  <c r="N583" i="4"/>
  <c r="N409" i="4"/>
  <c r="N232" i="4"/>
  <c r="N256" i="4"/>
  <c r="N146" i="4"/>
  <c r="N578" i="4"/>
  <c r="N498" i="4"/>
  <c r="N628" i="4"/>
  <c r="N265" i="4"/>
  <c r="N542" i="4"/>
  <c r="N410" i="4"/>
  <c r="N549" i="4"/>
  <c r="N367" i="4"/>
  <c r="N664" i="4"/>
  <c r="N179" i="4"/>
  <c r="N729" i="4"/>
  <c r="N710" i="4"/>
  <c r="N258" i="4"/>
  <c r="N677" i="4"/>
  <c r="N379" i="4"/>
  <c r="N675" i="4"/>
  <c r="N656" i="4"/>
  <c r="N162" i="4"/>
  <c r="N748" i="4"/>
  <c r="N334" i="4"/>
  <c r="N15" i="4"/>
  <c r="N423" i="4"/>
  <c r="N123" i="4"/>
  <c r="N129" i="4"/>
  <c r="N294" i="4"/>
  <c r="N126" i="4"/>
  <c r="N477" i="4"/>
  <c r="N706" i="4"/>
  <c r="N195" i="4"/>
  <c r="N616" i="4"/>
  <c r="N341" i="4"/>
  <c r="N471" i="4"/>
  <c r="N527" i="4"/>
  <c r="N676" i="4"/>
  <c r="N187" i="4"/>
  <c r="N348" i="4"/>
  <c r="N711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N28" i="2"/>
  <c r="N40" i="2"/>
  <c r="N73" i="2"/>
  <c r="N193" i="2"/>
  <c r="N256" i="2"/>
  <c r="N280" i="2"/>
  <c r="N324" i="2"/>
  <c r="N325" i="2"/>
  <c r="N373" i="2"/>
  <c r="N456" i="2"/>
  <c r="N480" i="2"/>
  <c r="N481" i="2"/>
  <c r="N484" i="2"/>
  <c r="N493" i="2"/>
  <c r="N544" i="2"/>
  <c r="N624" i="2"/>
  <c r="N696" i="2"/>
  <c r="N708" i="2"/>
  <c r="N709" i="2"/>
  <c r="N720" i="2"/>
  <c r="N760" i="2"/>
  <c r="O2" i="2"/>
  <c r="O3" i="2"/>
  <c r="O4" i="2"/>
  <c r="N4" i="2" s="1"/>
  <c r="O5" i="2"/>
  <c r="N5" i="2" s="1"/>
  <c r="O6" i="2"/>
  <c r="N6" i="2" s="1"/>
  <c r="O7" i="2"/>
  <c r="N7" i="2" s="1"/>
  <c r="O8" i="2"/>
  <c r="O9" i="2"/>
  <c r="O10" i="2"/>
  <c r="O11" i="2"/>
  <c r="O12" i="2"/>
  <c r="O13" i="2"/>
  <c r="O14" i="2"/>
  <c r="O15" i="2"/>
  <c r="O16" i="2"/>
  <c r="N16" i="2" s="1"/>
  <c r="O17" i="2"/>
  <c r="N17" i="2" s="1"/>
  <c r="O18" i="2"/>
  <c r="N18" i="2" s="1"/>
  <c r="O19" i="2"/>
  <c r="N19" i="2" s="1"/>
  <c r="O20" i="2"/>
  <c r="N20" i="2" s="1"/>
  <c r="O21" i="2"/>
  <c r="N21" i="2" s="1"/>
  <c r="O22" i="2"/>
  <c r="N22" i="2" s="1"/>
  <c r="O23" i="2"/>
  <c r="O24" i="2"/>
  <c r="O25" i="2"/>
  <c r="N25" i="2" s="1"/>
  <c r="O26" i="2"/>
  <c r="O27" i="2"/>
  <c r="O28" i="2"/>
  <c r="O29" i="2"/>
  <c r="N29" i="2" s="1"/>
  <c r="O30" i="2"/>
  <c r="N30" i="2" s="1"/>
  <c r="O31" i="2"/>
  <c r="O32" i="2"/>
  <c r="N32" i="2" s="1"/>
  <c r="O33" i="2"/>
  <c r="N33" i="2" s="1"/>
  <c r="O34" i="2"/>
  <c r="N34" i="2" s="1"/>
  <c r="O35" i="2"/>
  <c r="O36" i="2"/>
  <c r="O37" i="2"/>
  <c r="N37" i="2" s="1"/>
  <c r="O38" i="2"/>
  <c r="O39" i="2"/>
  <c r="O40" i="2"/>
  <c r="O41" i="2"/>
  <c r="N41" i="2" s="1"/>
  <c r="O42" i="2"/>
  <c r="N42" i="2" s="1"/>
  <c r="O43" i="2"/>
  <c r="N43" i="2" s="1"/>
  <c r="O44" i="2"/>
  <c r="O45" i="2"/>
  <c r="O46" i="2"/>
  <c r="O47" i="2"/>
  <c r="O48" i="2"/>
  <c r="O49" i="2"/>
  <c r="O50" i="2"/>
  <c r="O51" i="2"/>
  <c r="O52" i="2"/>
  <c r="N52" i="2" s="1"/>
  <c r="O53" i="2"/>
  <c r="N53" i="2" s="1"/>
  <c r="O54" i="2"/>
  <c r="N54" i="2" s="1"/>
  <c r="O55" i="2"/>
  <c r="N55" i="2" s="1"/>
  <c r="O56" i="2"/>
  <c r="N56" i="2" s="1"/>
  <c r="O57" i="2"/>
  <c r="N57" i="2" s="1"/>
  <c r="O58" i="2"/>
  <c r="N58" i="2" s="1"/>
  <c r="O59" i="2"/>
  <c r="O60" i="2"/>
  <c r="O61" i="2"/>
  <c r="N61" i="2" s="1"/>
  <c r="O62" i="2"/>
  <c r="O63" i="2"/>
  <c r="O64" i="2"/>
  <c r="N64" i="2" s="1"/>
  <c r="O65" i="2"/>
  <c r="N65" i="2" s="1"/>
  <c r="O66" i="2"/>
  <c r="N66" i="2" s="1"/>
  <c r="O67" i="2"/>
  <c r="O68" i="2"/>
  <c r="N68" i="2" s="1"/>
  <c r="O69" i="2"/>
  <c r="N69" i="2" s="1"/>
  <c r="O70" i="2"/>
  <c r="N70" i="2" s="1"/>
  <c r="O71" i="2"/>
  <c r="O72" i="2"/>
  <c r="O73" i="2"/>
  <c r="O74" i="2"/>
  <c r="O75" i="2"/>
  <c r="O76" i="2"/>
  <c r="N76" i="2" s="1"/>
  <c r="O77" i="2"/>
  <c r="N77" i="2" s="1"/>
  <c r="O78" i="2"/>
  <c r="N78" i="2" s="1"/>
  <c r="O79" i="2"/>
  <c r="N79" i="2" s="1"/>
  <c r="O80" i="2"/>
  <c r="O81" i="2"/>
  <c r="O82" i="2"/>
  <c r="O83" i="2"/>
  <c r="O84" i="2"/>
  <c r="O85" i="2"/>
  <c r="O86" i="2"/>
  <c r="O87" i="2"/>
  <c r="O88" i="2"/>
  <c r="N88" i="2" s="1"/>
  <c r="O89" i="2"/>
  <c r="N89" i="2" s="1"/>
  <c r="O90" i="2"/>
  <c r="N90" i="2" s="1"/>
  <c r="O91" i="2"/>
  <c r="N91" i="2" s="1"/>
  <c r="O92" i="2"/>
  <c r="N92" i="2" s="1"/>
  <c r="O93" i="2"/>
  <c r="N93" i="2" s="1"/>
  <c r="O94" i="2"/>
  <c r="N94" i="2" s="1"/>
  <c r="O95" i="2"/>
  <c r="O96" i="2"/>
  <c r="O97" i="2"/>
  <c r="N97" i="2" s="1"/>
  <c r="O98" i="2"/>
  <c r="O99" i="2"/>
  <c r="O100" i="2"/>
  <c r="N100" i="2" s="1"/>
  <c r="O101" i="2"/>
  <c r="N101" i="2" s="1"/>
  <c r="O102" i="2"/>
  <c r="N102" i="2" s="1"/>
  <c r="O103" i="2"/>
  <c r="O104" i="2"/>
  <c r="N104" i="2" s="1"/>
  <c r="O105" i="2"/>
  <c r="N105" i="2" s="1"/>
  <c r="O106" i="2"/>
  <c r="N106" i="2" s="1"/>
  <c r="O107" i="2"/>
  <c r="O108" i="2"/>
  <c r="O109" i="2"/>
  <c r="N109" i="2" s="1"/>
  <c r="O110" i="2"/>
  <c r="O111" i="2"/>
  <c r="O112" i="2"/>
  <c r="N112" i="2" s="1"/>
  <c r="O113" i="2"/>
  <c r="N113" i="2" s="1"/>
  <c r="O114" i="2"/>
  <c r="N114" i="2" s="1"/>
  <c r="O115" i="2"/>
  <c r="N115" i="2" s="1"/>
  <c r="O116" i="2"/>
  <c r="O117" i="2"/>
  <c r="O118" i="2"/>
  <c r="O119" i="2"/>
  <c r="O120" i="2"/>
  <c r="O121" i="2"/>
  <c r="O122" i="2"/>
  <c r="O123" i="2"/>
  <c r="O124" i="2"/>
  <c r="N124" i="2" s="1"/>
  <c r="O125" i="2"/>
  <c r="N125" i="2" s="1"/>
  <c r="O126" i="2"/>
  <c r="N126" i="2" s="1"/>
  <c r="O127" i="2"/>
  <c r="N127" i="2" s="1"/>
  <c r="O128" i="2"/>
  <c r="N128" i="2" s="1"/>
  <c r="O129" i="2"/>
  <c r="N129" i="2" s="1"/>
  <c r="O130" i="2"/>
  <c r="N130" i="2" s="1"/>
  <c r="O131" i="2"/>
  <c r="O132" i="2"/>
  <c r="O133" i="2"/>
  <c r="N133" i="2" s="1"/>
  <c r="O134" i="2"/>
  <c r="O135" i="2"/>
  <c r="O136" i="2"/>
  <c r="N136" i="2" s="1"/>
  <c r="O137" i="2"/>
  <c r="N137" i="2" s="1"/>
  <c r="O138" i="2"/>
  <c r="N138" i="2" s="1"/>
  <c r="O139" i="2"/>
  <c r="O140" i="2"/>
  <c r="N140" i="2" s="1"/>
  <c r="O141" i="2"/>
  <c r="N141" i="2" s="1"/>
  <c r="O142" i="2"/>
  <c r="N142" i="2" s="1"/>
  <c r="O143" i="2"/>
  <c r="O144" i="2"/>
  <c r="O145" i="2"/>
  <c r="N145" i="2" s="1"/>
  <c r="O146" i="2"/>
  <c r="O147" i="2"/>
  <c r="O148" i="2"/>
  <c r="N148" i="2" s="1"/>
  <c r="O149" i="2"/>
  <c r="N149" i="2" s="1"/>
  <c r="O150" i="2"/>
  <c r="N150" i="2" s="1"/>
  <c r="O151" i="2"/>
  <c r="N151" i="2" s="1"/>
  <c r="O152" i="2"/>
  <c r="O153" i="2"/>
  <c r="O154" i="2"/>
  <c r="O155" i="2"/>
  <c r="O156" i="2"/>
  <c r="O157" i="2"/>
  <c r="O158" i="2"/>
  <c r="O159" i="2"/>
  <c r="O160" i="2"/>
  <c r="N160" i="2" s="1"/>
  <c r="O161" i="2"/>
  <c r="N161" i="2" s="1"/>
  <c r="O162" i="2"/>
  <c r="N162" i="2" s="1"/>
  <c r="O163" i="2"/>
  <c r="N163" i="2" s="1"/>
  <c r="O164" i="2"/>
  <c r="N164" i="2" s="1"/>
  <c r="O165" i="2"/>
  <c r="N165" i="2" s="1"/>
  <c r="O166" i="2"/>
  <c r="N166" i="2" s="1"/>
  <c r="O167" i="2"/>
  <c r="O168" i="2"/>
  <c r="O169" i="2"/>
  <c r="N169" i="2" s="1"/>
  <c r="O170" i="2"/>
  <c r="O171" i="2"/>
  <c r="O172" i="2"/>
  <c r="N172" i="2" s="1"/>
  <c r="O173" i="2"/>
  <c r="N173" i="2" s="1"/>
  <c r="O174" i="2"/>
  <c r="N174" i="2" s="1"/>
  <c r="O175" i="2"/>
  <c r="O176" i="2"/>
  <c r="N176" i="2" s="1"/>
  <c r="O177" i="2"/>
  <c r="N177" i="2" s="1"/>
  <c r="O178" i="2"/>
  <c r="N178" i="2" s="1"/>
  <c r="O179" i="2"/>
  <c r="O180" i="2"/>
  <c r="O181" i="2"/>
  <c r="N181" i="2" s="1"/>
  <c r="O182" i="2"/>
  <c r="O183" i="2"/>
  <c r="O184" i="2"/>
  <c r="N184" i="2" s="1"/>
  <c r="O185" i="2"/>
  <c r="N185" i="2" s="1"/>
  <c r="O186" i="2"/>
  <c r="N186" i="2" s="1"/>
  <c r="O187" i="2"/>
  <c r="N187" i="2" s="1"/>
  <c r="O188" i="2"/>
  <c r="O189" i="2"/>
  <c r="O190" i="2"/>
  <c r="O191" i="2"/>
  <c r="O192" i="2"/>
  <c r="O193" i="2"/>
  <c r="O194" i="2"/>
  <c r="O195" i="2"/>
  <c r="O196" i="2"/>
  <c r="N196" i="2" s="1"/>
  <c r="O197" i="2"/>
  <c r="N197" i="2" s="1"/>
  <c r="O198" i="2"/>
  <c r="N198" i="2" s="1"/>
  <c r="O199" i="2"/>
  <c r="N199" i="2" s="1"/>
  <c r="O200" i="2"/>
  <c r="N200" i="2" s="1"/>
  <c r="O201" i="2"/>
  <c r="N201" i="2" s="1"/>
  <c r="O202" i="2"/>
  <c r="N202" i="2" s="1"/>
  <c r="O203" i="2"/>
  <c r="O204" i="2"/>
  <c r="O205" i="2"/>
  <c r="N205" i="2" s="1"/>
  <c r="O206" i="2"/>
  <c r="O207" i="2"/>
  <c r="O208" i="2"/>
  <c r="O209" i="2"/>
  <c r="O210" i="2"/>
  <c r="N210" i="2" s="1"/>
  <c r="O211" i="2"/>
  <c r="O212" i="2"/>
  <c r="N212" i="2" s="1"/>
  <c r="O213" i="2"/>
  <c r="N213" i="2" s="1"/>
  <c r="O214" i="2"/>
  <c r="N214" i="2" s="1"/>
  <c r="O215" i="2"/>
  <c r="O216" i="2"/>
  <c r="O217" i="2"/>
  <c r="N217" i="2" s="1"/>
  <c r="O218" i="2"/>
  <c r="O219" i="2"/>
  <c r="O220" i="2"/>
  <c r="N220" i="2" s="1"/>
  <c r="O221" i="2"/>
  <c r="N221" i="2" s="1"/>
  <c r="O222" i="2"/>
  <c r="N222" i="2" s="1"/>
  <c r="O223" i="2"/>
  <c r="N223" i="2" s="1"/>
  <c r="O224" i="2"/>
  <c r="O225" i="2"/>
  <c r="O226" i="2"/>
  <c r="O227" i="2"/>
  <c r="O228" i="2"/>
  <c r="O229" i="2"/>
  <c r="O230" i="2"/>
  <c r="O231" i="2"/>
  <c r="O232" i="2"/>
  <c r="N232" i="2" s="1"/>
  <c r="O233" i="2"/>
  <c r="N233" i="2" s="1"/>
  <c r="O234" i="2"/>
  <c r="N234" i="2" s="1"/>
  <c r="O235" i="2"/>
  <c r="N235" i="2" s="1"/>
  <c r="O236" i="2"/>
  <c r="N236" i="2" s="1"/>
  <c r="O237" i="2"/>
  <c r="N237" i="2" s="1"/>
  <c r="O238" i="2"/>
  <c r="N238" i="2" s="1"/>
  <c r="O239" i="2"/>
  <c r="O240" i="2"/>
  <c r="O241" i="2"/>
  <c r="N241" i="2" s="1"/>
  <c r="O242" i="2"/>
  <c r="O243" i="2"/>
  <c r="O244" i="2"/>
  <c r="N244" i="2" s="1"/>
  <c r="O245" i="2"/>
  <c r="N245" i="2" s="1"/>
  <c r="O246" i="2"/>
  <c r="N246" i="2" s="1"/>
  <c r="O247" i="2"/>
  <c r="O248" i="2"/>
  <c r="N248" i="2" s="1"/>
  <c r="O249" i="2"/>
  <c r="N249" i="2" s="1"/>
  <c r="O250" i="2"/>
  <c r="N250" i="2" s="1"/>
  <c r="O251" i="2"/>
  <c r="O252" i="2"/>
  <c r="O253" i="2"/>
  <c r="O254" i="2"/>
  <c r="O255" i="2"/>
  <c r="O256" i="2"/>
  <c r="O257" i="2"/>
  <c r="N257" i="2" s="1"/>
  <c r="O258" i="2"/>
  <c r="N258" i="2" s="1"/>
  <c r="O259" i="2"/>
  <c r="N259" i="2" s="1"/>
  <c r="O260" i="2"/>
  <c r="O261" i="2"/>
  <c r="O262" i="2"/>
  <c r="O263" i="2"/>
  <c r="O264" i="2"/>
  <c r="O265" i="2"/>
  <c r="O266" i="2"/>
  <c r="O267" i="2"/>
  <c r="O268" i="2"/>
  <c r="N268" i="2" s="1"/>
  <c r="O269" i="2"/>
  <c r="N269" i="2" s="1"/>
  <c r="O270" i="2"/>
  <c r="N270" i="2" s="1"/>
  <c r="O271" i="2"/>
  <c r="N271" i="2" s="1"/>
  <c r="O272" i="2"/>
  <c r="N272" i="2" s="1"/>
  <c r="O273" i="2"/>
  <c r="N273" i="2" s="1"/>
  <c r="O274" i="2"/>
  <c r="N274" i="2" s="1"/>
  <c r="O275" i="2"/>
  <c r="O276" i="2"/>
  <c r="O277" i="2"/>
  <c r="N277" i="2" s="1"/>
  <c r="O278" i="2"/>
  <c r="O279" i="2"/>
  <c r="O280" i="2"/>
  <c r="O281" i="2"/>
  <c r="N281" i="2" s="1"/>
  <c r="O282" i="2"/>
  <c r="N282" i="2" s="1"/>
  <c r="O283" i="2"/>
  <c r="O284" i="2"/>
  <c r="N284" i="2" s="1"/>
  <c r="O285" i="2"/>
  <c r="N285" i="2" s="1"/>
  <c r="O286" i="2"/>
  <c r="N286" i="2" s="1"/>
  <c r="O287" i="2"/>
  <c r="O288" i="2"/>
  <c r="O289" i="2"/>
  <c r="N289" i="2" s="1"/>
  <c r="O290" i="2"/>
  <c r="O291" i="2"/>
  <c r="O292" i="2"/>
  <c r="N292" i="2" s="1"/>
  <c r="O293" i="2"/>
  <c r="N293" i="2" s="1"/>
  <c r="O294" i="2"/>
  <c r="N294" i="2" s="1"/>
  <c r="O295" i="2"/>
  <c r="N295" i="2" s="1"/>
  <c r="O296" i="2"/>
  <c r="O297" i="2"/>
  <c r="O298" i="2"/>
  <c r="O299" i="2"/>
  <c r="O300" i="2"/>
  <c r="O301" i="2"/>
  <c r="O302" i="2"/>
  <c r="O303" i="2"/>
  <c r="O304" i="2"/>
  <c r="N304" i="2" s="1"/>
  <c r="O305" i="2"/>
  <c r="N305" i="2" s="1"/>
  <c r="O306" i="2"/>
  <c r="N306" i="2" s="1"/>
  <c r="O307" i="2"/>
  <c r="N307" i="2" s="1"/>
  <c r="O308" i="2"/>
  <c r="N308" i="2" s="1"/>
  <c r="O309" i="2"/>
  <c r="N309" i="2" s="1"/>
  <c r="O310" i="2"/>
  <c r="N310" i="2" s="1"/>
  <c r="O311" i="2"/>
  <c r="O312" i="2"/>
  <c r="O313" i="2"/>
  <c r="N313" i="2" s="1"/>
  <c r="O314" i="2"/>
  <c r="O315" i="2"/>
  <c r="O316" i="2"/>
  <c r="N316" i="2" s="1"/>
  <c r="O317" i="2"/>
  <c r="N317" i="2" s="1"/>
  <c r="O318" i="2"/>
  <c r="N318" i="2" s="1"/>
  <c r="O319" i="2"/>
  <c r="O320" i="2"/>
  <c r="N320" i="2" s="1"/>
  <c r="O321" i="2"/>
  <c r="N321" i="2" s="1"/>
  <c r="O322" i="2"/>
  <c r="N322" i="2" s="1"/>
  <c r="O323" i="2"/>
  <c r="O324" i="2"/>
  <c r="O325" i="2"/>
  <c r="O326" i="2"/>
  <c r="O327" i="2"/>
  <c r="O328" i="2"/>
  <c r="N328" i="2" s="1"/>
  <c r="O329" i="2"/>
  <c r="N329" i="2" s="1"/>
  <c r="O330" i="2"/>
  <c r="N330" i="2" s="1"/>
  <c r="O331" i="2"/>
  <c r="N331" i="2" s="1"/>
  <c r="O332" i="2"/>
  <c r="O333" i="2"/>
  <c r="O334" i="2"/>
  <c r="O335" i="2"/>
  <c r="O336" i="2"/>
  <c r="O337" i="2"/>
  <c r="O338" i="2"/>
  <c r="O339" i="2"/>
  <c r="O340" i="2"/>
  <c r="N340" i="2" s="1"/>
  <c r="O341" i="2"/>
  <c r="N341" i="2" s="1"/>
  <c r="O342" i="2"/>
  <c r="N342" i="2" s="1"/>
  <c r="O343" i="2"/>
  <c r="N343" i="2" s="1"/>
  <c r="O344" i="2"/>
  <c r="N344" i="2" s="1"/>
  <c r="O345" i="2"/>
  <c r="N345" i="2" s="1"/>
  <c r="O346" i="2"/>
  <c r="N346" i="2" s="1"/>
  <c r="O347" i="2"/>
  <c r="O348" i="2"/>
  <c r="O349" i="2"/>
  <c r="N349" i="2" s="1"/>
  <c r="O350" i="2"/>
  <c r="O351" i="2"/>
  <c r="O352" i="2"/>
  <c r="N352" i="2" s="1"/>
  <c r="O353" i="2"/>
  <c r="N353" i="2" s="1"/>
  <c r="O354" i="2"/>
  <c r="N354" i="2" s="1"/>
  <c r="O355" i="2"/>
  <c r="O356" i="2"/>
  <c r="N356" i="2" s="1"/>
  <c r="O357" i="2"/>
  <c r="N357" i="2" s="1"/>
  <c r="O358" i="2"/>
  <c r="N358" i="2" s="1"/>
  <c r="O359" i="2"/>
  <c r="O360" i="2"/>
  <c r="O361" i="2"/>
  <c r="N361" i="2" s="1"/>
  <c r="O362" i="2"/>
  <c r="O363" i="2"/>
  <c r="O364" i="2"/>
  <c r="N364" i="2" s="1"/>
  <c r="O365" i="2"/>
  <c r="N365" i="2" s="1"/>
  <c r="O366" i="2"/>
  <c r="N366" i="2" s="1"/>
  <c r="O367" i="2"/>
  <c r="N367" i="2" s="1"/>
  <c r="O368" i="2"/>
  <c r="O369" i="2"/>
  <c r="O370" i="2"/>
  <c r="O371" i="2"/>
  <c r="O372" i="2"/>
  <c r="O373" i="2"/>
  <c r="O374" i="2"/>
  <c r="O375" i="2"/>
  <c r="O376" i="2"/>
  <c r="N376" i="2" s="1"/>
  <c r="O377" i="2"/>
  <c r="N377" i="2" s="1"/>
  <c r="O378" i="2"/>
  <c r="N378" i="2" s="1"/>
  <c r="O379" i="2"/>
  <c r="N379" i="2" s="1"/>
  <c r="O380" i="2"/>
  <c r="N380" i="2" s="1"/>
  <c r="O381" i="2"/>
  <c r="N381" i="2" s="1"/>
  <c r="O382" i="2"/>
  <c r="N382" i="2" s="1"/>
  <c r="O383" i="2"/>
  <c r="O384" i="2"/>
  <c r="O385" i="2"/>
  <c r="O386" i="2"/>
  <c r="O387" i="2"/>
  <c r="O388" i="2"/>
  <c r="O389" i="2"/>
  <c r="N389" i="2" s="1"/>
  <c r="O390" i="2"/>
  <c r="N390" i="2" s="1"/>
  <c r="O391" i="2"/>
  <c r="O392" i="2"/>
  <c r="N392" i="2" s="1"/>
  <c r="O393" i="2"/>
  <c r="N393" i="2" s="1"/>
  <c r="O394" i="2"/>
  <c r="N394" i="2" s="1"/>
  <c r="O395" i="2"/>
  <c r="O396" i="2"/>
  <c r="O397" i="2"/>
  <c r="N397" i="2" s="1"/>
  <c r="O398" i="2"/>
  <c r="O399" i="2"/>
  <c r="O400" i="2"/>
  <c r="N400" i="2" s="1"/>
  <c r="O401" i="2"/>
  <c r="N401" i="2" s="1"/>
  <c r="O402" i="2"/>
  <c r="N402" i="2" s="1"/>
  <c r="O403" i="2"/>
  <c r="N403" i="2" s="1"/>
  <c r="O404" i="2"/>
  <c r="O405" i="2"/>
  <c r="O406" i="2"/>
  <c r="O407" i="2"/>
  <c r="O408" i="2"/>
  <c r="O409" i="2"/>
  <c r="O410" i="2"/>
  <c r="O411" i="2"/>
  <c r="O412" i="2"/>
  <c r="N412" i="2" s="1"/>
  <c r="O413" i="2"/>
  <c r="N413" i="2" s="1"/>
  <c r="O414" i="2"/>
  <c r="N414" i="2" s="1"/>
  <c r="O415" i="2"/>
  <c r="N415" i="2" s="1"/>
  <c r="O416" i="2"/>
  <c r="N416" i="2" s="1"/>
  <c r="O417" i="2"/>
  <c r="N417" i="2" s="1"/>
  <c r="O418" i="2"/>
  <c r="N418" i="2" s="1"/>
  <c r="O419" i="2"/>
  <c r="O420" i="2"/>
  <c r="O421" i="2"/>
  <c r="N421" i="2" s="1"/>
  <c r="O422" i="2"/>
  <c r="O423" i="2"/>
  <c r="O424" i="2"/>
  <c r="N424" i="2" s="1"/>
  <c r="O425" i="2"/>
  <c r="N425" i="2" s="1"/>
  <c r="O426" i="2"/>
  <c r="N426" i="2" s="1"/>
  <c r="O427" i="2"/>
  <c r="O428" i="2"/>
  <c r="N428" i="2" s="1"/>
  <c r="O429" i="2"/>
  <c r="N429" i="2" s="1"/>
  <c r="O430" i="2"/>
  <c r="N430" i="2" s="1"/>
  <c r="O431" i="2"/>
  <c r="O432" i="2"/>
  <c r="O433" i="2"/>
  <c r="N433" i="2" s="1"/>
  <c r="O434" i="2"/>
  <c r="O435" i="2"/>
  <c r="O436" i="2"/>
  <c r="N436" i="2" s="1"/>
  <c r="O437" i="2"/>
  <c r="N437" i="2" s="1"/>
  <c r="O438" i="2"/>
  <c r="N438" i="2" s="1"/>
  <c r="O439" i="2"/>
  <c r="N439" i="2" s="1"/>
  <c r="O440" i="2"/>
  <c r="O441" i="2"/>
  <c r="O442" i="2"/>
  <c r="O443" i="2"/>
  <c r="O444" i="2"/>
  <c r="O445" i="2"/>
  <c r="O446" i="2"/>
  <c r="O447" i="2"/>
  <c r="O448" i="2"/>
  <c r="N448" i="2" s="1"/>
  <c r="O449" i="2"/>
  <c r="N449" i="2" s="1"/>
  <c r="O450" i="2"/>
  <c r="N450" i="2" s="1"/>
  <c r="O451" i="2"/>
  <c r="N451" i="2" s="1"/>
  <c r="O452" i="2"/>
  <c r="N452" i="2" s="1"/>
  <c r="O453" i="2"/>
  <c r="N453" i="2" s="1"/>
  <c r="O454" i="2"/>
  <c r="N454" i="2" s="1"/>
  <c r="O455" i="2"/>
  <c r="O456" i="2"/>
  <c r="O457" i="2"/>
  <c r="N457" i="2" s="1"/>
  <c r="O458" i="2"/>
  <c r="O459" i="2"/>
  <c r="O460" i="2"/>
  <c r="N460" i="2" s="1"/>
  <c r="O461" i="2"/>
  <c r="N461" i="2" s="1"/>
  <c r="O462" i="2"/>
  <c r="N462" i="2" s="1"/>
  <c r="O463" i="2"/>
  <c r="O464" i="2"/>
  <c r="N464" i="2" s="1"/>
  <c r="O465" i="2"/>
  <c r="N465" i="2" s="1"/>
  <c r="O466" i="2"/>
  <c r="N466" i="2" s="1"/>
  <c r="O467" i="2"/>
  <c r="O468" i="2"/>
  <c r="O469" i="2"/>
  <c r="N469" i="2" s="1"/>
  <c r="O470" i="2"/>
  <c r="O471" i="2"/>
  <c r="O472" i="2"/>
  <c r="N472" i="2" s="1"/>
  <c r="O473" i="2"/>
  <c r="N473" i="2" s="1"/>
  <c r="O474" i="2"/>
  <c r="N474" i="2" s="1"/>
  <c r="O475" i="2"/>
  <c r="N475" i="2" s="1"/>
  <c r="O476" i="2"/>
  <c r="O477" i="2"/>
  <c r="O478" i="2"/>
  <c r="O479" i="2"/>
  <c r="O480" i="2"/>
  <c r="O481" i="2"/>
  <c r="O482" i="2"/>
  <c r="O483" i="2"/>
  <c r="O484" i="2"/>
  <c r="O485" i="2"/>
  <c r="N485" i="2" s="1"/>
  <c r="O486" i="2"/>
  <c r="N486" i="2" s="1"/>
  <c r="O487" i="2"/>
  <c r="N487" i="2" s="1"/>
  <c r="O488" i="2"/>
  <c r="N488" i="2" s="1"/>
  <c r="O489" i="2"/>
  <c r="N489" i="2" s="1"/>
  <c r="O490" i="2"/>
  <c r="N490" i="2" s="1"/>
  <c r="O491" i="2"/>
  <c r="O492" i="2"/>
  <c r="O493" i="2"/>
  <c r="O494" i="2"/>
  <c r="O495" i="2"/>
  <c r="O496" i="2"/>
  <c r="N496" i="2" s="1"/>
  <c r="O497" i="2"/>
  <c r="N497" i="2" s="1"/>
  <c r="O498" i="2"/>
  <c r="N498" i="2" s="1"/>
  <c r="O499" i="2"/>
  <c r="O500" i="2"/>
  <c r="N500" i="2" s="1"/>
  <c r="O501" i="2"/>
  <c r="N501" i="2" s="1"/>
  <c r="O502" i="2"/>
  <c r="N502" i="2" s="1"/>
  <c r="O503" i="2"/>
  <c r="O504" i="2"/>
  <c r="O505" i="2"/>
  <c r="N505" i="2" s="1"/>
  <c r="O506" i="2"/>
  <c r="O507" i="2"/>
  <c r="O508" i="2"/>
  <c r="N508" i="2" s="1"/>
  <c r="O509" i="2"/>
  <c r="N509" i="2" s="1"/>
  <c r="O510" i="2"/>
  <c r="N510" i="2" s="1"/>
  <c r="O511" i="2"/>
  <c r="N511" i="2" s="1"/>
  <c r="O512" i="2"/>
  <c r="O513" i="2"/>
  <c r="O514" i="2"/>
  <c r="O515" i="2"/>
  <c r="O516" i="2"/>
  <c r="O517" i="2"/>
  <c r="O518" i="2"/>
  <c r="O519" i="2"/>
  <c r="O520" i="2"/>
  <c r="N520" i="2" s="1"/>
  <c r="O521" i="2"/>
  <c r="N521" i="2" s="1"/>
  <c r="O522" i="2"/>
  <c r="N522" i="2" s="1"/>
  <c r="O523" i="2"/>
  <c r="N523" i="2" s="1"/>
  <c r="O524" i="2"/>
  <c r="N524" i="2" s="1"/>
  <c r="O525" i="2"/>
  <c r="N525" i="2" s="1"/>
  <c r="O526" i="2"/>
  <c r="N526" i="2" s="1"/>
  <c r="O527" i="2"/>
  <c r="O528" i="2"/>
  <c r="O529" i="2"/>
  <c r="N529" i="2" s="1"/>
  <c r="O530" i="2"/>
  <c r="O531" i="2"/>
  <c r="O532" i="2"/>
  <c r="N532" i="2" s="1"/>
  <c r="O533" i="2"/>
  <c r="N533" i="2" s="1"/>
  <c r="O534" i="2"/>
  <c r="N534" i="2" s="1"/>
  <c r="O535" i="2"/>
  <c r="O536" i="2"/>
  <c r="N536" i="2" s="1"/>
  <c r="O537" i="2"/>
  <c r="N537" i="2" s="1"/>
  <c r="O538" i="2"/>
  <c r="N538" i="2" s="1"/>
  <c r="O539" i="2"/>
  <c r="O540" i="2"/>
  <c r="O541" i="2"/>
  <c r="N541" i="2" s="1"/>
  <c r="O542" i="2"/>
  <c r="O543" i="2"/>
  <c r="O544" i="2"/>
  <c r="O545" i="2"/>
  <c r="N545" i="2" s="1"/>
  <c r="O546" i="2"/>
  <c r="N546" i="2" s="1"/>
  <c r="O547" i="2"/>
  <c r="N547" i="2" s="1"/>
  <c r="O548" i="2"/>
  <c r="O549" i="2"/>
  <c r="O550" i="2"/>
  <c r="O551" i="2"/>
  <c r="O552" i="2"/>
  <c r="O553" i="2"/>
  <c r="O554" i="2"/>
  <c r="O555" i="2"/>
  <c r="O556" i="2"/>
  <c r="N556" i="2" s="1"/>
  <c r="O557" i="2"/>
  <c r="N557" i="2" s="1"/>
  <c r="O558" i="2"/>
  <c r="N558" i="2" s="1"/>
  <c r="O559" i="2"/>
  <c r="N559" i="2" s="1"/>
  <c r="O560" i="2"/>
  <c r="N560" i="2" s="1"/>
  <c r="O561" i="2"/>
  <c r="N561" i="2" s="1"/>
  <c r="O562" i="2"/>
  <c r="N562" i="2" s="1"/>
  <c r="O563" i="2"/>
  <c r="O564" i="2"/>
  <c r="O565" i="2"/>
  <c r="N565" i="2" s="1"/>
  <c r="O566" i="2"/>
  <c r="O567" i="2"/>
  <c r="O568" i="2"/>
  <c r="N568" i="2" s="1"/>
  <c r="O569" i="2"/>
  <c r="N569" i="2" s="1"/>
  <c r="O570" i="2"/>
  <c r="N570" i="2" s="1"/>
  <c r="O571" i="2"/>
  <c r="O572" i="2"/>
  <c r="N572" i="2" s="1"/>
  <c r="O573" i="2"/>
  <c r="N573" i="2" s="1"/>
  <c r="O574" i="2"/>
  <c r="N574" i="2" s="1"/>
  <c r="O575" i="2"/>
  <c r="O576" i="2"/>
  <c r="O577" i="2"/>
  <c r="O578" i="2"/>
  <c r="O579" i="2"/>
  <c r="O580" i="2"/>
  <c r="N580" i="2" s="1"/>
  <c r="O581" i="2"/>
  <c r="N581" i="2" s="1"/>
  <c r="O582" i="2"/>
  <c r="N582" i="2" s="1"/>
  <c r="O583" i="2"/>
  <c r="N583" i="2" s="1"/>
  <c r="O584" i="2"/>
  <c r="O585" i="2"/>
  <c r="O586" i="2"/>
  <c r="O587" i="2"/>
  <c r="O588" i="2"/>
  <c r="O589" i="2"/>
  <c r="O590" i="2"/>
  <c r="O591" i="2"/>
  <c r="O592" i="2"/>
  <c r="N592" i="2" s="1"/>
  <c r="O593" i="2"/>
  <c r="N593" i="2" s="1"/>
  <c r="O594" i="2"/>
  <c r="N594" i="2" s="1"/>
  <c r="O595" i="2"/>
  <c r="N595" i="2" s="1"/>
  <c r="O596" i="2"/>
  <c r="N596" i="2" s="1"/>
  <c r="O597" i="2"/>
  <c r="N597" i="2" s="1"/>
  <c r="O598" i="2"/>
  <c r="N598" i="2" s="1"/>
  <c r="O599" i="2"/>
  <c r="O600" i="2"/>
  <c r="O601" i="2"/>
  <c r="O602" i="2"/>
  <c r="O603" i="2"/>
  <c r="O604" i="2"/>
  <c r="N604" i="2" s="1"/>
  <c r="O605" i="2"/>
  <c r="N605" i="2" s="1"/>
  <c r="O606" i="2"/>
  <c r="N606" i="2" s="1"/>
  <c r="O607" i="2"/>
  <c r="O608" i="2"/>
  <c r="N608" i="2" s="1"/>
  <c r="O609" i="2"/>
  <c r="N609" i="2" s="1"/>
  <c r="O610" i="2"/>
  <c r="N610" i="2" s="1"/>
  <c r="O611" i="2"/>
  <c r="O612" i="2"/>
  <c r="O613" i="2"/>
  <c r="N613" i="2" s="1"/>
  <c r="O614" i="2"/>
  <c r="O615" i="2"/>
  <c r="O616" i="2"/>
  <c r="N616" i="2" s="1"/>
  <c r="O617" i="2"/>
  <c r="N617" i="2" s="1"/>
  <c r="O618" i="2"/>
  <c r="N618" i="2" s="1"/>
  <c r="O619" i="2"/>
  <c r="N619" i="2" s="1"/>
  <c r="O620" i="2"/>
  <c r="O621" i="2"/>
  <c r="O622" i="2"/>
  <c r="O623" i="2"/>
  <c r="O624" i="2"/>
  <c r="O625" i="2"/>
  <c r="O626" i="2"/>
  <c r="O627" i="2"/>
  <c r="O628" i="2"/>
  <c r="N628" i="2" s="1"/>
  <c r="O629" i="2"/>
  <c r="N629" i="2" s="1"/>
  <c r="O630" i="2"/>
  <c r="N630" i="2" s="1"/>
  <c r="O631" i="2"/>
  <c r="N631" i="2" s="1"/>
  <c r="O632" i="2"/>
  <c r="N632" i="2" s="1"/>
  <c r="O633" i="2"/>
  <c r="N633" i="2" s="1"/>
  <c r="O634" i="2"/>
  <c r="N634" i="2" s="1"/>
  <c r="O635" i="2"/>
  <c r="O636" i="2"/>
  <c r="O637" i="2"/>
  <c r="N637" i="2" s="1"/>
  <c r="O638" i="2"/>
  <c r="O639" i="2"/>
  <c r="O640" i="2"/>
  <c r="O641" i="2"/>
  <c r="N641" i="2" s="1"/>
  <c r="O642" i="2"/>
  <c r="N642" i="2" s="1"/>
  <c r="O643" i="2"/>
  <c r="O644" i="2"/>
  <c r="N644" i="2" s="1"/>
  <c r="O645" i="2"/>
  <c r="N645" i="2" s="1"/>
  <c r="O646" i="2"/>
  <c r="N646" i="2" s="1"/>
  <c r="O647" i="2"/>
  <c r="O648" i="2"/>
  <c r="O649" i="2"/>
  <c r="N649" i="2" s="1"/>
  <c r="O650" i="2"/>
  <c r="O651" i="2"/>
  <c r="O652" i="2"/>
  <c r="N652" i="2" s="1"/>
  <c r="O653" i="2"/>
  <c r="N653" i="2" s="1"/>
  <c r="O654" i="2"/>
  <c r="N654" i="2" s="1"/>
  <c r="O655" i="2"/>
  <c r="N655" i="2" s="1"/>
  <c r="O656" i="2"/>
  <c r="O657" i="2"/>
  <c r="O658" i="2"/>
  <c r="O659" i="2"/>
  <c r="O660" i="2"/>
  <c r="O661" i="2"/>
  <c r="O662" i="2"/>
  <c r="O663" i="2"/>
  <c r="O664" i="2"/>
  <c r="N664" i="2" s="1"/>
  <c r="O665" i="2"/>
  <c r="N665" i="2" s="1"/>
  <c r="O666" i="2"/>
  <c r="N666" i="2" s="1"/>
  <c r="O667" i="2"/>
  <c r="N667" i="2" s="1"/>
  <c r="O668" i="2"/>
  <c r="N668" i="2" s="1"/>
  <c r="O669" i="2"/>
  <c r="N669" i="2" s="1"/>
  <c r="O670" i="2"/>
  <c r="N670" i="2" s="1"/>
  <c r="O671" i="2"/>
  <c r="O672" i="2"/>
  <c r="O673" i="2"/>
  <c r="N673" i="2" s="1"/>
  <c r="O674" i="2"/>
  <c r="O675" i="2"/>
  <c r="O676" i="2"/>
  <c r="N676" i="2" s="1"/>
  <c r="O677" i="2"/>
  <c r="N677" i="2" s="1"/>
  <c r="O678" i="2"/>
  <c r="N678" i="2" s="1"/>
  <c r="O679" i="2"/>
  <c r="O680" i="2"/>
  <c r="N680" i="2" s="1"/>
  <c r="O681" i="2"/>
  <c r="N681" i="2" s="1"/>
  <c r="O682" i="2"/>
  <c r="N682" i="2" s="1"/>
  <c r="O683" i="2"/>
  <c r="O684" i="2"/>
  <c r="O685" i="2"/>
  <c r="O686" i="2"/>
  <c r="O687" i="2"/>
  <c r="O688" i="2"/>
  <c r="N688" i="2" s="1"/>
  <c r="O689" i="2"/>
  <c r="N689" i="2" s="1"/>
  <c r="O690" i="2"/>
  <c r="N690" i="2" s="1"/>
  <c r="O691" i="2"/>
  <c r="N691" i="2" s="1"/>
  <c r="O692" i="2"/>
  <c r="O693" i="2"/>
  <c r="O694" i="2"/>
  <c r="O695" i="2"/>
  <c r="O696" i="2"/>
  <c r="O697" i="2"/>
  <c r="O698" i="2"/>
  <c r="O699" i="2"/>
  <c r="O700" i="2"/>
  <c r="N700" i="2" s="1"/>
  <c r="O701" i="2"/>
  <c r="N701" i="2" s="1"/>
  <c r="O702" i="2"/>
  <c r="N702" i="2" s="1"/>
  <c r="O703" i="2"/>
  <c r="N703" i="2" s="1"/>
  <c r="O704" i="2"/>
  <c r="N704" i="2" s="1"/>
  <c r="O705" i="2"/>
  <c r="N705" i="2" s="1"/>
  <c r="O706" i="2"/>
  <c r="N706" i="2" s="1"/>
  <c r="O707" i="2"/>
  <c r="O708" i="2"/>
  <c r="O709" i="2"/>
  <c r="O710" i="2"/>
  <c r="O711" i="2"/>
  <c r="O712" i="2"/>
  <c r="N712" i="2" s="1"/>
  <c r="O713" i="2"/>
  <c r="O714" i="2"/>
  <c r="N714" i="2" s="1"/>
  <c r="O715" i="2"/>
  <c r="O716" i="2"/>
  <c r="N716" i="2" s="1"/>
  <c r="O717" i="2"/>
  <c r="N717" i="2" s="1"/>
  <c r="O718" i="2"/>
  <c r="N718" i="2" s="1"/>
  <c r="O719" i="2"/>
  <c r="O720" i="2"/>
  <c r="O721" i="2"/>
  <c r="N721" i="2" s="1"/>
  <c r="O722" i="2"/>
  <c r="O723" i="2"/>
  <c r="O724" i="2"/>
  <c r="N724" i="2" s="1"/>
  <c r="O725" i="2"/>
  <c r="N725" i="2" s="1"/>
  <c r="O726" i="2"/>
  <c r="N726" i="2" s="1"/>
  <c r="O727" i="2"/>
  <c r="N727" i="2" s="1"/>
  <c r="O728" i="2"/>
  <c r="O729" i="2"/>
  <c r="O730" i="2"/>
  <c r="O731" i="2"/>
  <c r="O732" i="2"/>
  <c r="O733" i="2"/>
  <c r="O734" i="2"/>
  <c r="O735" i="2"/>
  <c r="O736" i="2"/>
  <c r="N736" i="2" s="1"/>
  <c r="O737" i="2"/>
  <c r="N737" i="2" s="1"/>
  <c r="O738" i="2"/>
  <c r="N738" i="2" s="1"/>
  <c r="O739" i="2"/>
  <c r="N739" i="2" s="1"/>
  <c r="O740" i="2"/>
  <c r="N740" i="2" s="1"/>
  <c r="O741" i="2"/>
  <c r="N741" i="2" s="1"/>
  <c r="O742" i="2"/>
  <c r="N742" i="2" s="1"/>
  <c r="O743" i="2"/>
  <c r="O744" i="2"/>
  <c r="O745" i="2"/>
  <c r="N745" i="2" s="1"/>
  <c r="O746" i="2"/>
  <c r="O747" i="2"/>
  <c r="O748" i="2"/>
  <c r="N748" i="2" s="1"/>
  <c r="O749" i="2"/>
  <c r="O750" i="2"/>
  <c r="N750" i="2" s="1"/>
  <c r="O751" i="2"/>
  <c r="O752" i="2"/>
  <c r="N752" i="2" s="1"/>
  <c r="O753" i="2"/>
  <c r="N753" i="2" s="1"/>
  <c r="O754" i="2"/>
  <c r="N754" i="2" s="1"/>
  <c r="O755" i="2"/>
  <c r="O756" i="2"/>
  <c r="O757" i="2"/>
  <c r="O758" i="2"/>
  <c r="O759" i="2"/>
  <c r="O760" i="2"/>
  <c r="O761" i="2"/>
  <c r="O762" i="2"/>
  <c r="N762" i="2" s="1"/>
  <c r="O763" i="2"/>
  <c r="O764" i="2"/>
  <c r="O765" i="2"/>
  <c r="O766" i="2"/>
  <c r="O767" i="2"/>
  <c r="O768" i="2"/>
  <c r="O769" i="2"/>
  <c r="O770" i="2"/>
  <c r="O77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N707" i="2" l="1"/>
  <c r="N371" i="2"/>
  <c r="N503" i="2"/>
  <c r="N640" i="2"/>
  <c r="N209" i="2"/>
  <c r="N388" i="2"/>
  <c r="N764" i="2"/>
  <c r="N601" i="2"/>
  <c r="N385" i="2"/>
  <c r="N191" i="2"/>
  <c r="N587" i="2"/>
  <c r="N47" i="2"/>
  <c r="N323" i="2"/>
  <c r="N695" i="2"/>
  <c r="N635" i="2"/>
  <c r="N455" i="2"/>
  <c r="N208" i="2"/>
  <c r="N763" i="2"/>
  <c r="N600" i="2"/>
  <c r="N384" i="2"/>
  <c r="N179" i="2"/>
  <c r="N586" i="2"/>
  <c r="N514" i="2"/>
  <c r="N442" i="2"/>
  <c r="N406" i="2"/>
  <c r="N370" i="2"/>
  <c r="N334" i="2"/>
  <c r="N298" i="2"/>
  <c r="N262" i="2"/>
  <c r="N226" i="2"/>
  <c r="N154" i="2"/>
  <c r="N118" i="2"/>
  <c r="N82" i="2"/>
  <c r="N46" i="2"/>
  <c r="N10" i="2"/>
  <c r="N647" i="2"/>
  <c r="N551" i="2"/>
  <c r="N420" i="2"/>
  <c r="N108" i="2"/>
  <c r="N771" i="2"/>
  <c r="N746" i="2"/>
  <c r="N710" i="2"/>
  <c r="N662" i="2"/>
  <c r="N602" i="2"/>
  <c r="N554" i="2"/>
  <c r="N518" i="2"/>
  <c r="N470" i="2"/>
  <c r="N422" i="2"/>
  <c r="N374" i="2"/>
  <c r="N338" i="2"/>
  <c r="N302" i="2"/>
  <c r="N242" i="2"/>
  <c r="N206" i="2"/>
  <c r="N158" i="2"/>
  <c r="N110" i="2"/>
  <c r="N50" i="2"/>
  <c r="N661" i="2"/>
  <c r="N301" i="2"/>
  <c r="N612" i="2"/>
  <c r="N576" i="2"/>
  <c r="N564" i="2"/>
  <c r="N516" i="2"/>
  <c r="N444" i="2"/>
  <c r="N408" i="2"/>
  <c r="N372" i="2"/>
  <c r="N348" i="2"/>
  <c r="N312" i="2"/>
  <c r="N276" i="2"/>
  <c r="N240" i="2"/>
  <c r="N192" i="2"/>
  <c r="N168" i="2"/>
  <c r="N132" i="2"/>
  <c r="N36" i="2"/>
  <c r="N767" i="2"/>
  <c r="N731" i="2"/>
  <c r="N719" i="2"/>
  <c r="N683" i="2"/>
  <c r="N611" i="2"/>
  <c r="N575" i="2"/>
  <c r="N539" i="2"/>
  <c r="N515" i="2"/>
  <c r="N479" i="2"/>
  <c r="N239" i="2"/>
  <c r="N203" i="2"/>
  <c r="N119" i="2"/>
  <c r="N95" i="2"/>
  <c r="N71" i="2"/>
  <c r="N35" i="2"/>
  <c r="N761" i="2"/>
  <c r="N443" i="2"/>
  <c r="N155" i="2"/>
  <c r="N766" i="2"/>
  <c r="N730" i="2"/>
  <c r="N694" i="2"/>
  <c r="N658" i="2"/>
  <c r="N622" i="2"/>
  <c r="N550" i="2"/>
  <c r="N478" i="2"/>
  <c r="N190" i="2"/>
  <c r="N765" i="2"/>
  <c r="N729" i="2"/>
  <c r="N693" i="2"/>
  <c r="N657" i="2"/>
  <c r="N621" i="2"/>
  <c r="N585" i="2"/>
  <c r="N549" i="2"/>
  <c r="N513" i="2"/>
  <c r="N477" i="2"/>
  <c r="N441" i="2"/>
  <c r="N405" i="2"/>
  <c r="N369" i="2"/>
  <c r="N333" i="2"/>
  <c r="N297" i="2"/>
  <c r="N261" i="2"/>
  <c r="N225" i="2"/>
  <c r="N189" i="2"/>
  <c r="N153" i="2"/>
  <c r="N117" i="2"/>
  <c r="N81" i="2"/>
  <c r="N45" i="2"/>
  <c r="N9" i="2"/>
  <c r="N757" i="2"/>
  <c r="N419" i="2"/>
  <c r="N263" i="2"/>
  <c r="N85" i="2"/>
  <c r="N713" i="2"/>
  <c r="N747" i="2"/>
  <c r="N758" i="2"/>
  <c r="N722" i="2"/>
  <c r="N686" i="2"/>
  <c r="N650" i="2"/>
  <c r="N626" i="2"/>
  <c r="N590" i="2"/>
  <c r="N566" i="2"/>
  <c r="N542" i="2"/>
  <c r="N506" i="2"/>
  <c r="N482" i="2"/>
  <c r="N446" i="2"/>
  <c r="N410" i="2"/>
  <c r="N386" i="2"/>
  <c r="N362" i="2"/>
  <c r="N326" i="2"/>
  <c r="N290" i="2"/>
  <c r="N254" i="2"/>
  <c r="N218" i="2"/>
  <c r="N182" i="2"/>
  <c r="N146" i="2"/>
  <c r="N122" i="2"/>
  <c r="N86" i="2"/>
  <c r="N62" i="2"/>
  <c r="N26" i="2"/>
  <c r="N14" i="2"/>
  <c r="N769" i="2"/>
  <c r="N589" i="2"/>
  <c r="N517" i="2"/>
  <c r="N445" i="2"/>
  <c r="N337" i="2"/>
  <c r="N265" i="2"/>
  <c r="N229" i="2"/>
  <c r="N157" i="2"/>
  <c r="N768" i="2"/>
  <c r="N744" i="2"/>
  <c r="N672" i="2"/>
  <c r="N648" i="2"/>
  <c r="N528" i="2"/>
  <c r="N492" i="2"/>
  <c r="N468" i="2"/>
  <c r="N396" i="2"/>
  <c r="N360" i="2"/>
  <c r="N336" i="2"/>
  <c r="N300" i="2"/>
  <c r="N264" i="2"/>
  <c r="N228" i="2"/>
  <c r="N204" i="2"/>
  <c r="N180" i="2"/>
  <c r="N144" i="2"/>
  <c r="N120" i="2"/>
  <c r="N96" i="2"/>
  <c r="N48" i="2"/>
  <c r="N12" i="2"/>
  <c r="N671" i="2"/>
  <c r="N659" i="2"/>
  <c r="N563" i="2"/>
  <c r="N527" i="2"/>
  <c r="N491" i="2"/>
  <c r="N431" i="2"/>
  <c r="N407" i="2"/>
  <c r="N383" i="2"/>
  <c r="N287" i="2"/>
  <c r="N251" i="2"/>
  <c r="N215" i="2"/>
  <c r="N131" i="2"/>
  <c r="N59" i="2"/>
  <c r="N23" i="2"/>
  <c r="N684" i="2"/>
  <c r="N311" i="2"/>
  <c r="N728" i="2"/>
  <c r="N692" i="2"/>
  <c r="N656" i="2"/>
  <c r="N620" i="2"/>
  <c r="N584" i="2"/>
  <c r="N548" i="2"/>
  <c r="N512" i="2"/>
  <c r="N476" i="2"/>
  <c r="N440" i="2"/>
  <c r="N404" i="2"/>
  <c r="N368" i="2"/>
  <c r="N332" i="2"/>
  <c r="N296" i="2"/>
  <c r="N260" i="2"/>
  <c r="N224" i="2"/>
  <c r="N188" i="2"/>
  <c r="N152" i="2"/>
  <c r="N116" i="2"/>
  <c r="N80" i="2"/>
  <c r="N44" i="2"/>
  <c r="N8" i="2"/>
  <c r="N756" i="2"/>
  <c r="N395" i="2"/>
  <c r="N84" i="2"/>
  <c r="N749" i="2"/>
  <c r="N759" i="2"/>
  <c r="N770" i="2"/>
  <c r="N734" i="2"/>
  <c r="N698" i="2"/>
  <c r="N674" i="2"/>
  <c r="N638" i="2"/>
  <c r="N614" i="2"/>
  <c r="N578" i="2"/>
  <c r="N530" i="2"/>
  <c r="N494" i="2"/>
  <c r="N458" i="2"/>
  <c r="N434" i="2"/>
  <c r="N398" i="2"/>
  <c r="N350" i="2"/>
  <c r="N314" i="2"/>
  <c r="N278" i="2"/>
  <c r="N266" i="2"/>
  <c r="N230" i="2"/>
  <c r="N194" i="2"/>
  <c r="N170" i="2"/>
  <c r="N134" i="2"/>
  <c r="N98" i="2"/>
  <c r="N74" i="2"/>
  <c r="N38" i="2"/>
  <c r="N2" i="2"/>
  <c r="N733" i="2"/>
  <c r="N697" i="2"/>
  <c r="N625" i="2"/>
  <c r="N409" i="2"/>
  <c r="N121" i="2"/>
  <c r="N49" i="2"/>
  <c r="N13" i="2"/>
  <c r="N577" i="2"/>
  <c r="N732" i="2"/>
  <c r="N660" i="2"/>
  <c r="N588" i="2"/>
  <c r="N504" i="2"/>
  <c r="N432" i="2"/>
  <c r="N288" i="2"/>
  <c r="N252" i="2"/>
  <c r="N216" i="2"/>
  <c r="N72" i="2"/>
  <c r="N60" i="2"/>
  <c r="N24" i="2"/>
  <c r="N685" i="2"/>
  <c r="N553" i="2"/>
  <c r="N156" i="2"/>
  <c r="N743" i="2"/>
  <c r="N623" i="2"/>
  <c r="N599" i="2"/>
  <c r="N467" i="2"/>
  <c r="N359" i="2"/>
  <c r="N347" i="2"/>
  <c r="N335" i="2"/>
  <c r="N299" i="2"/>
  <c r="N275" i="2"/>
  <c r="N227" i="2"/>
  <c r="N167" i="2"/>
  <c r="N143" i="2"/>
  <c r="N107" i="2"/>
  <c r="N11" i="2"/>
  <c r="N552" i="2"/>
  <c r="N751" i="2"/>
  <c r="N715" i="2"/>
  <c r="N679" i="2"/>
  <c r="N643" i="2"/>
  <c r="N607" i="2"/>
  <c r="N571" i="2"/>
  <c r="N535" i="2"/>
  <c r="N499" i="2"/>
  <c r="N463" i="2"/>
  <c r="N427" i="2"/>
  <c r="N391" i="2"/>
  <c r="N355" i="2"/>
  <c r="N319" i="2"/>
  <c r="N283" i="2"/>
  <c r="N247" i="2"/>
  <c r="N211" i="2"/>
  <c r="N175" i="2"/>
  <c r="N139" i="2"/>
  <c r="N103" i="2"/>
  <c r="N67" i="2"/>
  <c r="N31" i="2"/>
  <c r="N755" i="2"/>
  <c r="N636" i="2"/>
  <c r="N540" i="2"/>
  <c r="N253" i="2"/>
  <c r="N83" i="2"/>
  <c r="N735" i="2"/>
  <c r="N723" i="2"/>
  <c r="N711" i="2"/>
  <c r="N699" i="2"/>
  <c r="N687" i="2"/>
  <c r="N675" i="2"/>
  <c r="N663" i="2"/>
  <c r="N651" i="2"/>
  <c r="N639" i="2"/>
  <c r="N627" i="2"/>
  <c r="N615" i="2"/>
  <c r="N603" i="2"/>
  <c r="N591" i="2"/>
  <c r="N579" i="2"/>
  <c r="N567" i="2"/>
  <c r="N555" i="2"/>
  <c r="N543" i="2"/>
  <c r="N531" i="2"/>
  <c r="N519" i="2"/>
  <c r="N507" i="2"/>
  <c r="N495" i="2"/>
  <c r="N483" i="2"/>
  <c r="N471" i="2"/>
  <c r="N459" i="2"/>
  <c r="N447" i="2"/>
  <c r="N435" i="2"/>
  <c r="N423" i="2"/>
  <c r="N411" i="2"/>
  <c r="N399" i="2"/>
  <c r="N387" i="2"/>
  <c r="N375" i="2"/>
  <c r="N363" i="2"/>
  <c r="N351" i="2"/>
  <c r="N339" i="2"/>
  <c r="N327" i="2"/>
  <c r="N315" i="2"/>
  <c r="N303" i="2"/>
  <c r="N291" i="2"/>
  <c r="N279" i="2"/>
  <c r="N267" i="2"/>
  <c r="N255" i="2"/>
  <c r="N243" i="2"/>
  <c r="N231" i="2"/>
  <c r="N219" i="2"/>
  <c r="N207" i="2"/>
  <c r="N195" i="2"/>
  <c r="N183" i="2"/>
  <c r="N171" i="2"/>
  <c r="N159" i="2"/>
  <c r="N147" i="2"/>
  <c r="N135" i="2"/>
  <c r="N123" i="2"/>
  <c r="N111" i="2"/>
  <c r="N99" i="2"/>
  <c r="N87" i="2"/>
  <c r="N75" i="2"/>
  <c r="N63" i="2"/>
  <c r="N51" i="2"/>
  <c r="N39" i="2"/>
  <c r="N27" i="2"/>
  <c r="N15" i="2"/>
  <c r="N3" i="2"/>
</calcChain>
</file>

<file path=xl/sharedStrings.xml><?xml version="1.0" encoding="utf-8"?>
<sst xmlns="http://schemas.openxmlformats.org/spreadsheetml/2006/main" count="14688" uniqueCount="2290">
  <si>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</si>
  <si>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</si>
  <si>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</si>
  <si>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</si>
  <si>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</si>
  <si>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</si>
  <si>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</si>
  <si>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</si>
  <si>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</si>
  <si>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</si>
  <si>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</si>
  <si>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</si>
  <si>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</si>
  <si>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</si>
  <si>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</si>
  <si>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</si>
  <si>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</si>
  <si>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</si>
  <si>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</si>
  <si>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</si>
  <si>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</si>
  <si>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</si>
  <si>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</si>
  <si>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</si>
  <si>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</si>
  <si>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</si>
  <si>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</si>
  <si>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</si>
  <si>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</si>
  <si>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</si>
  <si>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</si>
  <si>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</si>
  <si>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</si>
  <si>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</si>
  <si>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</si>
  <si>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</si>
  <si>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</si>
  <si>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</si>
  <si>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</si>
  <si>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</si>
  <si>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</si>
  <si>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</si>
  <si>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</si>
  <si>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</si>
  <si>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</si>
  <si>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</si>
  <si>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</si>
  <si>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</si>
  <si>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</si>
  <si>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</si>
  <si>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</si>
  <si>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</si>
  <si>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</si>
  <si>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</si>
  <si>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</si>
  <si>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</si>
  <si>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</si>
  <si>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</si>
  <si>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</si>
  <si>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</si>
  <si>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</si>
  <si>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</si>
  <si>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</si>
  <si>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</si>
  <si>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</si>
  <si>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</si>
  <si>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</si>
  <si>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</si>
  <si>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</si>
  <si>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</si>
  <si>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</si>
  <si>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</si>
  <si>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</si>
  <si>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</si>
  <si>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</si>
  <si>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</si>
  <si>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</si>
  <si>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</si>
  <si>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</si>
  <si>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</si>
  <si>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</si>
  <si>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</si>
  <si>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</si>
  <si>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</si>
  <si>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</si>
  <si>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</si>
  <si>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</si>
  <si>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</si>
  <si>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</si>
  <si>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</si>
  <si>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</si>
  <si>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</si>
  <si>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</si>
  <si>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</si>
  <si>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</si>
  <si>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</si>
  <si>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</si>
  <si>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</si>
  <si>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</si>
  <si>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</si>
  <si>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</si>
  <si>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</si>
  <si>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</si>
  <si>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</si>
  <si>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</si>
  <si>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</si>
  <si>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</si>
  <si>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</si>
  <si>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</si>
  <si>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</si>
  <si>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</si>
  <si>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</si>
  <si>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</si>
  <si>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</si>
  <si>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</si>
  <si>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</si>
  <si>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</si>
  <si>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</si>
  <si>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</si>
  <si>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</si>
  <si>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</si>
  <si>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</si>
  <si>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</si>
  <si>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</si>
  <si>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</si>
  <si>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</si>
  <si>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</si>
  <si>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</si>
  <si>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</si>
  <si>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</si>
  <si>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</si>
  <si>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</si>
  <si>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</si>
  <si>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</si>
  <si>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</si>
  <si>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</si>
  <si>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</si>
  <si>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</si>
  <si>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</si>
  <si>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</si>
  <si>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</si>
  <si>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</si>
  <si>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</si>
  <si>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</si>
  <si>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</si>
  <si>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</si>
  <si>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</si>
  <si>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</si>
  <si>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</si>
  <si>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</si>
  <si>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</si>
  <si>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</si>
  <si>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</si>
  <si>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</si>
  <si>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</si>
  <si>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</si>
  <si>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</si>
  <si>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</si>
  <si>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</si>
  <si>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</si>
  <si>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</si>
  <si>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</si>
  <si>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</si>
  <si>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</si>
  <si>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</si>
  <si>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</si>
  <si>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</si>
  <si>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</si>
  <si>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</si>
  <si>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</si>
  <si>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</si>
  <si>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</si>
  <si>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</si>
  <si>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</si>
  <si>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</si>
  <si>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</si>
  <si>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</si>
  <si>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</si>
  <si>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</si>
  <si>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</si>
  <si>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</si>
  <si>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</si>
  <si>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</si>
  <si>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</si>
  <si>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</si>
  <si>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</si>
  <si>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</si>
  <si>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</si>
  <si>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</si>
  <si>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</si>
  <si>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</si>
  <si>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</si>
  <si>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</si>
  <si>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</si>
  <si>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</si>
  <si>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</si>
  <si>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</si>
  <si>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</si>
  <si>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</si>
  <si>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</si>
  <si>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</si>
  <si>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</si>
  <si>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</si>
  <si>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</si>
  <si>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</si>
  <si>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</si>
  <si>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</si>
  <si>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</si>
  <si>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</si>
  <si>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</si>
  <si>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</si>
  <si>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</si>
  <si>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</si>
  <si>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</si>
  <si>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</si>
  <si>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</si>
  <si>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</si>
  <si>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</si>
  <si>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</si>
  <si>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</si>
  <si>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</si>
  <si>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</si>
  <si>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</si>
  <si>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</si>
  <si>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</si>
  <si>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</si>
  <si>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</si>
  <si>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</si>
  <si>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</si>
  <si>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</si>
  <si>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</si>
  <si>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</si>
  <si>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</si>
  <si>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</si>
  <si>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</si>
  <si>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</si>
  <si>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</si>
  <si>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</si>
  <si>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</si>
  <si>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</si>
  <si>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</si>
  <si>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</si>
  <si>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</si>
  <si>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</si>
  <si>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</si>
  <si>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</si>
  <si>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</si>
  <si>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</si>
  <si>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</si>
  <si>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</si>
  <si>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</si>
  <si>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</si>
  <si>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</si>
  <si>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</si>
  <si>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</si>
  <si>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</si>
  <si>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</si>
  <si>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</si>
  <si>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</si>
  <si>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</si>
  <si>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</si>
  <si>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</si>
  <si>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</si>
  <si>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</si>
  <si>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</si>
  <si>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</si>
  <si>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</si>
  <si>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</si>
  <si>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</si>
  <si>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</si>
  <si>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</si>
  <si>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</si>
  <si>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</si>
  <si>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</si>
  <si>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</si>
  <si>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</si>
  <si>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</si>
  <si>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</si>
  <si>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</si>
  <si>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</si>
  <si>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</si>
  <si>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</si>
  <si>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</si>
  <si>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</si>
  <si>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</si>
  <si>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</si>
  <si>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</si>
  <si>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</si>
  <si>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</si>
  <si>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</si>
  <si>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</si>
  <si>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</si>
  <si>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</si>
  <si>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</si>
  <si>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</si>
  <si>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</si>
  <si>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</si>
  <si>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</si>
  <si>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</si>
  <si>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</si>
  <si>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</si>
  <si>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</si>
  <si>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</si>
  <si>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</si>
  <si>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</si>
  <si>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</si>
  <si>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</si>
  <si>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</si>
  <si>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</si>
  <si>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</si>
  <si>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</si>
  <si>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</si>
  <si>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</si>
  <si>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</si>
  <si>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</si>
  <si>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</si>
  <si>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</si>
  <si>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</si>
  <si>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</si>
  <si>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</si>
  <si>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</si>
  <si>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</si>
  <si>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</si>
  <si>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</si>
  <si>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</si>
  <si>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</si>
  <si>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</si>
  <si>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</si>
  <si>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</si>
  <si>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</si>
  <si>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</si>
  <si>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</si>
  <si>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</si>
  <si>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</si>
  <si>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</si>
  <si>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</si>
  <si>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</si>
  <si>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</si>
  <si>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</si>
  <si>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</si>
  <si>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</si>
  <si>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</si>
  <si>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</si>
  <si>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</si>
  <si>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</si>
  <si>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</si>
  <si>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</si>
  <si>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</si>
  <si>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</si>
  <si>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</si>
  <si>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</si>
  <si>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</si>
  <si>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</si>
  <si>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</si>
  <si>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</si>
  <si>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</si>
  <si>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</si>
  <si>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</si>
  <si>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</si>
  <si>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</si>
  <si>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</si>
  <si>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</si>
  <si>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</si>
  <si>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</si>
  <si>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</si>
  <si>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</si>
  <si>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</si>
  <si>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</si>
  <si>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</si>
  <si>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</si>
  <si>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</si>
  <si>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</si>
  <si>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</si>
  <si>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</si>
  <si>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</si>
  <si>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</si>
  <si>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</si>
  <si>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</si>
  <si>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</si>
  <si>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</si>
  <si>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</si>
  <si>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</si>
  <si>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</si>
  <si>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</si>
  <si>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</si>
  <si>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</si>
  <si>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</si>
  <si>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</si>
  <si>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</si>
  <si>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</si>
  <si>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</si>
  <si>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</si>
  <si>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</si>
  <si>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</si>
  <si>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</si>
  <si>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</si>
  <si>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</si>
  <si>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</si>
  <si>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</si>
  <si>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</si>
  <si>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</si>
  <si>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</si>
  <si>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</si>
  <si>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</si>
  <si>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</si>
  <si>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</si>
  <si>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</si>
  <si>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</si>
  <si>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</si>
  <si>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</si>
  <si>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</si>
  <si>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</si>
  <si>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</si>
  <si>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</si>
  <si>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</si>
  <si>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</si>
  <si>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</si>
  <si>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</si>
  <si>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</si>
  <si>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</si>
  <si>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</si>
  <si>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</si>
  <si>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</si>
  <si>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</si>
  <si>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</si>
  <si>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</si>
  <si>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</si>
  <si>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</si>
  <si>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</si>
  <si>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</si>
  <si>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</si>
  <si>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</si>
  <si>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</si>
  <si>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</si>
  <si>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</si>
  <si>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</si>
  <si>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</si>
  <si>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</si>
  <si>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</si>
  <si>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</si>
  <si>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</si>
  <si>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</si>
  <si>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</si>
  <si>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</si>
  <si>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</si>
  <si>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</si>
  <si>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</si>
  <si>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</si>
  <si>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</si>
  <si>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</si>
  <si>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</si>
  <si>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</si>
  <si>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</si>
  <si>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</si>
  <si>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</si>
  <si>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</si>
  <si>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</si>
  <si>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</si>
  <si>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</si>
  <si>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</si>
  <si>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</si>
  <si>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</si>
  <si>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</si>
  <si>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</si>
  <si>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</si>
  <si>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</si>
  <si>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</si>
  <si>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</si>
  <si>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</si>
  <si>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</si>
  <si>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</si>
  <si>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</si>
  <si>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</si>
  <si>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</si>
  <si>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</si>
  <si>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</si>
  <si>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</si>
  <si>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</si>
  <si>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</si>
  <si>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</si>
  <si>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</si>
  <si>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</si>
  <si>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</si>
  <si>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</si>
  <si>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</si>
  <si>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</si>
  <si>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</si>
  <si>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</si>
  <si>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</si>
  <si>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</si>
  <si>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</si>
  <si>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</si>
  <si>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</si>
  <si>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</si>
  <si>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</si>
  <si>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</si>
  <si>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</si>
  <si>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</si>
  <si>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</si>
  <si>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</si>
  <si>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</si>
  <si>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</si>
  <si>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</si>
  <si>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</si>
  <si>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</si>
  <si>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</si>
  <si>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</si>
  <si>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</si>
  <si>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</si>
  <si>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</si>
  <si>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</si>
  <si>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</si>
  <si>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</si>
  <si>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</si>
  <si>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</si>
  <si>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</si>
  <si>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</si>
  <si>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</si>
  <si>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</si>
  <si>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</si>
  <si>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</si>
  <si>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</si>
  <si>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</si>
  <si>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</si>
  <si>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</si>
  <si>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</si>
  <si>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</si>
  <si>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</si>
  <si>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</si>
  <si>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</si>
  <si>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</si>
  <si>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</si>
  <si>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</si>
  <si>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</si>
  <si>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</si>
  <si>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</si>
  <si>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</si>
  <si>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</si>
  <si>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</si>
  <si>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</si>
  <si>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</si>
  <si>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</si>
  <si>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</si>
  <si>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</si>
  <si>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</si>
  <si>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</si>
  <si>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</si>
  <si>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</si>
  <si>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</si>
  <si>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</si>
  <si>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</si>
  <si>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</si>
  <si>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</si>
  <si>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</si>
  <si>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</si>
  <si>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</si>
  <si>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</si>
  <si>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</si>
  <si>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</si>
  <si>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</si>
  <si>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</si>
  <si>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</si>
  <si>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</si>
  <si>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</si>
  <si>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</si>
  <si>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</si>
  <si>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</si>
  <si>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</si>
  <si>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</si>
  <si>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</si>
  <si>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</si>
  <si>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</si>
  <si>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</si>
  <si>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</si>
  <si>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</si>
  <si>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</si>
  <si>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</si>
  <si>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</si>
  <si>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</si>
  <si>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</si>
  <si>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</si>
  <si>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</si>
  <si>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</si>
  <si>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</si>
  <si>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</si>
  <si>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</si>
  <si>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</si>
  <si>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</si>
  <si>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</si>
  <si>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</si>
  <si>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</si>
  <si>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</si>
  <si>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</si>
  <si>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</si>
  <si>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</si>
  <si>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</si>
  <si>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</si>
  <si>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</si>
  <si>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</si>
  <si>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</si>
  <si>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</si>
  <si>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</si>
  <si>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</si>
  <si>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</si>
  <si>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</si>
  <si>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</si>
  <si>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</si>
  <si>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</si>
  <si>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</si>
  <si>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</si>
  <si>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</si>
  <si>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</si>
  <si>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</si>
  <si>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</si>
  <si>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</si>
  <si>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</si>
  <si>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</si>
  <si>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</si>
  <si>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</si>
  <si>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</si>
  <si>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</si>
  <si>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</si>
  <si>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</si>
  <si>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</si>
  <si>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</si>
  <si>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</si>
  <si>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</si>
  <si>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</si>
  <si>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</si>
  <si>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</si>
  <si>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</si>
  <si>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</si>
  <si>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</si>
  <si>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</si>
  <si>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</si>
  <si>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</si>
  <si>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</si>
  <si>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</si>
  <si>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</si>
  <si>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</si>
  <si>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</si>
  <si>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</si>
  <si>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</si>
  <si>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</si>
  <si>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</si>
  <si>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</si>
  <si>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</si>
  <si>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</si>
  <si>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</si>
  <si>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</si>
  <si>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</si>
  <si>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</si>
  <si>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</si>
  <si>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</si>
  <si>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</si>
  <si>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</si>
  <si>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</si>
  <si>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</si>
  <si>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</si>
  <si>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</si>
  <si>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</si>
  <si>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</si>
  <si>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</si>
  <si>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</si>
  <si>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</si>
  <si>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</si>
  <si>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</si>
  <si>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</si>
  <si>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</si>
  <si>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</si>
  <si>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</si>
  <si>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</si>
  <si>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</si>
  <si>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</si>
  <si>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</si>
  <si>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</si>
  <si>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</si>
  <si>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</si>
  <si>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</si>
  <si>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</si>
  <si>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</si>
  <si>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</si>
  <si>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</si>
  <si>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</si>
  <si>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</si>
  <si>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</si>
  <si>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</si>
  <si>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</si>
  <si>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</si>
  <si>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</si>
  <si>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</si>
  <si>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</si>
  <si>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</si>
  <si>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</si>
  <si>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</si>
  <si>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</si>
  <si>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</si>
  <si>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</si>
  <si>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</si>
  <si>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</si>
  <si>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</si>
  <si>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</si>
  <si>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</si>
  <si>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</si>
  <si>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</si>
  <si>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</si>
  <si>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</si>
  <si>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</si>
  <si>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</si>
  <si>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</si>
  <si>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</si>
  <si>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</si>
  <si>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</si>
  <si>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</si>
  <si>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</si>
  <si>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</si>
  <si>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</si>
  <si>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</si>
  <si>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</si>
  <si>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</si>
  <si>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</si>
  <si>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</si>
  <si>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</si>
  <si>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</si>
  <si>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</si>
  <si>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</si>
  <si>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</si>
  <si>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</si>
  <si>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</si>
  <si>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</si>
  <si>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</si>
  <si>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</si>
  <si>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</si>
  <si>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</si>
  <si>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</si>
  <si>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</si>
  <si>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</si>
  <si>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</si>
  <si>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</si>
  <si>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</si>
  <si>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</si>
  <si>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</si>
  <si>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</si>
  <si>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</si>
  <si>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</si>
  <si>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</si>
  <si>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</si>
  <si>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</si>
  <si>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</si>
  <si>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</si>
  <si>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</si>
  <si>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</si>
  <si>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</si>
  <si>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</si>
  <si>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</si>
  <si>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</si>
  <si>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</si>
  <si>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</si>
  <si>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</si>
  <si>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</si>
  <si>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</si>
  <si>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</si>
  <si>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</si>
  <si>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07-11-2023</t>
  </si>
  <si>
    <t>24-01-2024</t>
  </si>
  <si>
    <t>17-09-2023</t>
  </si>
  <si>
    <t>17-08-2024</t>
  </si>
  <si>
    <t>02-05-2025</t>
  </si>
  <si>
    <t>15-09-2023</t>
  </si>
  <si>
    <t>15-09-2025</t>
  </si>
  <si>
    <t>20-10-2024</t>
  </si>
  <si>
    <t>30-11-2025</t>
  </si>
  <si>
    <t>19-04-2026</t>
  </si>
  <si>
    <t>31-05-2024</t>
  </si>
  <si>
    <t>15-01-2026</t>
  </si>
  <si>
    <t>04-03-2026</t>
  </si>
  <si>
    <t>05-02-2025</t>
  </si>
  <si>
    <t>08-11-2023</t>
  </si>
  <si>
    <t>24-06-2025</t>
  </si>
  <si>
    <t>01-12-2025</t>
  </si>
  <si>
    <t>10-01-2025</t>
  </si>
  <si>
    <t>15-02-2025</t>
  </si>
  <si>
    <t>Traci Sanchez</t>
  </si>
  <si>
    <t>Norman Jordan</t>
  </si>
  <si>
    <t>Thomas Scott</t>
  </si>
  <si>
    <t>Samuel Diaz</t>
  </si>
  <si>
    <t>Tiffany Ruiz</t>
  </si>
  <si>
    <t>Stephanie Rodriguez</t>
  </si>
  <si>
    <t>Barbara Mora</t>
  </si>
  <si>
    <t>Gloria Brown</t>
  </si>
  <si>
    <t>Stephen Adkins</t>
  </si>
  <si>
    <t>Rachel Mathews</t>
  </si>
  <si>
    <t>Jacqueline Johnson</t>
  </si>
  <si>
    <t>Kevin Anderson</t>
  </si>
  <si>
    <t>Kenneth Sullivan</t>
  </si>
  <si>
    <t>John Bates</t>
  </si>
  <si>
    <t>Patrick Horn</t>
  </si>
  <si>
    <t>Danny Clark</t>
  </si>
  <si>
    <t>Thomas Olson</t>
  </si>
  <si>
    <t>Jeffrey Levy</t>
  </si>
  <si>
    <t>James Hamilton</t>
  </si>
  <si>
    <t>Joshua Smith</t>
  </si>
  <si>
    <t>Lorraine Ruiz</t>
  </si>
  <si>
    <t>Terri Miller</t>
  </si>
  <si>
    <t>Stacey Lewis</t>
  </si>
  <si>
    <t>Amanda Roberts</t>
  </si>
  <si>
    <t>William Fernandez</t>
  </si>
  <si>
    <t>Nicholas Taylor</t>
  </si>
  <si>
    <t>Amanda Roy</t>
  </si>
  <si>
    <t>Charles Moore</t>
  </si>
  <si>
    <t>Linda Wells</t>
  </si>
  <si>
    <t>Daniel King</t>
  </si>
  <si>
    <t>Ricardo Ramirez</t>
  </si>
  <si>
    <t>Erika Ellis</t>
  </si>
  <si>
    <t>Pamela Norman</t>
  </si>
  <si>
    <t>Dennis Stewart</t>
  </si>
  <si>
    <t>Ms. Colleen Smith DDS</t>
  </si>
  <si>
    <t>Katelyn Williams</t>
  </si>
  <si>
    <t>Shannon Wagner</t>
  </si>
  <si>
    <t>Kelli Johnson</t>
  </si>
  <si>
    <t>Rebecca Blake</t>
  </si>
  <si>
    <t>Brian Gallagher</t>
  </si>
  <si>
    <t>Melissa Burgess</t>
  </si>
  <si>
    <t>Jenna Hill</t>
  </si>
  <si>
    <t>Steven Moody</t>
  </si>
  <si>
    <t>Donald Prince</t>
  </si>
  <si>
    <t>Michael Robinson</t>
  </si>
  <si>
    <t>Christina Cooper</t>
  </si>
  <si>
    <t>David Anderson</t>
  </si>
  <si>
    <t>Ann Conner</t>
  </si>
  <si>
    <t>David Morgan</t>
  </si>
  <si>
    <t>Andrea Carrillo</t>
  </si>
  <si>
    <t>Laura James</t>
  </si>
  <si>
    <t>Charles Torres</t>
  </si>
  <si>
    <t>Alexander Taylor</t>
  </si>
  <si>
    <t>Walter Lindsey</t>
  </si>
  <si>
    <t>Jennifer Downs</t>
  </si>
  <si>
    <t>Tara Ferguson</t>
  </si>
  <si>
    <t>Brittany Woodward</t>
  </si>
  <si>
    <t>Johnathan Logan</t>
  </si>
  <si>
    <t>Maria Walker</t>
  </si>
  <si>
    <t>Robert Willis</t>
  </si>
  <si>
    <t>Wanda Byrd</t>
  </si>
  <si>
    <t>John Potts</t>
  </si>
  <si>
    <t>Monica Kelley</t>
  </si>
  <si>
    <t>Justin Farrell</t>
  </si>
  <si>
    <t>Joseph Sanchez</t>
  </si>
  <si>
    <t>Kenneth Dunn</t>
  </si>
  <si>
    <t>Christina Henry</t>
  </si>
  <si>
    <t>Jessica Smith</t>
  </si>
  <si>
    <t>Daniel Williamson</t>
  </si>
  <si>
    <t>Sean Miranda</t>
  </si>
  <si>
    <t>Kelly Yoder</t>
  </si>
  <si>
    <t>Cristian Graham</t>
  </si>
  <si>
    <t>Patricia Rojas</t>
  </si>
  <si>
    <t>Elizabeth Martin</t>
  </si>
  <si>
    <t>Mr. Nicholas Fischer III</t>
  </si>
  <si>
    <t>Michael Whitney</t>
  </si>
  <si>
    <t>William Gonzalez</t>
  </si>
  <si>
    <t>Gabriel Daniels</t>
  </si>
  <si>
    <t>Monica Price</t>
  </si>
  <si>
    <t>Christine Wood</t>
  </si>
  <si>
    <t>Christopher Becker</t>
  </si>
  <si>
    <t>Brandon Barker</t>
  </si>
  <si>
    <t>Teresa Velazquez</t>
  </si>
  <si>
    <t>Kristen Payne</t>
  </si>
  <si>
    <t>Brittany Bradley</t>
  </si>
  <si>
    <t>Christy Harris</t>
  </si>
  <si>
    <t>Jeremy Hood</t>
  </si>
  <si>
    <t>Daniel Clark</t>
  </si>
  <si>
    <t>Jill Ayers</t>
  </si>
  <si>
    <t>Ryan Moss</t>
  </si>
  <si>
    <t>Douglas Becker</t>
  </si>
  <si>
    <t>Elizabeth Woods</t>
  </si>
  <si>
    <t>Daniel Adams</t>
  </si>
  <si>
    <t>Rhonda Perez</t>
  </si>
  <si>
    <t>Amanda Watkins</t>
  </si>
  <si>
    <t>Kimberly Wood</t>
  </si>
  <si>
    <t>Eric Collins</t>
  </si>
  <si>
    <t>Yolanda Burke</t>
  </si>
  <si>
    <t>Sara Miller</t>
  </si>
  <si>
    <t>Jacqueline Hernandez</t>
  </si>
  <si>
    <t>Frederick Norris</t>
  </si>
  <si>
    <t>Richard Day</t>
  </si>
  <si>
    <t>Michelle Ryan</t>
  </si>
  <si>
    <t>Robert Rice</t>
  </si>
  <si>
    <t>Samantha Hernandez PhD</t>
  </si>
  <si>
    <t>Gregory Munoz</t>
  </si>
  <si>
    <t>Dawn Lee</t>
  </si>
  <si>
    <t>Michael Bell</t>
  </si>
  <si>
    <t>Lisa Phelps</t>
  </si>
  <si>
    <t>Blake Butler</t>
  </si>
  <si>
    <t>Tonya Turner</t>
  </si>
  <si>
    <t>Tina Brady</t>
  </si>
  <si>
    <t>Alexander Cook</t>
  </si>
  <si>
    <t>Andrew Gardner</t>
  </si>
  <si>
    <t>Rita Perry</t>
  </si>
  <si>
    <t>William Miller Jr.</t>
  </si>
  <si>
    <t>Henry Williams</t>
  </si>
  <si>
    <t>Alexis Robertson</t>
  </si>
  <si>
    <t>Andrew Wang</t>
  </si>
  <si>
    <t>James Collier</t>
  </si>
  <si>
    <t>Christopher Lee</t>
  </si>
  <si>
    <t>Heather George</t>
  </si>
  <si>
    <t>Andrea Sanchez</t>
  </si>
  <si>
    <t>Travis Perkins</t>
  </si>
  <si>
    <t>Mark Mora</t>
  </si>
  <si>
    <t>Megan Ortega</t>
  </si>
  <si>
    <t>Curtis Morris</t>
  </si>
  <si>
    <t>Richard Brown</t>
  </si>
  <si>
    <t>Shannon Smith</t>
  </si>
  <si>
    <t>Robert Armstrong</t>
  </si>
  <si>
    <t>Marcia Jackson</t>
  </si>
  <si>
    <t>Maria Cardenas</t>
  </si>
  <si>
    <t>Jennifer Carter</t>
  </si>
  <si>
    <t>Austin Brown</t>
  </si>
  <si>
    <t>Alice Villanueva</t>
  </si>
  <si>
    <t>Cheryl Curtis</t>
  </si>
  <si>
    <t>Clinton Smith</t>
  </si>
  <si>
    <t>Jessica Greene</t>
  </si>
  <si>
    <t>Barry Padilla</t>
  </si>
  <si>
    <t>John Lowery</t>
  </si>
  <si>
    <t>Sharon Scott</t>
  </si>
  <si>
    <t>Stephanie Marshall</t>
  </si>
  <si>
    <t>Michelle Fuller</t>
  </si>
  <si>
    <t>Christopher Pollard</t>
  </si>
  <si>
    <t>Shane Morse</t>
  </si>
  <si>
    <t>Teresa Duke</t>
  </si>
  <si>
    <t>Amanda Murray</t>
  </si>
  <si>
    <t>Kristina Stanley</t>
  </si>
  <si>
    <t>Sheryl Davenport</t>
  </si>
  <si>
    <t>Kendra Gonzalez</t>
  </si>
  <si>
    <t>Lawrence Kennedy</t>
  </si>
  <si>
    <t>Brandon Thompson</t>
  </si>
  <si>
    <t>Ryan Johnson</t>
  </si>
  <si>
    <t>Amber Reyes</t>
  </si>
  <si>
    <t>Jaime Carpenter</t>
  </si>
  <si>
    <t>Tammy Walker</t>
  </si>
  <si>
    <t>Bruce Klein</t>
  </si>
  <si>
    <t>Victoria Winters</t>
  </si>
  <si>
    <t>Caroline Beck</t>
  </si>
  <si>
    <t>Jerry Jackson</t>
  </si>
  <si>
    <t>Pamela Johnson</t>
  </si>
  <si>
    <t>Sharon Clay</t>
  </si>
  <si>
    <t>Stephen Andrews</t>
  </si>
  <si>
    <t>Angela Mercado</t>
  </si>
  <si>
    <t>Daniel Wolfe</t>
  </si>
  <si>
    <t>Erik Turner</t>
  </si>
  <si>
    <t>Brian Grant</t>
  </si>
  <si>
    <t>Mr. Travis Love MD</t>
  </si>
  <si>
    <t>Denise Evans</t>
  </si>
  <si>
    <t>Amy Fitzpatrick</t>
  </si>
  <si>
    <t>Kathryn Kim</t>
  </si>
  <si>
    <t>Barbara Hall</t>
  </si>
  <si>
    <t>Joy Johnson</t>
  </si>
  <si>
    <t>Cheryl Thompson</t>
  </si>
  <si>
    <t>Bobby Rosario</t>
  </si>
  <si>
    <t>Robert Snyder</t>
  </si>
  <si>
    <t>Paul Beasley</t>
  </si>
  <si>
    <t>Justin Jones</t>
  </si>
  <si>
    <t>David Brady</t>
  </si>
  <si>
    <t>Claire Farley</t>
  </si>
  <si>
    <t>Elizabeth Lutz</t>
  </si>
  <si>
    <t>William Dougherty</t>
  </si>
  <si>
    <t>Phyllis Arnold</t>
  </si>
  <si>
    <t>Michael Hall</t>
  </si>
  <si>
    <t>Jeremiah Wade</t>
  </si>
  <si>
    <t>Tina Taylor</t>
  </si>
  <si>
    <t>Robert Martinez</t>
  </si>
  <si>
    <t>Jimmy Fisher</t>
  </si>
  <si>
    <t>Michael Ruiz</t>
  </si>
  <si>
    <t>Brett Lee</t>
  </si>
  <si>
    <t>Cynthia Moore</t>
  </si>
  <si>
    <t>Julie Cummings</t>
  </si>
  <si>
    <t>Andrea Gill</t>
  </si>
  <si>
    <t>Carrie Sullivan</t>
  </si>
  <si>
    <t>Jill Miller</t>
  </si>
  <si>
    <t>Luis Pratt</t>
  </si>
  <si>
    <t>Jonathon Chavez</t>
  </si>
  <si>
    <t>Jonathan Arnold</t>
  </si>
  <si>
    <t>Aaron Wilson</t>
  </si>
  <si>
    <t>Brittany Summers</t>
  </si>
  <si>
    <t>Willie Garcia</t>
  </si>
  <si>
    <t>Kevin Delacruz</t>
  </si>
  <si>
    <t>Elizabeth Dougherty</t>
  </si>
  <si>
    <t>Tammy Brown</t>
  </si>
  <si>
    <t>Amy Shepherd</t>
  </si>
  <si>
    <t>Emily Doyle</t>
  </si>
  <si>
    <t>Steven Glover</t>
  </si>
  <si>
    <t>Bryan Lara</t>
  </si>
  <si>
    <t>Keith Wood</t>
  </si>
  <si>
    <t>Samuel Barnett</t>
  </si>
  <si>
    <t>Christian Hernandez</t>
  </si>
  <si>
    <t>Andrew Maldonado</t>
  </si>
  <si>
    <t>Robert Valdez</t>
  </si>
  <si>
    <t>Victoria Smith</t>
  </si>
  <si>
    <t>Rebecca King</t>
  </si>
  <si>
    <t>Timothy Patterson</t>
  </si>
  <si>
    <t>Tiffany Young</t>
  </si>
  <si>
    <t>Scott Miller</t>
  </si>
  <si>
    <t>Ryan Stephenson</t>
  </si>
  <si>
    <t>William Hughes</t>
  </si>
  <si>
    <t>Derek Taylor</t>
  </si>
  <si>
    <t>Deanna White</t>
  </si>
  <si>
    <t>Michael Rivera</t>
  </si>
  <si>
    <t>Jonathan Carter</t>
  </si>
  <si>
    <t>Blake Jones</t>
  </si>
  <si>
    <t>Julie Vega</t>
  </si>
  <si>
    <t>Lisa Davis</t>
  </si>
  <si>
    <t>Margaret English</t>
  </si>
  <si>
    <t>Alexander Bradford</t>
  </si>
  <si>
    <t>Sean Cantu</t>
  </si>
  <si>
    <t>Christine Powell</t>
  </si>
  <si>
    <t>Brandon Hicks</t>
  </si>
  <si>
    <t>Morgan Jones</t>
  </si>
  <si>
    <t>Jason Gonzalez</t>
  </si>
  <si>
    <t>Bobby Wood</t>
  </si>
  <si>
    <t>Michael Payne</t>
  </si>
  <si>
    <t>Kathleen Hardin</t>
  </si>
  <si>
    <t>Emily Wells</t>
  </si>
  <si>
    <t>Rose Taylor</t>
  </si>
  <si>
    <t>Lauren Robinson</t>
  </si>
  <si>
    <t>Toni Melendez</t>
  </si>
  <si>
    <t>Brenda Cameron</t>
  </si>
  <si>
    <t>Samantha Briggs</t>
  </si>
  <si>
    <t>Joseph Frazier</t>
  </si>
  <si>
    <t>Zachary Thornton</t>
  </si>
  <si>
    <t>Amanda Green</t>
  </si>
  <si>
    <t>Donna Martin</t>
  </si>
  <si>
    <t>Jessica Hansen</t>
  </si>
  <si>
    <t>Mrs. Jessica Padilla DDS</t>
  </si>
  <si>
    <t>Paige Shah</t>
  </si>
  <si>
    <t>Javier Lewis</t>
  </si>
  <si>
    <t>Dawn Hill</t>
  </si>
  <si>
    <t>Ricky Mora</t>
  </si>
  <si>
    <t>John Johnson</t>
  </si>
  <si>
    <t>Melissa Murphy</t>
  </si>
  <si>
    <t>Danielle Hodge</t>
  </si>
  <si>
    <t>Allen Trevino</t>
  </si>
  <si>
    <t>Mr. David Palmer</t>
  </si>
  <si>
    <t>Megan Miranda</t>
  </si>
  <si>
    <t>Marcus Smith</t>
  </si>
  <si>
    <t>Carol Wright</t>
  </si>
  <si>
    <t>Jessica Hayes</t>
  </si>
  <si>
    <t>Cynthia Winters</t>
  </si>
  <si>
    <t>Robert Benitez</t>
  </si>
  <si>
    <t>Deborah Scott</t>
  </si>
  <si>
    <t>Eric Taylor</t>
  </si>
  <si>
    <t>Stephen Nguyen</t>
  </si>
  <si>
    <t>Jon Eaton Jr.</t>
  </si>
  <si>
    <t>Christopher Riley</t>
  </si>
  <si>
    <t>Laura Jimenez</t>
  </si>
  <si>
    <t>Kevin Randall</t>
  </si>
  <si>
    <t>Tyler Cabrera</t>
  </si>
  <si>
    <t>Terri Freeman</t>
  </si>
  <si>
    <t>Christine Hunter</t>
  </si>
  <si>
    <t>Susan Burton</t>
  </si>
  <si>
    <t>Christopher Silva</t>
  </si>
  <si>
    <t>Mrs. Elizabeth Fernandez MD</t>
  </si>
  <si>
    <t>Monica Tucker</t>
  </si>
  <si>
    <t>Kayla Austin DDS</t>
  </si>
  <si>
    <t>Amanda Jones</t>
  </si>
  <si>
    <t>Nicholas Castro</t>
  </si>
  <si>
    <t>Alexandra Pitts</t>
  </si>
  <si>
    <t>Randy Johnson</t>
  </si>
  <si>
    <t>Amber Strong</t>
  </si>
  <si>
    <t>Mark Harris</t>
  </si>
  <si>
    <t>Jason Perez</t>
  </si>
  <si>
    <t>Roberto Wells</t>
  </si>
  <si>
    <t>Christopher Garcia</t>
  </si>
  <si>
    <t>Elizabeth Werner</t>
  </si>
  <si>
    <t>Ashley Davis</t>
  </si>
  <si>
    <t>Mary Barnes</t>
  </si>
  <si>
    <t>Lori King</t>
  </si>
  <si>
    <t>Wanda Graham</t>
  </si>
  <si>
    <t>Jessica Berger</t>
  </si>
  <si>
    <t>Cassie Valdez</t>
  </si>
  <si>
    <t>Michael Cordova</t>
  </si>
  <si>
    <t>Mary Williams</t>
  </si>
  <si>
    <t>Cheryl Ramos</t>
  </si>
  <si>
    <t>Michael Jackson</t>
  </si>
  <si>
    <t>Veronica Andrews</t>
  </si>
  <si>
    <t>Regina Delgado</t>
  </si>
  <si>
    <t>Tonya Mills</t>
  </si>
  <si>
    <t>Brandon Harris</t>
  </si>
  <si>
    <t>Donald Green</t>
  </si>
  <si>
    <t>Sean Ball</t>
  </si>
  <si>
    <t>Victor Arroyo</t>
  </si>
  <si>
    <t>Amy Carlson</t>
  </si>
  <si>
    <t>Samantha Sparks</t>
  </si>
  <si>
    <t>Randall West</t>
  </si>
  <si>
    <t>Randy Whitney</t>
  </si>
  <si>
    <t>Patricia Love</t>
  </si>
  <si>
    <t>Eugene Hernandez</t>
  </si>
  <si>
    <t>Kara Ortiz</t>
  </si>
  <si>
    <t>Nicholas James</t>
  </si>
  <si>
    <t>Geoffrey Frank</t>
  </si>
  <si>
    <t>Kimberly Flowers</t>
  </si>
  <si>
    <t>Diamond Foster</t>
  </si>
  <si>
    <t>Michael Li</t>
  </si>
  <si>
    <t>Christopher Jones</t>
  </si>
  <si>
    <t>Karen Thomas</t>
  </si>
  <si>
    <t>Melody Freeman</t>
  </si>
  <si>
    <t>Mrs. Crystal Floyd MD</t>
  </si>
  <si>
    <t>Danielle Morgan</t>
  </si>
  <si>
    <t>Ryan Gonzalez</t>
  </si>
  <si>
    <t>Robert Thomas</t>
  </si>
  <si>
    <t>Shannon Compton</t>
  </si>
  <si>
    <t>Benjamin Walker</t>
  </si>
  <si>
    <t>Susan Watson</t>
  </si>
  <si>
    <t>Yolanda Guerra</t>
  </si>
  <si>
    <t>Matthew Ryan</t>
  </si>
  <si>
    <t>Charles Gonzalez</t>
  </si>
  <si>
    <t>James Clark</t>
  </si>
  <si>
    <t>Christie Collier</t>
  </si>
  <si>
    <t>Karen Snyder</t>
  </si>
  <si>
    <t>Kathryn Potts</t>
  </si>
  <si>
    <t>Amber Wilson</t>
  </si>
  <si>
    <t>Mackenzie Jimenez</t>
  </si>
  <si>
    <t>Kristen Smith</t>
  </si>
  <si>
    <t>April Jackson</t>
  </si>
  <si>
    <t>Jerry Fischer</t>
  </si>
  <si>
    <t>Timothy Daniels</t>
  </si>
  <si>
    <t>Ryan Williams</t>
  </si>
  <si>
    <t>Alicia King</t>
  </si>
  <si>
    <t>Christopher Kim</t>
  </si>
  <si>
    <t>Cynthia Hernandez</t>
  </si>
  <si>
    <t>Zachary Bishop</t>
  </si>
  <si>
    <t>Rhonda Woods</t>
  </si>
  <si>
    <t>Joshua Costa</t>
  </si>
  <si>
    <t>Eric Higgins</t>
  </si>
  <si>
    <t>Robert Porter</t>
  </si>
  <si>
    <t>Belinda Wells</t>
  </si>
  <si>
    <t>Jeremiah Bond</t>
  </si>
  <si>
    <t>Marie Mendoza</t>
  </si>
  <si>
    <t>Savannah Jackson</t>
  </si>
  <si>
    <t>Elizabeth Walker</t>
  </si>
  <si>
    <t>Melissa Taylor</t>
  </si>
  <si>
    <t>Samuel Wang</t>
  </si>
  <si>
    <t>Elizabeth Park</t>
  </si>
  <si>
    <t>Karen Stevens</t>
  </si>
  <si>
    <t>Herbert Jones</t>
  </si>
  <si>
    <t>Tyler James</t>
  </si>
  <si>
    <t>Robert Mcdonald</t>
  </si>
  <si>
    <t>Bianca Rogers</t>
  </si>
  <si>
    <t>Caitlin Black</t>
  </si>
  <si>
    <t>Rebecca Brown</t>
  </si>
  <si>
    <t>Sara Walker</t>
  </si>
  <si>
    <t>Jacob Shelton</t>
  </si>
  <si>
    <t>Vickie Cooper</t>
  </si>
  <si>
    <t>Ethan Walton</t>
  </si>
  <si>
    <t>Rachel Miller</t>
  </si>
  <si>
    <t>Karen Merritt</t>
  </si>
  <si>
    <t>Eric Sherman</t>
  </si>
  <si>
    <t>April Ward</t>
  </si>
  <si>
    <t>Jeffrey Morgan</t>
  </si>
  <si>
    <t>Jeremy Parrish</t>
  </si>
  <si>
    <t>Elizabeth Miller</t>
  </si>
  <si>
    <t>Danielle Stuart</t>
  </si>
  <si>
    <t>Annette Butler</t>
  </si>
  <si>
    <t>Jamie Flores</t>
  </si>
  <si>
    <t>Peggy Holder</t>
  </si>
  <si>
    <t>Jason Scott</t>
  </si>
  <si>
    <t>Denise Beasley</t>
  </si>
  <si>
    <t>Richard Hernandez</t>
  </si>
  <si>
    <t>Marissa Fox</t>
  </si>
  <si>
    <t>Megan Aguilar</t>
  </si>
  <si>
    <t>David Rice</t>
  </si>
  <si>
    <t>Larry Carter</t>
  </si>
  <si>
    <t>Kellie Barnett</t>
  </si>
  <si>
    <t>Francisco Martinez</t>
  </si>
  <si>
    <t>John Velazquez</t>
  </si>
  <si>
    <t>Laura Cox</t>
  </si>
  <si>
    <t>Heather Mccarthy</t>
  </si>
  <si>
    <t>Nicholas Butler</t>
  </si>
  <si>
    <t>Richard Robinson</t>
  </si>
  <si>
    <t>David Johnson</t>
  </si>
  <si>
    <t>Guy Moore</t>
  </si>
  <si>
    <t>Brandon Chang</t>
  </si>
  <si>
    <t>Virginia Silva</t>
  </si>
  <si>
    <t>Patricia Snyder</t>
  </si>
  <si>
    <t>Sarah Diaz</t>
  </si>
  <si>
    <t>Dawn Peterson</t>
  </si>
  <si>
    <t>Kyle Sandoval</t>
  </si>
  <si>
    <t>Eric Hatfield</t>
  </si>
  <si>
    <t>Phillip Nelson</t>
  </si>
  <si>
    <t>Kim Burns</t>
  </si>
  <si>
    <t>Melissa Tucker</t>
  </si>
  <si>
    <t>Mark Valdez</t>
  </si>
  <si>
    <t>Frances Wallace</t>
  </si>
  <si>
    <t>Tyler Page</t>
  </si>
  <si>
    <t>Erin Williams</t>
  </si>
  <si>
    <t>John Snow</t>
  </si>
  <si>
    <t>Stephanie Cruz</t>
  </si>
  <si>
    <t>Jordan Mcgee</t>
  </si>
  <si>
    <t>Christy White</t>
  </si>
  <si>
    <t>Shannon Tucker</t>
  </si>
  <si>
    <t>Sophia Hughes</t>
  </si>
  <si>
    <t>Michelle Hudson</t>
  </si>
  <si>
    <t>James Jackson</t>
  </si>
  <si>
    <t>David Brennan</t>
  </si>
  <si>
    <t>Kayla Adkins</t>
  </si>
  <si>
    <t>Joshua Chen</t>
  </si>
  <si>
    <t>Theresa Cohen</t>
  </si>
  <si>
    <t>Christopher Nichols</t>
  </si>
  <si>
    <t>Daniel Henderson</t>
  </si>
  <si>
    <t>David Sanford</t>
  </si>
  <si>
    <t>David Carpenter</t>
  </si>
  <si>
    <t>Elizabeth Reid</t>
  </si>
  <si>
    <t>Michaela Grant DDS</t>
  </si>
  <si>
    <t>William Brown</t>
  </si>
  <si>
    <t>Walter Holt</t>
  </si>
  <si>
    <t>Dawn Jones</t>
  </si>
  <si>
    <t>Diane Moore</t>
  </si>
  <si>
    <t>Michelle Lee</t>
  </si>
  <si>
    <t>Jim Weiss</t>
  </si>
  <si>
    <t>Kerry Payne</t>
  </si>
  <si>
    <t>Gary Garcia</t>
  </si>
  <si>
    <t>Amanda Parker</t>
  </si>
  <si>
    <t>Leah Walton</t>
  </si>
  <si>
    <t>Matthew Nguyen</t>
  </si>
  <si>
    <t>Miss Janice Miranda</t>
  </si>
  <si>
    <t>Albert Mora</t>
  </si>
  <si>
    <t>Kenneth Vargas</t>
  </si>
  <si>
    <t>Brenda Ortiz</t>
  </si>
  <si>
    <t>Jeremy Johnson</t>
  </si>
  <si>
    <t>Mr. Brian Hayden DDS</t>
  </si>
  <si>
    <t>Kayla Green</t>
  </si>
  <si>
    <t>Desiree Conrad</t>
  </si>
  <si>
    <t>Gary Bryant</t>
  </si>
  <si>
    <t>Anthony Stone</t>
  </si>
  <si>
    <t>Amanda Strong</t>
  </si>
  <si>
    <t>Paul Potts</t>
  </si>
  <si>
    <t>Scott Graham</t>
  </si>
  <si>
    <t>Joshua Myers</t>
  </si>
  <si>
    <t>Abigail Harris</t>
  </si>
  <si>
    <t>Carmen Garrett</t>
  </si>
  <si>
    <t>Leslie Arias</t>
  </si>
  <si>
    <t>Scott Collier</t>
  </si>
  <si>
    <t>Samuel Butler</t>
  </si>
  <si>
    <t>Erin Gonzalez</t>
  </si>
  <si>
    <t>Jennifer Parker</t>
  </si>
  <si>
    <t>Kaylee Jones</t>
  </si>
  <si>
    <t>Amanda French</t>
  </si>
  <si>
    <t>Raymond Merritt</t>
  </si>
  <si>
    <t>Paul Osborne</t>
  </si>
  <si>
    <t>Ian Webb</t>
  </si>
  <si>
    <t>Christine Martin</t>
  </si>
  <si>
    <t>Alicia Dawson</t>
  </si>
  <si>
    <t>Danny Young</t>
  </si>
  <si>
    <t>Sharon Francis</t>
  </si>
  <si>
    <t>Philip Singleton</t>
  </si>
  <si>
    <t>Amy Lee</t>
  </si>
  <si>
    <t>Stephen Meyer</t>
  </si>
  <si>
    <t>Rachel Santos</t>
  </si>
  <si>
    <t>Travis George</t>
  </si>
  <si>
    <t>Steven Phillips</t>
  </si>
  <si>
    <t>Karen Greene</t>
  </si>
  <si>
    <t>Lindsay Bell</t>
  </si>
  <si>
    <t>Joel Johnson</t>
  </si>
  <si>
    <t>Devin Young</t>
  </si>
  <si>
    <t>Jenna Walton</t>
  </si>
  <si>
    <t>Cody Robinson</t>
  </si>
  <si>
    <t>Erin Moore</t>
  </si>
  <si>
    <t>Lindsey Moore</t>
  </si>
  <si>
    <t>Anne Cooper</t>
  </si>
  <si>
    <t>Shawna Perez</t>
  </si>
  <si>
    <t>Alyssa Martinez DVM</t>
  </si>
  <si>
    <t>Brandy Vega</t>
  </si>
  <si>
    <t>David Thomas</t>
  </si>
  <si>
    <t>Erin Nelson</t>
  </si>
  <si>
    <t>Linda Gaines</t>
  </si>
  <si>
    <t>Dustin Shaw</t>
  </si>
  <si>
    <t>Jessica Christian</t>
  </si>
  <si>
    <t>Mary Stewart</t>
  </si>
  <si>
    <t>James Hall</t>
  </si>
  <si>
    <t>Stephanie Howard</t>
  </si>
  <si>
    <t>Ian Martinez</t>
  </si>
  <si>
    <t>Ann Jones</t>
  </si>
  <si>
    <t>Dr. Colleen Nichols DDS</t>
  </si>
  <si>
    <t>Brenda Brown</t>
  </si>
  <si>
    <t>Tony Bentley</t>
  </si>
  <si>
    <t>John Smith</t>
  </si>
  <si>
    <t>Mandy Green</t>
  </si>
  <si>
    <t>Karen Harrison</t>
  </si>
  <si>
    <t>Jeffrey Edwards</t>
  </si>
  <si>
    <t>Shelley Smith</t>
  </si>
  <si>
    <t>Stephen Fletcher</t>
  </si>
  <si>
    <t>Brenda Nelson</t>
  </si>
  <si>
    <t>Kathryn Holder</t>
  </si>
  <si>
    <t>Caroline Gardner</t>
  </si>
  <si>
    <t>Melissa Booth</t>
  </si>
  <si>
    <t>Megan Serrano</t>
  </si>
  <si>
    <t>Steven Holloway</t>
  </si>
  <si>
    <t>Angelica Taylor</t>
  </si>
  <si>
    <t>Robert Meyers</t>
  </si>
  <si>
    <t>Jonathan Flores</t>
  </si>
  <si>
    <t>Matthew Williams</t>
  </si>
  <si>
    <t>Lindsay Gray</t>
  </si>
  <si>
    <t>Anna Wood</t>
  </si>
  <si>
    <t>Angela Mccoy</t>
  </si>
  <si>
    <t>Ashley Pittman</t>
  </si>
  <si>
    <t>Diana Martin</t>
  </si>
  <si>
    <t>Roberto Vaughan</t>
  </si>
  <si>
    <t>Loretta Roberts</t>
  </si>
  <si>
    <t>Casey Potts</t>
  </si>
  <si>
    <t>Nichole Richardson</t>
  </si>
  <si>
    <t>David Cherry</t>
  </si>
  <si>
    <t>Ashley Roberts</t>
  </si>
  <si>
    <t>Grace Black</t>
  </si>
  <si>
    <t>Ashley Warren</t>
  </si>
  <si>
    <t>Sarah Sloan</t>
  </si>
  <si>
    <t>Matthew Yang</t>
  </si>
  <si>
    <t>Kelly Moore</t>
  </si>
  <si>
    <t>Jennifer Hudson</t>
  </si>
  <si>
    <t>Erin Anderson</t>
  </si>
  <si>
    <t>Angela Price</t>
  </si>
  <si>
    <t>Brenda Ryan</t>
  </si>
  <si>
    <t>Rebecca Christensen</t>
  </si>
  <si>
    <t>Amy Watson</t>
  </si>
  <si>
    <t>John Day</t>
  </si>
  <si>
    <t>Gwendolyn Watson</t>
  </si>
  <si>
    <t>Don Pace</t>
  </si>
  <si>
    <t>Monica Bennett</t>
  </si>
  <si>
    <t>Joseph Ramirez</t>
  </si>
  <si>
    <t>Whitney Zimmerman</t>
  </si>
  <si>
    <t>Thomas Nash</t>
  </si>
  <si>
    <t>Brenda Davis</t>
  </si>
  <si>
    <t>Logan Estrada</t>
  </si>
  <si>
    <t>Brittany Sharp</t>
  </si>
  <si>
    <t>Robert Livingston</t>
  </si>
  <si>
    <t>Tracy Johnson</t>
  </si>
  <si>
    <t>James Richardson</t>
  </si>
  <si>
    <t>Eduardo Gomez</t>
  </si>
  <si>
    <t>Mr. Edward Lester</t>
  </si>
  <si>
    <t>Gregory Harding</t>
  </si>
  <si>
    <t>Madeline Craig</t>
  </si>
  <si>
    <t>Kimberly Griffith</t>
  </si>
  <si>
    <t>Anthony Rose</t>
  </si>
  <si>
    <t>Kristina Salas</t>
  </si>
  <si>
    <t>Denise Romero</t>
  </si>
  <si>
    <t>Patricia Robinson</t>
  </si>
  <si>
    <t>Rachel Terry</t>
  </si>
  <si>
    <t>Shawn Walker</t>
  </si>
  <si>
    <t>Samantha Macdonald</t>
  </si>
  <si>
    <t>Leslie Gordon</t>
  </si>
  <si>
    <t>Rachael Johnston</t>
  </si>
  <si>
    <t>Brandy Thomas</t>
  </si>
  <si>
    <t>Daniel Bowman</t>
  </si>
  <si>
    <t>Andrew Bennett</t>
  </si>
  <si>
    <t>Brent Morris</t>
  </si>
  <si>
    <t>Justin Pennington</t>
  </si>
  <si>
    <t>Derek Dougherty</t>
  </si>
  <si>
    <t>David Pace</t>
  </si>
  <si>
    <t>Gina Kent</t>
  </si>
  <si>
    <t>Kelly Wilson</t>
  </si>
  <si>
    <t>Jeremy Norris</t>
  </si>
  <si>
    <t>Lisa Nguyen</t>
  </si>
  <si>
    <t>Angela Rivas DVM</t>
  </si>
  <si>
    <t>Alexander Patterson</t>
  </si>
  <si>
    <t>Emily Davis</t>
  </si>
  <si>
    <t>Felicia Jones</t>
  </si>
  <si>
    <t>Robert Davis</t>
  </si>
  <si>
    <t>Jose Johnson</t>
  </si>
  <si>
    <t>Tony Conrad</t>
  </si>
  <si>
    <t>Raymond Jenkins</t>
  </si>
  <si>
    <t>Penny Cobb</t>
  </si>
  <si>
    <t>Andrea Sandoval</t>
  </si>
  <si>
    <t>Cindy Rogers</t>
  </si>
  <si>
    <t>Tina Santos</t>
  </si>
  <si>
    <t>Trevor Hubbard</t>
  </si>
  <si>
    <t>Richard White</t>
  </si>
  <si>
    <t>John Roy</t>
  </si>
  <si>
    <t>Megan Collins</t>
  </si>
  <si>
    <t>Robert Cummings</t>
  </si>
  <si>
    <t>Carlos Estrada</t>
  </si>
  <si>
    <t>Jennifer Peterson</t>
  </si>
  <si>
    <t>Louis Foster</t>
  </si>
  <si>
    <t>Matthew Allen</t>
  </si>
  <si>
    <t>Jeffrey Smith</t>
  </si>
  <si>
    <t>Mr. Michael Blake</t>
  </si>
  <si>
    <t>Julia Jones</t>
  </si>
  <si>
    <t>Cynthia Roberts</t>
  </si>
  <si>
    <t>Andrew Schneider</t>
  </si>
  <si>
    <t>Jennifer Jacobs</t>
  </si>
  <si>
    <t>Derek Alvarado</t>
  </si>
  <si>
    <t>Pamela Taylor</t>
  </si>
  <si>
    <t>Kristina Kennedy</t>
  </si>
  <si>
    <t>Jillian Lawrence</t>
  </si>
  <si>
    <t>Daniel Campbell</t>
  </si>
  <si>
    <t>Andre Fox</t>
  </si>
  <si>
    <t>Debra Peterson</t>
  </si>
  <si>
    <t>Allison Hess</t>
  </si>
  <si>
    <t>Johnny Flores</t>
  </si>
  <si>
    <t>Jason Gregory</t>
  </si>
  <si>
    <t>Douglas Anderson</t>
  </si>
  <si>
    <t>Antonio Vargas</t>
  </si>
  <si>
    <t>Michael Martin</t>
  </si>
  <si>
    <t>Paul Chavez</t>
  </si>
  <si>
    <t>Adam Coleman</t>
  </si>
  <si>
    <t>Keith Pham</t>
  </si>
  <si>
    <t>Eduardo West</t>
  </si>
  <si>
    <t>Steven Levy</t>
  </si>
  <si>
    <t>Dean Alvarez</t>
  </si>
  <si>
    <t>Kayla Cook</t>
  </si>
  <si>
    <t>Sarah Walker</t>
  </si>
  <si>
    <t>Jason Velasquez</t>
  </si>
  <si>
    <t>Rebecca Ray</t>
  </si>
  <si>
    <t>Jason Williams</t>
  </si>
  <si>
    <t>Lucas Kelley</t>
  </si>
  <si>
    <t>Melissa White</t>
  </si>
  <si>
    <t>Shawn Sloan</t>
  </si>
  <si>
    <t>Douglas Perez</t>
  </si>
  <si>
    <t>Amanda Carrillo</t>
  </si>
  <si>
    <t>Amanda Bauer</t>
  </si>
  <si>
    <t>Joseph Campbell</t>
  </si>
  <si>
    <t>Steven Morrison</t>
  </si>
  <si>
    <t>Alicia Perez</t>
  </si>
  <si>
    <t>Timothy Gibbs</t>
  </si>
  <si>
    <t>James Malone</t>
  </si>
  <si>
    <t>Kevin Christian</t>
  </si>
  <si>
    <t>Jake Middleton</t>
  </si>
  <si>
    <t>Karen Ponce</t>
  </si>
  <si>
    <t>Angel Peterson</t>
  </si>
  <si>
    <t>Amber Foster</t>
  </si>
  <si>
    <t>David Reese</t>
  </si>
  <si>
    <t>Patricia Reid</t>
  </si>
  <si>
    <t>Ashley Ho</t>
  </si>
  <si>
    <t>Sarah Lopez</t>
  </si>
  <si>
    <t>David Friedman</t>
  </si>
  <si>
    <t>Margaret Adams</t>
  </si>
  <si>
    <t>Erin Howell</t>
  </si>
  <si>
    <t>Jordan Martinez</t>
  </si>
  <si>
    <t>Victor Allen</t>
  </si>
  <si>
    <t>Jessica Ferguson</t>
  </si>
  <si>
    <t>Joshua Dalton</t>
  </si>
  <si>
    <t>Karen Curtis</t>
  </si>
  <si>
    <t>Kathleen Matthews</t>
  </si>
  <si>
    <t>Lauren Bentley</t>
  </si>
  <si>
    <t>Jerry Russell</t>
  </si>
  <si>
    <t>Joann Maldonado</t>
  </si>
  <si>
    <t>Ashley Best</t>
  </si>
  <si>
    <t>Brenda Hebert</t>
  </si>
  <si>
    <t>Karen Smith</t>
  </si>
  <si>
    <t>Franklin Davis</t>
  </si>
  <si>
    <t>Christine Ray</t>
  </si>
  <si>
    <t>David Logan</t>
  </si>
  <si>
    <t>Breanna Palmer</t>
  </si>
  <si>
    <t>Jason Butler</t>
  </si>
  <si>
    <t>Laura Morrow</t>
  </si>
  <si>
    <t>Jennifer Baker</t>
  </si>
  <si>
    <t>Gabriel House</t>
  </si>
  <si>
    <t>Jeffrey Vaughn</t>
  </si>
  <si>
    <t>Michael Hernandez</t>
  </si>
  <si>
    <t>Stephanie Cabrera DVM</t>
  </si>
  <si>
    <t>Brian Gonzalez</t>
  </si>
  <si>
    <t>Jennifer Parks</t>
  </si>
  <si>
    <t>Joseph White</t>
  </si>
  <si>
    <t>Holly Phillips</t>
  </si>
  <si>
    <t>Valerie Smith</t>
  </si>
  <si>
    <t>Elizabeth Harris</t>
  </si>
  <si>
    <t>Alexis Murillo</t>
  </si>
  <si>
    <t>Angela Wilkins</t>
  </si>
  <si>
    <t>John Roberts</t>
  </si>
  <si>
    <t>Stacy Austin</t>
  </si>
  <si>
    <t>Anthony Garcia</t>
  </si>
  <si>
    <t>Kimberly Dixon</t>
  </si>
  <si>
    <t>Terri Lopez</t>
  </si>
  <si>
    <t>Jeffery Adams</t>
  </si>
  <si>
    <t>Ralph Walls</t>
  </si>
  <si>
    <t>David Lambert</t>
  </si>
  <si>
    <t>David Hernandez</t>
  </si>
  <si>
    <t>Jacob Hammond</t>
  </si>
  <si>
    <t>Joseph Davis</t>
  </si>
  <si>
    <t>Margaret Dennis</t>
  </si>
  <si>
    <t>Tara Mcdonald</t>
  </si>
  <si>
    <t>Daniel Kelly</t>
  </si>
  <si>
    <t>Roberta Acevedo</t>
  </si>
  <si>
    <t>Victoria Watkins</t>
  </si>
  <si>
    <t>Jeffrey Brown</t>
  </si>
  <si>
    <t>David Richards</t>
  </si>
  <si>
    <t>Aaron Smith</t>
  </si>
  <si>
    <t>Danielle Miller</t>
  </si>
  <si>
    <t>Jeff Lowe</t>
  </si>
  <si>
    <t>James Garcia</t>
  </si>
  <si>
    <t>Ernest Wang</t>
  </si>
  <si>
    <t>James Shaw</t>
  </si>
  <si>
    <t>Derrick Weber</t>
  </si>
  <si>
    <t>Tracie Davenport</t>
  </si>
  <si>
    <t>Jennifer Bishop</t>
  </si>
  <si>
    <t>Rebecca Daniel</t>
  </si>
  <si>
    <t>Dr. Ryan Bailey</t>
  </si>
  <si>
    <t>Mr. Andrew Anderson</t>
  </si>
  <si>
    <t>Juan Norman</t>
  </si>
  <si>
    <t>Duane Johnston</t>
  </si>
  <si>
    <t>Michael Miller</t>
  </si>
  <si>
    <t>Christopher Gonzalez</t>
  </si>
  <si>
    <t>Mark Chen</t>
  </si>
  <si>
    <t>Pamela Baxter</t>
  </si>
  <si>
    <t>Shannon Morgan</t>
  </si>
  <si>
    <t>Joanna Weiss</t>
  </si>
  <si>
    <t>Jody Martinez</t>
  </si>
  <si>
    <t>Jason Moss</t>
  </si>
  <si>
    <t>Gregory Mills</t>
  </si>
  <si>
    <t>Edward Carlson</t>
  </si>
  <si>
    <t>Justin Tate</t>
  </si>
  <si>
    <t>Benjamin Hughes</t>
  </si>
  <si>
    <t>Eric Fernandez</t>
  </si>
  <si>
    <t>Tamara Williams</t>
  </si>
  <si>
    <t>Austin Charles</t>
  </si>
  <si>
    <t>Melissa Cox</t>
  </si>
  <si>
    <t>Dr. Jason Jackson</t>
  </si>
  <si>
    <t>Dylan Whitehead</t>
  </si>
  <si>
    <t>Consumer</t>
  </si>
  <si>
    <t>Corporate</t>
  </si>
  <si>
    <t>Home Office</t>
  </si>
  <si>
    <t>North</t>
  </si>
  <si>
    <t>South</t>
  </si>
  <si>
    <t>West</t>
  </si>
  <si>
    <t>East</t>
  </si>
  <si>
    <t>Office Supplies</t>
  </si>
  <si>
    <t>Technology</t>
  </si>
  <si>
    <t>Furniture</t>
  </si>
  <si>
    <t>Binders</t>
  </si>
  <si>
    <t>Paper</t>
  </si>
  <si>
    <t>Storage</t>
  </si>
  <si>
    <t>Accessories</t>
  </si>
  <si>
    <t>Bookcases</t>
  </si>
  <si>
    <t>Laptops</t>
  </si>
  <si>
    <t>Tables</t>
  </si>
  <si>
    <t>Phones</t>
  </si>
  <si>
    <t>Chairs</t>
  </si>
  <si>
    <t>Happy Binders</t>
  </si>
  <si>
    <t>Fight Paper</t>
  </si>
  <si>
    <t>Process Storage</t>
  </si>
  <si>
    <t>Prepare Paper</t>
  </si>
  <si>
    <t>Coach Accessories</t>
  </si>
  <si>
    <t>Task Bookcases</t>
  </si>
  <si>
    <t>Available Bookcases</t>
  </si>
  <si>
    <t>Beautiful Laptops</t>
  </si>
  <si>
    <t>Purpose Storage</t>
  </si>
  <si>
    <t>Last Paper</t>
  </si>
  <si>
    <t>Prepare Storage</t>
  </si>
  <si>
    <t>Live Tables</t>
  </si>
  <si>
    <t>Example Paper</t>
  </si>
  <si>
    <t>Individual Bookcases</t>
  </si>
  <si>
    <t>Tough Paper</t>
  </si>
  <si>
    <t>Cover Paper</t>
  </si>
  <si>
    <t>Thousand Binders</t>
  </si>
  <si>
    <t>Ahead Phones</t>
  </si>
  <si>
    <t>Build Tables</t>
  </si>
  <si>
    <t>Cell Bookcases</t>
  </si>
  <si>
    <t>Suddenly Bookcases</t>
  </si>
  <si>
    <t>Forget Chairs</t>
  </si>
  <si>
    <t>Than Chairs</t>
  </si>
  <si>
    <t>Culture Paper</t>
  </si>
  <si>
    <t>Cultural Chairs</t>
  </si>
  <si>
    <t>Make Storage</t>
  </si>
  <si>
    <t>His Tables</t>
  </si>
  <si>
    <t>Yeah Bookcases</t>
  </si>
  <si>
    <t>Important Tables</t>
  </si>
  <si>
    <t>Themselves Laptops</t>
  </si>
  <si>
    <t>Growth Storage</t>
  </si>
  <si>
    <t>One Bookcases</t>
  </si>
  <si>
    <t>Wait Bookcases</t>
  </si>
  <si>
    <t>Stay Phones</t>
  </si>
  <si>
    <t>Available Phones</t>
  </si>
  <si>
    <t>Son Tables</t>
  </si>
  <si>
    <t>With Storage</t>
  </si>
  <si>
    <t>This Phones</t>
  </si>
  <si>
    <t>Throughout Bookcases</t>
  </si>
  <si>
    <t>According Chairs</t>
  </si>
  <si>
    <t>Three Binders</t>
  </si>
  <si>
    <t>Employee Phones</t>
  </si>
  <si>
    <t>Writer Laptops</t>
  </si>
  <si>
    <t>Development Chairs</t>
  </si>
  <si>
    <t>These Bookcases</t>
  </si>
  <si>
    <t>Live Phones</t>
  </si>
  <si>
    <t>Interesting Laptops</t>
  </si>
  <si>
    <t>Effort Bookcases</t>
  </si>
  <si>
    <t>Man Storage</t>
  </si>
  <si>
    <t>Chair Bookcases</t>
  </si>
  <si>
    <t>News Paper</t>
  </si>
  <si>
    <t>Open Laptops</t>
  </si>
  <si>
    <t>History Storage</t>
  </si>
  <si>
    <t>Stay Accessories</t>
  </si>
  <si>
    <t>Support Binders</t>
  </si>
  <si>
    <t>Just Chairs</t>
  </si>
  <si>
    <t>Laugh Laptops</t>
  </si>
  <si>
    <t>Baby Tables</t>
  </si>
  <si>
    <t>Memory Phones</t>
  </si>
  <si>
    <t>Different Paper</t>
  </si>
  <si>
    <t>Fact Paper</t>
  </si>
  <si>
    <t>Shake Laptops</t>
  </si>
  <si>
    <t>Power Tables</t>
  </si>
  <si>
    <t>These Storage</t>
  </si>
  <si>
    <t>Still Accessories</t>
  </si>
  <si>
    <t>Interest Accessories</t>
  </si>
  <si>
    <t>Moment Phones</t>
  </si>
  <si>
    <t>Write Paper</t>
  </si>
  <si>
    <t>By Accessories</t>
  </si>
  <si>
    <t>Number Tables</t>
  </si>
  <si>
    <t>Next Chairs</t>
  </si>
  <si>
    <t>Back Binders</t>
  </si>
  <si>
    <t>Despite Tables</t>
  </si>
  <si>
    <t>Generation Binders</t>
  </si>
  <si>
    <t>Whose Binders</t>
  </si>
  <si>
    <t>Give Accessories</t>
  </si>
  <si>
    <t>Type Phones</t>
  </si>
  <si>
    <t>Theory Accessories</t>
  </si>
  <si>
    <t>While Laptops</t>
  </si>
  <si>
    <t>Wrong Phones</t>
  </si>
  <si>
    <t>It Binders</t>
  </si>
  <si>
    <t>Everybody Paper</t>
  </si>
  <si>
    <t>Power Laptops</t>
  </si>
  <si>
    <t>Small Laptops</t>
  </si>
  <si>
    <t>Adult Bookcases</t>
  </si>
  <si>
    <t>Fear Storage</t>
  </si>
  <si>
    <t>Drug Phones</t>
  </si>
  <si>
    <t>Since Paper</t>
  </si>
  <si>
    <t>Third Chairs</t>
  </si>
  <si>
    <t>Else Bookcases</t>
  </si>
  <si>
    <t>Decide Paper</t>
  </si>
  <si>
    <t>Young Accessories</t>
  </si>
  <si>
    <t>Soldier Bookcases</t>
  </si>
  <si>
    <t>What Paper</t>
  </si>
  <si>
    <t>Admit Phones</t>
  </si>
  <si>
    <t>Year Tables</t>
  </si>
  <si>
    <t>Chance Paper</t>
  </si>
  <si>
    <t>Fall Paper</t>
  </si>
  <si>
    <t>Song Paper</t>
  </si>
  <si>
    <t>End Bookcases</t>
  </si>
  <si>
    <t>Role Laptops</t>
  </si>
  <si>
    <t>Money Binders</t>
  </si>
  <si>
    <t>Somebody Storage</t>
  </si>
  <si>
    <t>Manager Chairs</t>
  </si>
  <si>
    <t>Something Bookcases</t>
  </si>
  <si>
    <t>Role Chairs</t>
  </si>
  <si>
    <t>Task Storage</t>
  </si>
  <si>
    <t>Kitchen Phones</t>
  </si>
  <si>
    <t>Record Paper</t>
  </si>
  <si>
    <t>Customer Tables</t>
  </si>
  <si>
    <t>Cold Phones</t>
  </si>
  <si>
    <t>Mission Paper</t>
  </si>
  <si>
    <t>Every Tables</t>
  </si>
  <si>
    <t>Collection Tables</t>
  </si>
  <si>
    <t>So Laptops</t>
  </si>
  <si>
    <t>Decision Bookcases</t>
  </si>
  <si>
    <t>Case Bookcases</t>
  </si>
  <si>
    <t>Century Accessories</t>
  </si>
  <si>
    <t>Whole Chairs</t>
  </si>
  <si>
    <t>Anything Tables</t>
  </si>
  <si>
    <t>Human Tables</t>
  </si>
  <si>
    <t>Consumer Accessories</t>
  </si>
  <si>
    <t>Thing Paper</t>
  </si>
  <si>
    <t>Son Storage</t>
  </si>
  <si>
    <t>Garden Binders</t>
  </si>
  <si>
    <t>Him Accessories</t>
  </si>
  <si>
    <t>Song Chairs</t>
  </si>
  <si>
    <t>Help Accessories</t>
  </si>
  <si>
    <t>Piece Bookcases</t>
  </si>
  <si>
    <t>Term Laptops</t>
  </si>
  <si>
    <t>Often Bookcases</t>
  </si>
  <si>
    <t>Just Binders</t>
  </si>
  <si>
    <t>Sound Tables</t>
  </si>
  <si>
    <t>Wear Storage</t>
  </si>
  <si>
    <t>Cause Phones</t>
  </si>
  <si>
    <t>Site Storage</t>
  </si>
  <si>
    <t>Professor Binders</t>
  </si>
  <si>
    <t>Into Bookcases</t>
  </si>
  <si>
    <t>Protect Phones</t>
  </si>
  <si>
    <t>Back Tables</t>
  </si>
  <si>
    <t>Race Binders</t>
  </si>
  <si>
    <t>Goal Binders</t>
  </si>
  <si>
    <t>Sister Binders</t>
  </si>
  <si>
    <t>Near Chairs</t>
  </si>
  <si>
    <t>Level Laptops</t>
  </si>
  <si>
    <t>Evidence Accessories</t>
  </si>
  <si>
    <t>Own Accessories</t>
  </si>
  <si>
    <t>Room Chairs</t>
  </si>
  <si>
    <t>At Binders</t>
  </si>
  <si>
    <t>Our Phones</t>
  </si>
  <si>
    <t>Scene Paper</t>
  </si>
  <si>
    <t>Might Storage</t>
  </si>
  <si>
    <t>Three Chairs</t>
  </si>
  <si>
    <t>Firm Bookcases</t>
  </si>
  <si>
    <t>Able Paper</t>
  </si>
  <si>
    <t>Go Binders</t>
  </si>
  <si>
    <t>Discuss Bookcases</t>
  </si>
  <si>
    <t>Sport Storage</t>
  </si>
  <si>
    <t>Nation Chairs</t>
  </si>
  <si>
    <t>Less Tables</t>
  </si>
  <si>
    <t>Project Laptops</t>
  </si>
  <si>
    <t>President Paper</t>
  </si>
  <si>
    <t>Myself Paper</t>
  </si>
  <si>
    <t>Car Accessories</t>
  </si>
  <si>
    <t>Almost Binders</t>
  </si>
  <si>
    <t>Name Storage</t>
  </si>
  <si>
    <t>Hear Paper</t>
  </si>
  <si>
    <t>Bank Chairs</t>
  </si>
  <si>
    <t>Seat Laptops</t>
  </si>
  <si>
    <t>Charge Laptops</t>
  </si>
  <si>
    <t>Radio Storage</t>
  </si>
  <si>
    <t>Significant Accessories</t>
  </si>
  <si>
    <t>By Tables</t>
  </si>
  <si>
    <t>Discuss Phones</t>
  </si>
  <si>
    <t>Election Bookcases</t>
  </si>
  <si>
    <t>Onto Storage</t>
  </si>
  <si>
    <t>Little Phones</t>
  </si>
  <si>
    <t>True Paper</t>
  </si>
  <si>
    <t>Sea Paper</t>
  </si>
  <si>
    <t>Best Bookcases</t>
  </si>
  <si>
    <t>Event Accessories</t>
  </si>
  <si>
    <t>Suddenly Phones</t>
  </si>
  <si>
    <t>Hard Phones</t>
  </si>
  <si>
    <t>Little Accessories</t>
  </si>
  <si>
    <t>Not Phones</t>
  </si>
  <si>
    <t>Which Tables</t>
  </si>
  <si>
    <t>Pick Chairs</t>
  </si>
  <si>
    <t>Eye Tables</t>
  </si>
  <si>
    <t>Garden Chairs</t>
  </si>
  <si>
    <t>Open Accessories</t>
  </si>
  <si>
    <t>Watch Paper</t>
  </si>
  <si>
    <t>Boy Accessories</t>
  </si>
  <si>
    <t>Pull Phones</t>
  </si>
  <si>
    <t>Special Binders</t>
  </si>
  <si>
    <t>One Paper</t>
  </si>
  <si>
    <t>System Paper</t>
  </si>
  <si>
    <t>Project Paper</t>
  </si>
  <si>
    <t>Authority Accessories</t>
  </si>
  <si>
    <t>Want Bookcases</t>
  </si>
  <si>
    <t>Force Tables</t>
  </si>
  <si>
    <t>Song Accessories</t>
  </si>
  <si>
    <t>Fast Chairs</t>
  </si>
  <si>
    <t>Interesting Binders</t>
  </si>
  <si>
    <t>Second Paper</t>
  </si>
  <si>
    <t>Our Laptops</t>
  </si>
  <si>
    <t>Sound Bookcases</t>
  </si>
  <si>
    <t>Deep Bookcases</t>
  </si>
  <si>
    <t>Nice Phones</t>
  </si>
  <si>
    <t>Write Tables</t>
  </si>
  <si>
    <t>Positive Binders</t>
  </si>
  <si>
    <t>Ok Tables</t>
  </si>
  <si>
    <t>Share Tables</t>
  </si>
  <si>
    <t>Region Tables</t>
  </si>
  <si>
    <t>Seven Storage</t>
  </si>
  <si>
    <t>Increase Storage</t>
  </si>
  <si>
    <t>Memory Chairs</t>
  </si>
  <si>
    <t>Cell Storage</t>
  </si>
  <si>
    <t>Seek Bookcases</t>
  </si>
  <si>
    <t>Specific Accessories</t>
  </si>
  <si>
    <t>Until Phones</t>
  </si>
  <si>
    <t>Pay Phones</t>
  </si>
  <si>
    <t>Kitchen Tables</t>
  </si>
  <si>
    <t>Mother Accessories</t>
  </si>
  <si>
    <t>Day Paper</t>
  </si>
  <si>
    <t>Better Laptops</t>
  </si>
  <si>
    <t>Already Accessories</t>
  </si>
  <si>
    <t>Cold Tables</t>
  </si>
  <si>
    <t>Real Chairs</t>
  </si>
  <si>
    <t>Information Storage</t>
  </si>
  <si>
    <t>Unit Paper</t>
  </si>
  <si>
    <t>Future Tables</t>
  </si>
  <si>
    <t>Ahead Storage</t>
  </si>
  <si>
    <t>Month Paper</t>
  </si>
  <si>
    <t>Fight Binders</t>
  </si>
  <si>
    <t>Article Binders</t>
  </si>
  <si>
    <t>Season Tables</t>
  </si>
  <si>
    <t>Than Binders</t>
  </si>
  <si>
    <t>Understand Tables</t>
  </si>
  <si>
    <t>Condition Paper</t>
  </si>
  <si>
    <t>Behind Binders</t>
  </si>
  <si>
    <t>Home Phones</t>
  </si>
  <si>
    <t>Paper Tables</t>
  </si>
  <si>
    <t>Any Bookcases</t>
  </si>
  <si>
    <t>Employee Chairs</t>
  </si>
  <si>
    <t>Painting Bookcases</t>
  </si>
  <si>
    <t>Few Binders</t>
  </si>
  <si>
    <t>Civil Tables</t>
  </si>
  <si>
    <t>Marriage Chairs</t>
  </si>
  <si>
    <t>Or Bookcases</t>
  </si>
  <si>
    <t>Pick Binders</t>
  </si>
  <si>
    <t>Cold Storage</t>
  </si>
  <si>
    <t>Some Chairs</t>
  </si>
  <si>
    <t>Lawyer Accessories</t>
  </si>
  <si>
    <t>Pull Bookcases</t>
  </si>
  <si>
    <t>Ability Binders</t>
  </si>
  <si>
    <t>Do Laptops</t>
  </si>
  <si>
    <t>Option Bookcases</t>
  </si>
  <si>
    <t>Generation Bookcases</t>
  </si>
  <si>
    <t>Necessary Tables</t>
  </si>
  <si>
    <t>Return Binders</t>
  </si>
  <si>
    <t>Our Accessories</t>
  </si>
  <si>
    <t>Such Accessories</t>
  </si>
  <si>
    <t>Exist Accessories</t>
  </si>
  <si>
    <t>Toward Bookcases</t>
  </si>
  <si>
    <t>Boy Storage</t>
  </si>
  <si>
    <t>Environmental Phones</t>
  </si>
  <si>
    <t>Picture Chairs</t>
  </si>
  <si>
    <t>Interesting Paper</t>
  </si>
  <si>
    <t>Although Tables</t>
  </si>
  <si>
    <t>Move Storage</t>
  </si>
  <si>
    <t>Must Paper</t>
  </si>
  <si>
    <t>Magazine Chairs</t>
  </si>
  <si>
    <t>Impact Laptops</t>
  </si>
  <si>
    <t>Course Accessories</t>
  </si>
  <si>
    <t>General Chairs</t>
  </si>
  <si>
    <t>Security Chairs</t>
  </si>
  <si>
    <t>Trip Storage</t>
  </si>
  <si>
    <t>Yard Laptops</t>
  </si>
  <si>
    <t>North Binders</t>
  </si>
  <si>
    <t>Field Tables</t>
  </si>
  <si>
    <t>Skill Accessories</t>
  </si>
  <si>
    <t>Travel Bookcases</t>
  </si>
  <si>
    <t>Several Bookcases</t>
  </si>
  <si>
    <t>Blue Bookcases</t>
  </si>
  <si>
    <t>Late Chairs</t>
  </si>
  <si>
    <t>Letter Chairs</t>
  </si>
  <si>
    <t>Technology Accessories</t>
  </si>
  <si>
    <t>President Laptops</t>
  </si>
  <si>
    <t>Across Bookcases</t>
  </si>
  <si>
    <t>Move Binders</t>
  </si>
  <si>
    <t>Black Phones</t>
  </si>
  <si>
    <t>Election Phones</t>
  </si>
  <si>
    <t>Character Chairs</t>
  </si>
  <si>
    <t>Relationship Phones</t>
  </si>
  <si>
    <t>Project Phones</t>
  </si>
  <si>
    <t>Sure Tables</t>
  </si>
  <si>
    <t>Reflect Chairs</t>
  </si>
  <si>
    <t>Near Laptops</t>
  </si>
  <si>
    <t>Require Storage</t>
  </si>
  <si>
    <t>Decade Chairs</t>
  </si>
  <si>
    <t>Especially Phones</t>
  </si>
  <si>
    <t>Region Accessories</t>
  </si>
  <si>
    <t>Go Accessories</t>
  </si>
  <si>
    <t>Everybody Laptops</t>
  </si>
  <si>
    <t>Treatment Bookcases</t>
  </si>
  <si>
    <t>Here Paper</t>
  </si>
  <si>
    <t>Either Bookcases</t>
  </si>
  <si>
    <t>Growth Laptops</t>
  </si>
  <si>
    <t>Pass Binders</t>
  </si>
  <si>
    <t>Include Bookcases</t>
  </si>
  <si>
    <t>Main Accessories</t>
  </si>
  <si>
    <t>Whatever Accessories</t>
  </si>
  <si>
    <t>Bag Phones</t>
  </si>
  <si>
    <t>Step Accessories</t>
  </si>
  <si>
    <t>Rather Laptops</t>
  </si>
  <si>
    <t>Will Laptops</t>
  </si>
  <si>
    <t>Already Laptops</t>
  </si>
  <si>
    <t>Economic Phones</t>
  </si>
  <si>
    <t>While Tables</t>
  </si>
  <si>
    <t>Marriage Tables</t>
  </si>
  <si>
    <t>Evening Accessories</t>
  </si>
  <si>
    <t>Watch Phones</t>
  </si>
  <si>
    <t>Product Laptops</t>
  </si>
  <si>
    <t>Difference Binders</t>
  </si>
  <si>
    <t>Often Phones</t>
  </si>
  <si>
    <t>Civil Paper</t>
  </si>
  <si>
    <t>Available Tables</t>
  </si>
  <si>
    <t>Interview Storage</t>
  </si>
  <si>
    <t>Term Paper</t>
  </si>
  <si>
    <t>Language Phones</t>
  </si>
  <si>
    <t>Both Bookcases</t>
  </si>
  <si>
    <t>Amount Chairs</t>
  </si>
  <si>
    <t>Quite Paper</t>
  </si>
  <si>
    <t>Low Tables</t>
  </si>
  <si>
    <t>Simply Paper</t>
  </si>
  <si>
    <t>Close Binders</t>
  </si>
  <si>
    <t>Several Accessories</t>
  </si>
  <si>
    <t>Third Bookcases</t>
  </si>
  <si>
    <t>Majority Laptops</t>
  </si>
  <si>
    <t>In Bookcases</t>
  </si>
  <si>
    <t>Message Binders</t>
  </si>
  <si>
    <t>Anyone Laptops</t>
  </si>
  <si>
    <t>Seek Binders</t>
  </si>
  <si>
    <t>Whose Chairs</t>
  </si>
  <si>
    <t>Lay Phones</t>
  </si>
  <si>
    <t>Agency Bookcases</t>
  </si>
  <si>
    <t>Community Laptops</t>
  </si>
  <si>
    <t>Continue Accessories</t>
  </si>
  <si>
    <t>Watch Binders</t>
  </si>
  <si>
    <t>Thing Binders</t>
  </si>
  <si>
    <t>End Binders</t>
  </si>
  <si>
    <t>Word Chairs</t>
  </si>
  <si>
    <t>Black Laptops</t>
  </si>
  <si>
    <t>Already Phones</t>
  </si>
  <si>
    <t>Lot Laptops</t>
  </si>
  <si>
    <t>Challenge Laptops</t>
  </si>
  <si>
    <t>Lay Tables</t>
  </si>
  <si>
    <t>Affect Binders</t>
  </si>
  <si>
    <t>Painting Accessories</t>
  </si>
  <si>
    <t>Thank Bookcases</t>
  </si>
  <si>
    <t>International Tables</t>
  </si>
  <si>
    <t>Perform Tables</t>
  </si>
  <si>
    <t>Picture Bookcases</t>
  </si>
  <si>
    <t>Space Accessories</t>
  </si>
  <si>
    <t>Water Storage</t>
  </si>
  <si>
    <t>Throw Chairs</t>
  </si>
  <si>
    <t>Wonder Phones</t>
  </si>
  <si>
    <t>Weight Phones</t>
  </si>
  <si>
    <t>Despite Paper</t>
  </si>
  <si>
    <t>Mission Bookcases</t>
  </si>
  <si>
    <t>Situation Storage</t>
  </si>
  <si>
    <t>Ok Binders</t>
  </si>
  <si>
    <t>Black Tables</t>
  </si>
  <si>
    <t>Easy Storage</t>
  </si>
  <si>
    <t>Particular Storage</t>
  </si>
  <si>
    <t>Month Chairs</t>
  </si>
  <si>
    <t>Center Storage</t>
  </si>
  <si>
    <t>Able Chairs</t>
  </si>
  <si>
    <t>Matter Paper</t>
  </si>
  <si>
    <t>Center Accessories</t>
  </si>
  <si>
    <t>Budget Laptops</t>
  </si>
  <si>
    <t>Majority Storage</t>
  </si>
  <si>
    <t>Occur Storage</t>
  </si>
  <si>
    <t>Trade Phones</t>
  </si>
  <si>
    <t>With Binders</t>
  </si>
  <si>
    <t>Those Chairs</t>
  </si>
  <si>
    <t>Between Storage</t>
  </si>
  <si>
    <t>Production Chairs</t>
  </si>
  <si>
    <t>Military Binders</t>
  </si>
  <si>
    <t>Through Bookcases</t>
  </si>
  <si>
    <t>Modern Accessories</t>
  </si>
  <si>
    <t>Artist Paper</t>
  </si>
  <si>
    <t>Argue Bookcases</t>
  </si>
  <si>
    <t>Pattern Bookcases</t>
  </si>
  <si>
    <t>Pretty Tables</t>
  </si>
  <si>
    <t>Candidate Phones</t>
  </si>
  <si>
    <t>Town Paper</t>
  </si>
  <si>
    <t>Writer Phones</t>
  </si>
  <si>
    <t>First Tables</t>
  </si>
  <si>
    <t>Own Binders</t>
  </si>
  <si>
    <t>They Tables</t>
  </si>
  <si>
    <t>Else Tables</t>
  </si>
  <si>
    <t>Discussion Chairs</t>
  </si>
  <si>
    <t>Democrat Accessories</t>
  </si>
  <si>
    <t>Protect Accessories</t>
  </si>
  <si>
    <t>Thus Laptops</t>
  </si>
  <si>
    <t>Plan Binders</t>
  </si>
  <si>
    <t>Cause Binders</t>
  </si>
  <si>
    <t>Real Tables</t>
  </si>
  <si>
    <t>Use Phones</t>
  </si>
  <si>
    <t>Far Tables</t>
  </si>
  <si>
    <t>Affect Tables</t>
  </si>
  <si>
    <t>New Binders</t>
  </si>
  <si>
    <t>Keep Storage</t>
  </si>
  <si>
    <t>Effect Tables</t>
  </si>
  <si>
    <t>Still Tables</t>
  </si>
  <si>
    <t>Put Laptops</t>
  </si>
  <si>
    <t>Travel Tables</t>
  </si>
  <si>
    <t>Amount Bookcases</t>
  </si>
  <si>
    <t>Usually Chairs</t>
  </si>
  <si>
    <t>Rich Accessories</t>
  </si>
  <si>
    <t>Candidate Paper</t>
  </si>
  <si>
    <t>Walk Laptops</t>
  </si>
  <si>
    <t>Candidate Bookcases</t>
  </si>
  <si>
    <t>Hit Phones</t>
  </si>
  <si>
    <t>Health Accessories</t>
  </si>
  <si>
    <t>Lay Binders</t>
  </si>
  <si>
    <t>Perhaps Laptops</t>
  </si>
  <si>
    <t>Develop Paper</t>
  </si>
  <si>
    <t>Star Laptops</t>
  </si>
  <si>
    <t>Film Storage</t>
  </si>
  <si>
    <t>Own Phones</t>
  </si>
  <si>
    <t>Answer Binders</t>
  </si>
  <si>
    <t>Carry Phones</t>
  </si>
  <si>
    <t>Treat Chairs</t>
  </si>
  <si>
    <t>Way Tables</t>
  </si>
  <si>
    <t>Child Phones</t>
  </si>
  <si>
    <t>Product Paper</t>
  </si>
  <si>
    <t>Out Paper</t>
  </si>
  <si>
    <t>Voice Bookcases</t>
  </si>
  <si>
    <t>Attack Chairs</t>
  </si>
  <si>
    <t>Return Laptops</t>
  </si>
  <si>
    <t>Much Chairs</t>
  </si>
  <si>
    <t>Item Binders</t>
  </si>
  <si>
    <t>Among Laptops</t>
  </si>
  <si>
    <t>Commercial Storage</t>
  </si>
  <si>
    <t>Member Chairs</t>
  </si>
  <si>
    <t>Recent Paper</t>
  </si>
  <si>
    <t>Others Phones</t>
  </si>
  <si>
    <t>Offer Chairs</t>
  </si>
  <si>
    <t>Think Accessories</t>
  </si>
  <si>
    <t>She Laptops</t>
  </si>
  <si>
    <t>Other Accessories</t>
  </si>
  <si>
    <t>Feel Tables</t>
  </si>
  <si>
    <t>Establish Binders</t>
  </si>
  <si>
    <t>Station Storage</t>
  </si>
  <si>
    <t>Model Accessories</t>
  </si>
  <si>
    <t>Family Bookcases</t>
  </si>
  <si>
    <t>See Storage</t>
  </si>
  <si>
    <t>Western Bookcases</t>
  </si>
  <si>
    <t>Forget Tables</t>
  </si>
  <si>
    <t>Mother Phones</t>
  </si>
  <si>
    <t>Country Phones</t>
  </si>
  <si>
    <t>My Bookcases</t>
  </si>
  <si>
    <t>Six Accessories</t>
  </si>
  <si>
    <t>Trouble Storage</t>
  </si>
  <si>
    <t>Support Accessories</t>
  </si>
  <si>
    <t>Direction Bookcases</t>
  </si>
  <si>
    <t>Remember Phones</t>
  </si>
  <si>
    <t>Face Accessories</t>
  </si>
  <si>
    <t>Its Paper</t>
  </si>
  <si>
    <t>Make Tables</t>
  </si>
  <si>
    <t>Listen Accessories</t>
  </si>
  <si>
    <t>Wall Storage</t>
  </si>
  <si>
    <t>Generation Paper</t>
  </si>
  <si>
    <t>Music Binders</t>
  </si>
  <si>
    <t>You Storage</t>
  </si>
  <si>
    <t>Child Chairs</t>
  </si>
  <si>
    <t>Run Paper</t>
  </si>
  <si>
    <t>Cost Storage</t>
  </si>
  <si>
    <t>Church Accessories</t>
  </si>
  <si>
    <t>Window Bookcases</t>
  </si>
  <si>
    <t>College Binders</t>
  </si>
  <si>
    <t>Discuss Accessories</t>
  </si>
  <si>
    <t>Civil Laptops</t>
  </si>
  <si>
    <t>News Binders</t>
  </si>
  <si>
    <t>Country Accessories</t>
  </si>
  <si>
    <t>Civil Bookcases</t>
  </si>
  <si>
    <t>Relate Phones</t>
  </si>
  <si>
    <t>Mrs Phones</t>
  </si>
  <si>
    <t>Scientist Storage</t>
  </si>
  <si>
    <t>Fight Chairs</t>
  </si>
  <si>
    <t>Grow Tables</t>
  </si>
  <si>
    <t>Hold Binders</t>
  </si>
  <si>
    <t>Seven Laptops</t>
  </si>
  <si>
    <t>Stage Binders</t>
  </si>
  <si>
    <t>Can Accessories</t>
  </si>
  <si>
    <t>Eat Bookcases</t>
  </si>
  <si>
    <t>Process Phones</t>
  </si>
  <si>
    <t>Analysis Chairs</t>
  </si>
  <si>
    <t>Age Storage</t>
  </si>
  <si>
    <t>Agent Accessories</t>
  </si>
  <si>
    <t>Major Accessories</t>
  </si>
  <si>
    <t>Measure Accessories</t>
  </si>
  <si>
    <t>Physical Laptops</t>
  </si>
  <si>
    <t>Experience Laptops</t>
  </si>
  <si>
    <t>Character Binders</t>
  </si>
  <si>
    <t>Site Phones</t>
  </si>
  <si>
    <t>Teach Accessories</t>
  </si>
  <si>
    <t>Evening Phones</t>
  </si>
  <si>
    <t>Tonight Phones</t>
  </si>
  <si>
    <t>Everybody Binders</t>
  </si>
  <si>
    <t>Such Bookcases</t>
  </si>
  <si>
    <t>Nothing Storage</t>
  </si>
  <si>
    <t>Like Phones</t>
  </si>
  <si>
    <t>Either Binders</t>
  </si>
  <si>
    <t>Understand Chairs</t>
  </si>
  <si>
    <t>Because Laptops</t>
  </si>
  <si>
    <t>Here Chairs</t>
  </si>
  <si>
    <t>Information Chairs</t>
  </si>
  <si>
    <t>His Storage</t>
  </si>
  <si>
    <t>Spring Chairs</t>
  </si>
  <si>
    <t>Economy Bookcases</t>
  </si>
  <si>
    <t>Foot Chairs</t>
  </si>
  <si>
    <t>Impact Tables</t>
  </si>
  <si>
    <t>Forget Binders</t>
  </si>
  <si>
    <t>Partner Phones</t>
  </si>
  <si>
    <t>Material Phones</t>
  </si>
  <si>
    <t>Plant Phones</t>
  </si>
  <si>
    <t>Area Laptops</t>
  </si>
  <si>
    <t>Great Storage</t>
  </si>
  <si>
    <t>Produce Paper</t>
  </si>
  <si>
    <t>Situation Accessories</t>
  </si>
  <si>
    <t>Above Binders</t>
  </si>
  <si>
    <t>Ball Storage</t>
  </si>
  <si>
    <t>Size Chairs</t>
  </si>
  <si>
    <t>Over Storage</t>
  </si>
  <si>
    <t>Condition Phones</t>
  </si>
  <si>
    <t>White Binders</t>
  </si>
  <si>
    <t>Into Laptops</t>
  </si>
  <si>
    <t>Later Bookcases</t>
  </si>
  <si>
    <t>Street Binders</t>
  </si>
  <si>
    <t>Western Binders</t>
  </si>
  <si>
    <t>Democrat Paper</t>
  </si>
  <si>
    <t>Between Binders</t>
  </si>
  <si>
    <t>College Accessories</t>
  </si>
  <si>
    <t>Toward Tables</t>
  </si>
  <si>
    <t>Smile Bookcases</t>
  </si>
  <si>
    <t>Machine Chairs</t>
  </si>
  <si>
    <t>Party Storage</t>
  </si>
  <si>
    <t>During Bookcases</t>
  </si>
  <si>
    <t>Early Phones</t>
  </si>
  <si>
    <t>Bad Accessories</t>
  </si>
  <si>
    <t>Us Paper</t>
  </si>
  <si>
    <t>All Accessories</t>
  </si>
  <si>
    <t>Institution Bookcases</t>
  </si>
  <si>
    <t>Political Phones</t>
  </si>
  <si>
    <t>Eat Accessories</t>
  </si>
  <si>
    <t>Power Chairs</t>
  </si>
  <si>
    <t>Season Storage</t>
  </si>
  <si>
    <t>Career Laptops</t>
  </si>
  <si>
    <t>Manage Binders</t>
  </si>
  <si>
    <t>Product Chairs</t>
  </si>
  <si>
    <t>Difficult Storage</t>
  </si>
  <si>
    <t>Past Phones</t>
  </si>
  <si>
    <t>Executive Chairs</t>
  </si>
  <si>
    <t>Second Binders</t>
  </si>
  <si>
    <t>Sort Chairs</t>
  </si>
  <si>
    <t>Explain Bookcases</t>
  </si>
  <si>
    <t>Heavy Paper</t>
  </si>
  <si>
    <t>Not Storage</t>
  </si>
  <si>
    <t>Thank Accessories</t>
  </si>
  <si>
    <t>Head Accessories</t>
  </si>
  <si>
    <t>Quite Binders</t>
  </si>
  <si>
    <t>Turn Chairs</t>
  </si>
  <si>
    <t>True Storage</t>
  </si>
  <si>
    <t>Of Tables</t>
  </si>
  <si>
    <t>Above Tables</t>
  </si>
  <si>
    <t>Yes Phones</t>
  </si>
  <si>
    <t>Rock Accessories</t>
  </si>
  <si>
    <t>Law Chairs</t>
  </si>
  <si>
    <t>Require Laptops</t>
  </si>
  <si>
    <t>Entire Accessories</t>
  </si>
  <si>
    <t>Word Paper</t>
  </si>
  <si>
    <t>Tend Bookcases</t>
  </si>
  <si>
    <t>Quite Phones</t>
  </si>
  <si>
    <t>Choose Tables</t>
  </si>
  <si>
    <t>Tree Bookcases</t>
  </si>
  <si>
    <t>Begin Paper</t>
  </si>
  <si>
    <t>Risk Paper</t>
  </si>
  <si>
    <t>Focus Accessories</t>
  </si>
  <si>
    <t>Phone Binders</t>
  </si>
  <si>
    <t>Argue Storage</t>
  </si>
  <si>
    <t>When Laptops</t>
  </si>
  <si>
    <t>Buy Chairs</t>
  </si>
  <si>
    <t>Anything Storage</t>
  </si>
  <si>
    <t>Outside Bookcases</t>
  </si>
  <si>
    <t>Minute Storage</t>
  </si>
  <si>
    <t>Couple Phones</t>
  </si>
  <si>
    <t>Carry Chairs</t>
  </si>
  <si>
    <t>Source Binders</t>
  </si>
  <si>
    <t>Space Bookcases</t>
  </si>
  <si>
    <t>Hit Laptops</t>
  </si>
  <si>
    <t>High Binders</t>
  </si>
  <si>
    <t>Left Accessories</t>
  </si>
  <si>
    <t>Real Phones</t>
  </si>
  <si>
    <t>Individual Storage</t>
  </si>
  <si>
    <t>Son Chairs</t>
  </si>
  <si>
    <t>Operation Paper</t>
  </si>
  <si>
    <t>Forward Laptops</t>
  </si>
  <si>
    <t>Contain Chairs</t>
  </si>
  <si>
    <t>Simply Storage</t>
  </si>
  <si>
    <t>Hope Storage</t>
  </si>
  <si>
    <t>Concern Laptops</t>
  </si>
  <si>
    <t>We Tables</t>
  </si>
  <si>
    <t>Throw Paper</t>
  </si>
  <si>
    <t>Different Storage</t>
  </si>
  <si>
    <t>Record Bookcases</t>
  </si>
  <si>
    <t>Themselves Phones</t>
  </si>
  <si>
    <t>Organization Phones</t>
  </si>
  <si>
    <t>Provide Storage</t>
  </si>
  <si>
    <t>Lead Phones</t>
  </si>
  <si>
    <t>Music Tables</t>
  </si>
  <si>
    <t>Sometimes Tables</t>
  </si>
  <si>
    <t>Whether Chairs</t>
  </si>
  <si>
    <t>Thus Accessories</t>
  </si>
  <si>
    <t>Week Chairs</t>
  </si>
  <si>
    <t>Including Phones</t>
  </si>
  <si>
    <t>Choose Phones</t>
  </si>
  <si>
    <t>Country Tables</t>
  </si>
  <si>
    <t>Away Storage</t>
  </si>
  <si>
    <t>Current Storage</t>
  </si>
  <si>
    <t>Citizen Paper</t>
  </si>
  <si>
    <t>Real Accessories</t>
  </si>
  <si>
    <t>Market Phones</t>
  </si>
  <si>
    <t>Whose Paper</t>
  </si>
  <si>
    <t>Method Paper</t>
  </si>
  <si>
    <t>Game Binders</t>
  </si>
  <si>
    <t>Local Paper</t>
  </si>
  <si>
    <t>Forget Accessories</t>
  </si>
  <si>
    <t>Though Paper</t>
  </si>
  <si>
    <t>Until Accessories</t>
  </si>
  <si>
    <t>Cost Paper</t>
  </si>
  <si>
    <t>Bill Laptops</t>
  </si>
  <si>
    <t>Scene Laptops</t>
  </si>
  <si>
    <t>Police Accessories</t>
  </si>
  <si>
    <t>Imagine Storage</t>
  </si>
  <si>
    <t>Even Paper</t>
  </si>
  <si>
    <t>Win Chairs</t>
  </si>
  <si>
    <t>Knowledge Tables</t>
  </si>
  <si>
    <t>Western Laptops</t>
  </si>
  <si>
    <t>Truth Phones</t>
  </si>
  <si>
    <t>Yourself Laptops</t>
  </si>
  <si>
    <t>Inside Laptops</t>
  </si>
  <si>
    <t>Affect Phones</t>
  </si>
  <si>
    <t>Design Binders</t>
  </si>
  <si>
    <t>Summer Bookcases</t>
  </si>
  <si>
    <t>How Chairs</t>
  </si>
  <si>
    <t>Tend Accessories</t>
  </si>
  <si>
    <t>Deep Paper</t>
  </si>
  <si>
    <t>Develop Storage</t>
  </si>
  <si>
    <t>Environment Chairs</t>
  </si>
  <si>
    <t>Morning Bookcases</t>
  </si>
  <si>
    <t>Join Accessories</t>
  </si>
  <si>
    <t>Forward Paper</t>
  </si>
  <si>
    <t>Way Laptops</t>
  </si>
  <si>
    <t>Make Chairs</t>
  </si>
  <si>
    <t>Exist Storage</t>
  </si>
  <si>
    <t>Cultural Phones</t>
  </si>
  <si>
    <t>West Phones</t>
  </si>
  <si>
    <t>Paper Paper</t>
  </si>
  <si>
    <t>Garden Laptops</t>
  </si>
  <si>
    <t>Away Paper</t>
  </si>
  <si>
    <t>Night Laptops</t>
  </si>
  <si>
    <t>Significant Phones</t>
  </si>
  <si>
    <t>My Storage</t>
  </si>
  <si>
    <t>Computer Tables</t>
  </si>
  <si>
    <t>Score Binders</t>
  </si>
  <si>
    <t>Meeting Phones</t>
  </si>
  <si>
    <t>Senior Storage</t>
  </si>
  <si>
    <t>Anyone Bookcases</t>
  </si>
  <si>
    <t>Office Phones</t>
  </si>
  <si>
    <t>Consumer Chairs</t>
  </si>
  <si>
    <t>About Laptops</t>
  </si>
  <si>
    <t>Story Laptops</t>
  </si>
  <si>
    <t>According Tables</t>
  </si>
  <si>
    <t>Newspaper Tables</t>
  </si>
  <si>
    <t>Win Accessories</t>
  </si>
  <si>
    <t>Personal Accessories</t>
  </si>
  <si>
    <t>Agent Bookcases</t>
  </si>
  <si>
    <t>Teacher Storage</t>
  </si>
  <si>
    <t>Institution Phones</t>
  </si>
  <si>
    <t>Director Storage</t>
  </si>
  <si>
    <t>Fire Laptops</t>
  </si>
  <si>
    <t>Player Storage</t>
  </si>
  <si>
    <t>Explain Accessories</t>
  </si>
  <si>
    <t>Ask Phones</t>
  </si>
  <si>
    <t>Position Bookcases</t>
  </si>
  <si>
    <t>Material Accessories</t>
  </si>
  <si>
    <t>Director Accessories</t>
  </si>
  <si>
    <t>There Paper</t>
  </si>
  <si>
    <t>New Phones</t>
  </si>
  <si>
    <t>Raise Bookcases</t>
  </si>
  <si>
    <t>Will Paper</t>
  </si>
  <si>
    <t>Couple Laptops</t>
  </si>
  <si>
    <t>During Accessories</t>
  </si>
  <si>
    <t>History Laptops</t>
  </si>
  <si>
    <t>Assume Laptops</t>
  </si>
  <si>
    <t>Garden Paper</t>
  </si>
  <si>
    <t>His Bookcases</t>
  </si>
  <si>
    <t>Raise Laptops</t>
  </si>
  <si>
    <t>For Laptops</t>
  </si>
  <si>
    <t>Fall Phones</t>
  </si>
  <si>
    <t>Society Phones</t>
  </si>
  <si>
    <t>Five Chairs</t>
  </si>
  <si>
    <t>Column1</t>
  </si>
  <si>
    <t>Customer Name2</t>
  </si>
  <si>
    <t>Customer Name3</t>
  </si>
  <si>
    <t>Segment2</t>
  </si>
  <si>
    <t>Region2</t>
  </si>
  <si>
    <t>Category2</t>
  </si>
  <si>
    <t>Sub-Category2</t>
  </si>
  <si>
    <t>Product Name2</t>
  </si>
  <si>
    <t>Product Name3</t>
  </si>
  <si>
    <t>Profit Status</t>
  </si>
  <si>
    <t>Unknown</t>
  </si>
  <si>
    <t>Sum of Profit</t>
  </si>
  <si>
    <t>Sum of Sales</t>
  </si>
  <si>
    <t>Row Labels</t>
  </si>
  <si>
    <t>Grand Total</t>
  </si>
  <si>
    <t>Count of Order ID</t>
  </si>
  <si>
    <t>Loss</t>
  </si>
  <si>
    <t>Sum</t>
  </si>
  <si>
    <t>Average</t>
  </si>
  <si>
    <t>Running Total</t>
  </si>
  <si>
    <t>Count</t>
  </si>
  <si>
    <t>Nicholas Fischer Iii</t>
  </si>
  <si>
    <t>Michael Blake</t>
  </si>
  <si>
    <t>Jessica Padilla Dds</t>
  </si>
  <si>
    <t>David Palmer</t>
  </si>
  <si>
    <t>Jason Jackson</t>
  </si>
  <si>
    <t>Elizabeth Fernandez Md</t>
  </si>
  <si>
    <t>Andrew Anderson</t>
  </si>
  <si>
    <t>Crystal Floyd Md</t>
  </si>
  <si>
    <t>Brian Hayden Dds</t>
  </si>
  <si>
    <t>Edward Lester</t>
  </si>
  <si>
    <t>Colleen Smith Dds</t>
  </si>
  <si>
    <t>Travis Love Md</t>
  </si>
  <si>
    <t>Ryan Bailey</t>
  </si>
  <si>
    <t>Colleen Nichols Dds</t>
  </si>
  <si>
    <t>Samantha Hernandez</t>
  </si>
  <si>
    <t>Michaela Grant</t>
  </si>
  <si>
    <t>Stephanie Cabrera</t>
  </si>
  <si>
    <t>Alyssa Martinez</t>
  </si>
  <si>
    <t>Miss Janice</t>
  </si>
  <si>
    <t>Kayla Austin</t>
  </si>
  <si>
    <t>Angela Rivas</t>
  </si>
  <si>
    <t>Jon 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</si>
</sst>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  <xf numFmtId="0" fontId="2" fillId="4" borderId="1" xfId="0" applyFont="1" applyFill="1" applyBorder="1"/>
    <xf numFmtId="0" fontId="2" fillId="4" borderId="6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3" borderId="7" xfId="0" applyFont="1" applyFill="1" applyBorder="1"/>
    <xf numFmtId="0" fontId="2" fillId="4" borderId="8" xfId="0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left" vertical="center"/>
    </xf>
    <xf numFmtId="0" fontId="2" fillId="4" borderId="8" xfId="0" applyFont="1" applyFill="1" applyBorder="1"/>
    <xf numFmtId="0" fontId="2" fillId="4" borderId="7" xfId="0" applyFont="1" applyFill="1" applyBorder="1"/>
    <xf numFmtId="0" fontId="2" fillId="4" borderId="6" xfId="0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1" xfId="0" applyNumberFormat="1" applyFont="1" applyBorder="1"/>
    <xf numFmtId="49" fontId="0" fillId="0" borderId="0" xfId="0" applyNumberFormat="1"/>
    <xf numFmtId="2" fontId="4" fillId="0" borderId="2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0" fillId="0" borderId="0" xfId="0" applyNumberFormat="1"/>
    <xf numFmtId="1" fontId="4" fillId="0" borderId="2" xfId="0" applyNumberFormat="1" applyFont="1" applyBorder="1" applyAlignment="1">
      <alignment horizontal="center"/>
    </xf>
    <xf numFmtId="1" fontId="2" fillId="0" borderId="1" xfId="0" applyNumberFormat="1" applyFont="1" applyBorder="1"/>
    <xf numFmtId="1" fontId="0" fillId="0" borderId="0" xfId="0" applyNumberFormat="1"/>
    <xf numFmtId="2" fontId="2" fillId="0" borderId="6" xfId="0" applyNumberFormat="1" applyFont="1" applyBorder="1"/>
    <xf numFmtId="2" fontId="2" fillId="0" borderId="8" xfId="0" applyNumberFormat="1" applyFont="1" applyBorder="1"/>
    <xf numFmtId="2" fontId="2" fillId="0" borderId="4" xfId="0" applyNumberFormat="1" applyFont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20">
    <dxf>
      <fill>
        <patternFill>
          <bgColor theme="9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Chandrika" refreshedDate="46170.976742592589" createdVersion="6" refreshedVersion="6" minRefreshableVersion="3" recordCount="750" xr:uid="{4502E7E4-3B0E-4113-8C50-2E970FE21752}">
  <cacheSource type="worksheet">
    <worksheetSource name="Table3"/>
  </cacheSource>
  <cacheFields count="14">
    <cacheField name="Order ID" numFmtId="0">
      <sharedItems/>
    </cacheField>
    <cacheField name="Order Date" numFmtId="14">
      <sharedItems containsDate="1" containsMixedTypes="1" minDate="2023-05-25T00:00:00" maxDate="2026-05-24T00:00:00"/>
    </cacheField>
    <cacheField name="Ship Date" numFmtId="14">
      <sharedItems containsSemiMixedTypes="0" containsNonDate="0" containsDate="1" containsString="0" minDate="2023-05-29T00:00:00" maxDate="2026-06-01T00:00:00"/>
    </cacheField>
    <cacheField name="Customer Name" numFmtId="49">
      <sharedItems/>
    </cacheField>
    <cacheField name="Segment" numFmtId="49">
      <sharedItems/>
    </cacheField>
    <cacheField name="Region" numFmtId="49">
      <sharedItems count="4">
        <s v="North"/>
        <s v="South"/>
        <s v="West"/>
        <s v="East"/>
      </sharedItems>
    </cacheField>
    <cacheField name="Category" numFmtId="49">
      <sharedItems/>
    </cacheField>
    <cacheField name="Sub-Category" numFmtId="49">
      <sharedItems/>
    </cacheField>
    <cacheField name="Product Name" numFmtId="49">
      <sharedItems/>
    </cacheField>
    <cacheField name="Sales" numFmtId="1">
      <sharedItems containsSemiMixedTypes="0" containsString="0" containsNumber="1" minValue="50.97" maxValue="4999.88"/>
    </cacheField>
    <cacheField name="Quantity" numFmtId="0">
      <sharedItems containsSemiMixedTypes="0" containsString="0" containsNumber="1" containsInteger="1" minValue="1" maxValue="10"/>
    </cacheField>
    <cacheField name="Discount" numFmtId="2">
      <sharedItems containsSemiMixedTypes="0" containsString="0" containsNumber="1" minValue="0" maxValue="0.2"/>
    </cacheField>
    <cacheField name="Profit" numFmtId="2">
      <sharedItems containsSemiMixedTypes="0" containsString="0" containsNumber="1" minValue="-945.22" maxValue="1683.17"/>
    </cacheField>
    <cacheField name="Profit Status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Chandrika" refreshedDate="46170.97736099537" createdVersion="6" refreshedVersion="6" minRefreshableVersion="3" recordCount="750" xr:uid="{96CEEEE7-5894-47F8-97F7-96988E8D8A15}">
  <cacheSource type="worksheet">
    <worksheetSource name="Table3"/>
  </cacheSource>
  <cacheFields count="14">
    <cacheField name="Order ID" numFmtId="0">
      <sharedItems count="75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6"/>
        <s v="ORD-10517"/>
        <s v="ORD-10518"/>
        <s v="ORD-10519"/>
        <s v="ORD-10520"/>
        <s v="ORD-10521"/>
        <s v="ORD-10522"/>
        <s v="ORD-10523"/>
        <s v="ORD-10524"/>
        <s v="ORD-10525"/>
        <s v="ORD-10526"/>
        <s v="ORD-10527"/>
        <s v="ORD-10528"/>
        <s v="ORD-10529"/>
        <s v="ORD-10530"/>
        <s v="ORD-10531"/>
        <s v="ORD-10532"/>
        <s v="ORD-10533"/>
        <s v="ORD-10534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59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2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4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4"/>
        <s v="ORD-10605"/>
        <s v="ORD-10606"/>
        <s v="ORD-10607"/>
        <s v="ORD-10608"/>
        <s v="ORD-10609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5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0"/>
        <s v="ORD-10641"/>
        <s v="ORD-10642"/>
        <s v="ORD-10643"/>
        <s v="ORD-10644"/>
        <s v="ORD-10645"/>
        <s v="ORD-10646"/>
        <s v="ORD-10647"/>
        <s v="ORD-10648"/>
        <s v="ORD-10649"/>
        <s v="ORD-10650"/>
        <s v="ORD-10651"/>
        <s v="ORD-10652"/>
        <s v="ORD-10653"/>
        <s v="ORD-10654"/>
        <s v="ORD-10655"/>
        <s v="ORD-10656"/>
        <s v="ORD-10657"/>
        <s v="ORD-10658"/>
        <s v="ORD-10659"/>
        <s v="ORD-10660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5"/>
        <s v="ORD-10686"/>
        <s v="ORD-10687"/>
        <s v="ORD-10688"/>
        <s v="ORD-10689"/>
        <s v="ORD-10690"/>
        <s v="ORD-10691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2"/>
        <s v="ORD-10723"/>
        <s v="ORD-10724"/>
        <s v="ORD-10725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6"/>
        <s v="ORD-10737"/>
        <s v="ORD-10738"/>
        <s v="ORD-10739"/>
        <s v="ORD-10740"/>
        <s v="ORD-10741"/>
        <s v="ORD-10742"/>
        <s v="ORD-10743"/>
        <s v="ORD-10744"/>
        <s v="ORD-10745"/>
        <s v="ORD-10746"/>
        <s v="ORD-10747"/>
        <s v="ORD-10748"/>
        <s v="ORD-10749"/>
        <s v="ORD-10750"/>
      </sharedItems>
    </cacheField>
    <cacheField name="Order Date" numFmtId="14">
      <sharedItems containsDate="1" containsMixedTypes="1" minDate="2023-05-25T00:00:00" maxDate="2026-05-24T00:00:00"/>
    </cacheField>
    <cacheField name="Ship Date" numFmtId="14">
      <sharedItems containsSemiMixedTypes="0" containsNonDate="0" containsDate="1" containsString="0" minDate="2023-05-29T00:00:00" maxDate="2026-06-01T00:00:00"/>
    </cacheField>
    <cacheField name="Customer Name" numFmtId="49">
      <sharedItems/>
    </cacheField>
    <cacheField name="Segment" numFmtId="49">
      <sharedItems count="3">
        <s v="Consumer"/>
        <s v="Corporate"/>
        <s v="Home Office"/>
      </sharedItems>
    </cacheField>
    <cacheField name="Region" numFmtId="49">
      <sharedItems/>
    </cacheField>
    <cacheField name="Category" numFmtId="49">
      <sharedItems/>
    </cacheField>
    <cacheField name="Sub-Category" numFmtId="49">
      <sharedItems/>
    </cacheField>
    <cacheField name="Product Name" numFmtId="49">
      <sharedItems/>
    </cacheField>
    <cacheField name="Sales" numFmtId="1">
      <sharedItems containsSemiMixedTypes="0" containsString="0" containsNumber="1" minValue="50.97" maxValue="4999.88"/>
    </cacheField>
    <cacheField name="Quantity" numFmtId="0">
      <sharedItems containsSemiMixedTypes="0" containsString="0" containsNumber="1" containsInteger="1" minValue="1" maxValue="10"/>
    </cacheField>
    <cacheField name="Discount" numFmtId="2">
      <sharedItems containsSemiMixedTypes="0" containsString="0" containsNumber="1" minValue="0" maxValue="0.2"/>
    </cacheField>
    <cacheField name="Profit" numFmtId="2">
      <sharedItems containsSemiMixedTypes="0" containsString="0" containsNumber="1" minValue="-945.22" maxValue="1683.17"/>
    </cacheField>
    <cacheField name="Profit Status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Chandrika" refreshedDate="46170.977740277776" createdVersion="6" refreshedVersion="6" minRefreshableVersion="3" recordCount="750" xr:uid="{A7440033-D344-427C-8586-1F0AC8CA3A47}">
  <cacheSource type="worksheet">
    <worksheetSource name="Table3"/>
  </cacheSource>
  <cacheFields count="14">
    <cacheField name="Order ID" numFmtId="0">
      <sharedItems count="75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6"/>
        <s v="ORD-10517"/>
        <s v="ORD-10518"/>
        <s v="ORD-10519"/>
        <s v="ORD-10520"/>
        <s v="ORD-10521"/>
        <s v="ORD-10522"/>
        <s v="ORD-10523"/>
        <s v="ORD-10524"/>
        <s v="ORD-10525"/>
        <s v="ORD-10526"/>
        <s v="ORD-10527"/>
        <s v="ORD-10528"/>
        <s v="ORD-10529"/>
        <s v="ORD-10530"/>
        <s v="ORD-10531"/>
        <s v="ORD-10532"/>
        <s v="ORD-10533"/>
        <s v="ORD-10534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59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2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4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4"/>
        <s v="ORD-10605"/>
        <s v="ORD-10606"/>
        <s v="ORD-10607"/>
        <s v="ORD-10608"/>
        <s v="ORD-10609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5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0"/>
        <s v="ORD-10641"/>
        <s v="ORD-10642"/>
        <s v="ORD-10643"/>
        <s v="ORD-10644"/>
        <s v="ORD-10645"/>
        <s v="ORD-10646"/>
        <s v="ORD-10647"/>
        <s v="ORD-10648"/>
        <s v="ORD-10649"/>
        <s v="ORD-10650"/>
        <s v="ORD-10651"/>
        <s v="ORD-10652"/>
        <s v="ORD-10653"/>
        <s v="ORD-10654"/>
        <s v="ORD-10655"/>
        <s v="ORD-10656"/>
        <s v="ORD-10657"/>
        <s v="ORD-10658"/>
        <s v="ORD-10659"/>
        <s v="ORD-10660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5"/>
        <s v="ORD-10686"/>
        <s v="ORD-10687"/>
        <s v="ORD-10688"/>
        <s v="ORD-10689"/>
        <s v="ORD-10690"/>
        <s v="ORD-10691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2"/>
        <s v="ORD-10723"/>
        <s v="ORD-10724"/>
        <s v="ORD-10725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6"/>
        <s v="ORD-10737"/>
        <s v="ORD-10738"/>
        <s v="ORD-10739"/>
        <s v="ORD-10740"/>
        <s v="ORD-10741"/>
        <s v="ORD-10742"/>
        <s v="ORD-10743"/>
        <s v="ORD-10744"/>
        <s v="ORD-10745"/>
        <s v="ORD-10746"/>
        <s v="ORD-10747"/>
        <s v="ORD-10748"/>
        <s v="ORD-10749"/>
        <s v="ORD-10750"/>
      </sharedItems>
    </cacheField>
    <cacheField name="Order Date" numFmtId="14">
      <sharedItems containsDate="1" containsMixedTypes="1" minDate="2023-05-25T00:00:00" maxDate="2026-05-24T00:00:00"/>
    </cacheField>
    <cacheField name="Ship Date" numFmtId="14">
      <sharedItems containsSemiMixedTypes="0" containsNonDate="0" containsDate="1" containsString="0" minDate="2023-05-29T00:00:00" maxDate="2026-06-01T00:00:00"/>
    </cacheField>
    <cacheField name="Customer Name" numFmtId="49">
      <sharedItems/>
    </cacheField>
    <cacheField name="Segment" numFmtId="49">
      <sharedItems/>
    </cacheField>
    <cacheField name="Region" numFmtId="49">
      <sharedItems/>
    </cacheField>
    <cacheField name="Category" numFmtId="49">
      <sharedItems count="3">
        <s v="Office Supplies"/>
        <s v="Technology"/>
        <s v="Furniture"/>
      </sharedItems>
    </cacheField>
    <cacheField name="Sub-Category" numFmtId="49">
      <sharedItems/>
    </cacheField>
    <cacheField name="Product Name" numFmtId="49">
      <sharedItems/>
    </cacheField>
    <cacheField name="Sales" numFmtId="1">
      <sharedItems containsSemiMixedTypes="0" containsString="0" containsNumber="1" minValue="50.97" maxValue="4999.88"/>
    </cacheField>
    <cacheField name="Quantity" numFmtId="0">
      <sharedItems containsSemiMixedTypes="0" containsString="0" containsNumber="1" containsInteger="1" minValue="1" maxValue="10"/>
    </cacheField>
    <cacheField name="Discount" numFmtId="2">
      <sharedItems containsSemiMixedTypes="0" containsString="0" containsNumber="1" minValue="0" maxValue="0.2"/>
    </cacheField>
    <cacheField name="Profit" numFmtId="2">
      <sharedItems containsSemiMixedTypes="0" containsString="0" containsNumber="1" minValue="-945.22" maxValue="1683.17"/>
    </cacheField>
    <cacheField name="Profit Status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Chandrika" refreshedDate="46170.984393055558" createdVersion="6" refreshedVersion="6" minRefreshableVersion="3" recordCount="750" xr:uid="{0541E420-5629-4DC7-99DB-302305861D90}">
  <cacheSource type="worksheet">
    <worksheetSource name="Table3"/>
  </cacheSource>
  <cacheFields count="14">
    <cacheField name="Order ID" numFmtId="0">
      <sharedItems/>
    </cacheField>
    <cacheField name="Order Date" numFmtId="14">
      <sharedItems containsDate="1" containsMixedTypes="1" minDate="2023-05-25T00:00:00" maxDate="2026-05-24T00:00:00"/>
    </cacheField>
    <cacheField name="Ship Date" numFmtId="14">
      <sharedItems containsSemiMixedTypes="0" containsNonDate="0" containsDate="1" containsString="0" minDate="2023-05-29T00:00:00" maxDate="2026-06-01T00:00:00"/>
    </cacheField>
    <cacheField name="Customer Name" numFmtId="49">
      <sharedItems/>
    </cacheField>
    <cacheField name="Segment" numFmtId="49">
      <sharedItems/>
    </cacheField>
    <cacheField name="Region" numFmtId="49">
      <sharedItems count="4">
        <s v="West"/>
        <s v="North"/>
        <s v="East"/>
        <s v="South"/>
      </sharedItems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Product Name" numFmtId="49">
      <sharedItems/>
    </cacheField>
    <cacheField name="Sales" numFmtId="1">
      <sharedItems containsSemiMixedTypes="0" containsString="0" containsNumber="1" minValue="50.97" maxValue="4999.88"/>
    </cacheField>
    <cacheField name="Quantity" numFmtId="0">
      <sharedItems containsSemiMixedTypes="0" containsString="0" containsNumber="1" containsInteger="1" minValue="1" maxValue="10"/>
    </cacheField>
    <cacheField name="Discount" numFmtId="2">
      <sharedItems containsSemiMixedTypes="0" containsString="0" containsNumber="1" minValue="0" maxValue="0.2"/>
    </cacheField>
    <cacheField name="Profit" numFmtId="2">
      <sharedItems containsSemiMixedTypes="0" containsString="0" containsNumber="1" minValue="-945.22" maxValue="1683.17"/>
    </cacheField>
    <cacheField name="Profit Status" numFmtId="2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ORD-10001"/>
    <d v="2023-09-08T00:00:00"/>
    <d v="2023-09-09T00:00:00"/>
    <s v="Traci Sanchez"/>
    <s v="Consumer"/>
    <x v="0"/>
    <s v="Office Supplies"/>
    <s v="Binders"/>
    <s v="Happy Binders"/>
    <n v="3720.67"/>
    <n v="4"/>
    <n v="0.05"/>
    <n v="-458.59"/>
    <s v="Loss"/>
  </r>
  <r>
    <s v="ORD-10002"/>
    <d v="2026-03-05T00:00:00"/>
    <d v="2026-03-06T00:00:00"/>
    <s v="Norman Jordan"/>
    <s v="Consumer"/>
    <x v="1"/>
    <s v="Office Supplies"/>
    <s v="Paper"/>
    <s v="Fight Paper"/>
    <n v="197.5"/>
    <n v="4"/>
    <n v="0.05"/>
    <n v="15.39"/>
    <s v="Profit"/>
  </r>
  <r>
    <s v="ORD-10003"/>
    <d v="2023-11-05T00:00:00"/>
    <d v="2023-11-14T00:00:00"/>
    <s v="Thomas Scott"/>
    <s v="Consumer"/>
    <x v="1"/>
    <s v="Office Supplies"/>
    <s v="Storage"/>
    <s v="Process Storage"/>
    <n v="2126.62"/>
    <n v="8"/>
    <n v="0.2"/>
    <n v="-99.94"/>
    <s v="Loss"/>
  </r>
  <r>
    <s v="ORD-10004"/>
    <d v="2024-08-19T00:00:00"/>
    <d v="2024-08-25T00:00:00"/>
    <s v="Samuel Diaz"/>
    <s v="Corporate"/>
    <x v="0"/>
    <s v="Office Supplies"/>
    <s v="Paper"/>
    <s v="Prepare Paper"/>
    <n v="1425.46"/>
    <n v="4"/>
    <n v="0.1"/>
    <n v="-204.96"/>
    <s v="Loss"/>
  </r>
  <r>
    <s v="ORD-10005"/>
    <d v="2025-07-22T00:00:00"/>
    <d v="2025-08-01T00:00:00"/>
    <s v="Tiffany Ruiz"/>
    <s v="Consumer"/>
    <x v="2"/>
    <s v="Technology"/>
    <s v="Accessories"/>
    <s v="Coach Accessories"/>
    <n v="1359.38"/>
    <n v="1"/>
    <n v="0.2"/>
    <n v="71.62"/>
    <s v="Profit"/>
  </r>
  <r>
    <s v="ORD-10006"/>
    <d v="2024-02-13T00:00:00"/>
    <d v="2024-02-18T00:00:00"/>
    <s v="Stephanie Rodriguez"/>
    <s v="Home Office"/>
    <x v="0"/>
    <s v="Furniture"/>
    <s v="Bookcases"/>
    <s v="Task Bookcases"/>
    <n v="4155.55"/>
    <n v="10"/>
    <n v="0.1"/>
    <n v="488.46"/>
    <s v="Profit"/>
  </r>
  <r>
    <s v="ORD-10007"/>
    <d v="2025-12-27T00:00:00"/>
    <d v="2025-12-31T00:00:00"/>
    <s v="Barbara Mora"/>
    <s v="Corporate"/>
    <x v="3"/>
    <s v="Furniture"/>
    <s v="Bookcases"/>
    <s v="Available Bookcases"/>
    <n v="3876.69"/>
    <n v="2"/>
    <n v="0.05"/>
    <n v="1072.1600000000001"/>
    <s v="Profit"/>
  </r>
  <r>
    <s v="ORD-10008"/>
    <d v="2023-12-28T00:00:00"/>
    <d v="2024-01-03T00:00:00"/>
    <s v="Gloria Brown"/>
    <s v="Home Office"/>
    <x v="0"/>
    <s v="Technology"/>
    <s v="Laptops"/>
    <s v="Beautiful Laptops"/>
    <n v="855.14"/>
    <n v="6"/>
    <n v="0.05"/>
    <n v="144.16999999999999"/>
    <s v="Profit"/>
  </r>
  <r>
    <s v="ORD-10009"/>
    <d v="2024-03-23T00:00:00"/>
    <d v="2024-03-26T00:00:00"/>
    <s v="Stephen Adkins"/>
    <s v="Corporate"/>
    <x v="1"/>
    <s v="Office Supplies"/>
    <s v="Storage"/>
    <s v="Purpose Storage"/>
    <n v="2693.99"/>
    <n v="4"/>
    <n v="0.05"/>
    <n v="146.13"/>
    <s v="Profit"/>
  </r>
  <r>
    <s v="ORD-10010"/>
    <d v="2026-02-27T00:00:00"/>
    <d v="2026-02-28T00:00:00"/>
    <s v="Rachel Mathews"/>
    <s v="Consumer"/>
    <x v="1"/>
    <s v="Office Supplies"/>
    <s v="Paper"/>
    <s v="Last Paper"/>
    <n v="1183.79"/>
    <n v="1"/>
    <n v="0.1"/>
    <n v="24.43"/>
    <s v="Profit"/>
  </r>
  <r>
    <s v="ORD-10011"/>
    <d v="2024-08-20T00:00:00"/>
    <d v="2024-08-26T00:00:00"/>
    <s v="Jacqueline Johnson"/>
    <s v="Home Office"/>
    <x v="2"/>
    <s v="Office Supplies"/>
    <s v="Storage"/>
    <s v="Prepare Storage"/>
    <n v="1102.5"/>
    <n v="8"/>
    <n v="0.15"/>
    <n v="315.95"/>
    <s v="Profit"/>
  </r>
  <r>
    <s v="ORD-10012"/>
    <d v="2024-10-09T00:00:00"/>
    <d v="2024-10-12T00:00:00"/>
    <s v="Kevin Anderson"/>
    <s v="Home Office"/>
    <x v="2"/>
    <s v="Furniture"/>
    <s v="Tables"/>
    <s v="Live Tables"/>
    <n v="1270.81"/>
    <n v="9"/>
    <n v="0.2"/>
    <n v="-70.52"/>
    <s v="Loss"/>
  </r>
  <r>
    <s v="ORD-10013"/>
    <d v="2024-08-20T00:00:00"/>
    <d v="2024-08-26T00:00:00"/>
    <s v="Kenneth Sullivan"/>
    <s v="Consumer"/>
    <x v="0"/>
    <s v="Office Supplies"/>
    <s v="Paper"/>
    <s v="Example Paper"/>
    <n v="1135.6400000000001"/>
    <n v="3"/>
    <n v="0.2"/>
    <n v="81.12"/>
    <s v="Profit"/>
  </r>
  <r>
    <s v="ORD-10014"/>
    <d v="2024-02-16T00:00:00"/>
    <d v="2024-02-19T00:00:00"/>
    <s v="John Bates"/>
    <s v="Corporate"/>
    <x v="2"/>
    <s v="Furniture"/>
    <s v="Bookcases"/>
    <s v="Individual Bookcases"/>
    <n v="3970.79"/>
    <n v="7"/>
    <n v="0.2"/>
    <n v="-655.42"/>
    <s v="Loss"/>
  </r>
  <r>
    <s v="ORD-10015"/>
    <d v="2023-10-15T00:00:00"/>
    <d v="2023-10-24T00:00:00"/>
    <s v="Patrick Horn"/>
    <s v="Home Office"/>
    <x v="3"/>
    <s v="Office Supplies"/>
    <s v="Paper"/>
    <s v="Tough Paper"/>
    <n v="4310.8599999999997"/>
    <n v="1"/>
    <n v="0.2"/>
    <n v="846.64"/>
    <s v="Profit"/>
  </r>
  <r>
    <s v="ORD-10016"/>
    <d v="2024-01-06T00:00:00"/>
    <d v="2024-01-08T00:00:00"/>
    <s v="Danny Clark"/>
    <s v="Home Office"/>
    <x v="3"/>
    <s v="Office Supplies"/>
    <s v="Paper"/>
    <s v="Cover Paper"/>
    <n v="1502.83"/>
    <n v="3"/>
    <n v="0.15"/>
    <n v="-297.88"/>
    <s v="Loss"/>
  </r>
  <r>
    <s v="ORD-10017"/>
    <d v="2023-11-03T00:00:00"/>
    <d v="2023-11-12T00:00:00"/>
    <s v="Thomas Olson"/>
    <s v="Consumer"/>
    <x v="1"/>
    <s v="Office Supplies"/>
    <s v="Binders"/>
    <s v="Thousand Binders"/>
    <n v="4567.51"/>
    <n v="5"/>
    <n v="0.2"/>
    <n v="361.81"/>
    <s v="Profit"/>
  </r>
  <r>
    <s v="ORD-10018"/>
    <d v="2025-01-12T00:00:00"/>
    <d v="2025-01-21T00:00:00"/>
    <s v="Jeffrey Levy"/>
    <s v="Corporate"/>
    <x v="0"/>
    <s v="Technology"/>
    <s v="Phones"/>
    <s v="Ahead Phones"/>
    <n v="4769.82"/>
    <n v="9"/>
    <n v="0"/>
    <n v="617.30999999999995"/>
    <s v="Profit"/>
  </r>
  <r>
    <s v="ORD-10019"/>
    <d v="2023-12-02T00:00:00"/>
    <d v="2023-12-07T00:00:00"/>
    <s v="James Hamilton"/>
    <s v="Consumer"/>
    <x v="2"/>
    <s v="Furniture"/>
    <s v="Tables"/>
    <s v="Build Tables"/>
    <n v="1235.29"/>
    <n v="4"/>
    <n v="0.2"/>
    <n v="396.31"/>
    <s v="Profit"/>
  </r>
  <r>
    <s v="ORD-10020"/>
    <d v="2025-01-05T00:00:00"/>
    <d v="2025-01-08T00:00:00"/>
    <s v="Joshua Smith"/>
    <s v="Home Office"/>
    <x v="2"/>
    <s v="Furniture"/>
    <s v="Bookcases"/>
    <s v="Cell Bookcases"/>
    <n v="685.54"/>
    <n v="8"/>
    <n v="0.2"/>
    <n v="-74.849999999999994"/>
    <s v="Loss"/>
  </r>
  <r>
    <s v="ORD-10021"/>
    <d v="2026-05-12T00:00:00"/>
    <d v="2026-05-16T00:00:00"/>
    <s v="Lorraine Ruiz"/>
    <s v="Corporate"/>
    <x v="2"/>
    <s v="Furniture"/>
    <s v="Bookcases"/>
    <s v="Suddenly Bookcases"/>
    <n v="3579.1"/>
    <n v="7"/>
    <n v="0.2"/>
    <n v="563.47"/>
    <s v="Profit"/>
  </r>
  <r>
    <s v="ORD-10022"/>
    <d v="2025-11-28T00:00:00"/>
    <d v="2025-12-02T00:00:00"/>
    <s v="Terri Miller"/>
    <s v="Home Office"/>
    <x v="1"/>
    <s v="Furniture"/>
    <s v="Chairs"/>
    <s v="Forget Chairs"/>
    <n v="366.93"/>
    <n v="1"/>
    <n v="0.2"/>
    <n v="38.4"/>
    <s v="Profit"/>
  </r>
  <r>
    <s v="ORD-10023"/>
    <d v="2024-04-01T00:00:00"/>
    <d v="2024-04-02T00:00:00"/>
    <s v="Stacey Lewis"/>
    <s v="Consumer"/>
    <x v="3"/>
    <s v="Furniture"/>
    <s v="Chairs"/>
    <s v="Than Chairs"/>
    <n v="1183.26"/>
    <n v="1"/>
    <n v="0.1"/>
    <n v="-190.54"/>
    <s v="Loss"/>
  </r>
  <r>
    <s v="ORD-10024"/>
    <d v="2025-05-19T00:00:00"/>
    <d v="2025-05-23T00:00:00"/>
    <s v="Amanda Roberts"/>
    <s v="Corporate"/>
    <x v="2"/>
    <s v="Office Supplies"/>
    <s v="Paper"/>
    <s v="Culture Paper"/>
    <n v="2719.21"/>
    <n v="10"/>
    <n v="0.2"/>
    <n v="163.07"/>
    <s v="Profit"/>
  </r>
  <r>
    <s v="ORD-10025"/>
    <d v="2024-09-29T00:00:00"/>
    <d v="2024-10-01T00:00:00"/>
    <s v="William Fernandez"/>
    <s v="Home Office"/>
    <x v="0"/>
    <s v="Furniture"/>
    <s v="Chairs"/>
    <s v="Cultural Chairs"/>
    <n v="3311.96"/>
    <n v="6"/>
    <n v="0.15"/>
    <n v="86.46"/>
    <s v="Profit"/>
  </r>
  <r>
    <s v="ORD-10026"/>
    <d v="2024-12-21T00:00:00"/>
    <d v="2024-12-23T00:00:00"/>
    <s v="Nicholas Taylor"/>
    <s v="Consumer"/>
    <x v="2"/>
    <s v="Office Supplies"/>
    <s v="Storage"/>
    <s v="Make Storage"/>
    <n v="350.03"/>
    <n v="6"/>
    <n v="0"/>
    <n v="-22.14"/>
    <s v="Loss"/>
  </r>
  <r>
    <s v="ORD-10027"/>
    <d v="2024-05-29T00:00:00"/>
    <d v="2024-06-01T00:00:00"/>
    <s v="Amanda Roy"/>
    <s v="Home Office"/>
    <x v="0"/>
    <s v="Furniture"/>
    <s v="Tables"/>
    <s v="His Tables"/>
    <n v="1428.8"/>
    <n v="4"/>
    <n v="0"/>
    <n v="62.47"/>
    <s v="Profit"/>
  </r>
  <r>
    <s v="ORD-10028"/>
    <d v="2025-01-26T00:00:00"/>
    <d v="2025-02-04T00:00:00"/>
    <s v="Charles Moore"/>
    <s v="Corporate"/>
    <x v="2"/>
    <s v="Furniture"/>
    <s v="Bookcases"/>
    <s v="Yeah Bookcases"/>
    <n v="4188.34"/>
    <n v="2"/>
    <n v="0.05"/>
    <n v="-454.56"/>
    <s v="Loss"/>
  </r>
  <r>
    <s v="ORD-10029"/>
    <d v="2024-03-01T00:00:00"/>
    <d v="2024-03-02T00:00:00"/>
    <s v="Linda Wells"/>
    <s v="Corporate"/>
    <x v="3"/>
    <s v="Furniture"/>
    <s v="Tables"/>
    <s v="Important Tables"/>
    <n v="864.95"/>
    <n v="1"/>
    <n v="0.15"/>
    <n v="-46.83"/>
    <s v="Loss"/>
  </r>
  <r>
    <s v="ORD-10030"/>
    <d v="2023-06-11T00:00:00"/>
    <d v="2023-06-20T00:00:00"/>
    <s v="Daniel King"/>
    <s v="Consumer"/>
    <x v="0"/>
    <s v="Technology"/>
    <s v="Laptops"/>
    <s v="Themselves Laptops"/>
    <n v="3326.26"/>
    <n v="8"/>
    <n v="0.05"/>
    <n v="-317.83999999999997"/>
    <s v="Loss"/>
  </r>
  <r>
    <s v="ORD-10031"/>
    <d v="2026-05-03T00:00:00"/>
    <d v="2026-05-12T00:00:00"/>
    <s v="Ricardo Ramirez"/>
    <s v="Corporate"/>
    <x v="1"/>
    <s v="Office Supplies"/>
    <s v="Storage"/>
    <s v="Growth Storage"/>
    <n v="351.74"/>
    <n v="6"/>
    <n v="0"/>
    <n v="-60.65"/>
    <s v="Loss"/>
  </r>
  <r>
    <s v="ORD-10032"/>
    <d v="2025-10-31T00:00:00"/>
    <d v="2025-11-02T00:00:00"/>
    <s v="Erika Ellis"/>
    <s v="Consumer"/>
    <x v="2"/>
    <s v="Furniture"/>
    <s v="Bookcases"/>
    <s v="One Bookcases"/>
    <n v="4264.1499999999996"/>
    <n v="2"/>
    <n v="0.2"/>
    <n v="-693.44"/>
    <s v="Loss"/>
  </r>
  <r>
    <s v="ORD-10033"/>
    <d v="2025-12-17T00:00:00"/>
    <d v="2025-12-21T00:00:00"/>
    <s v="Pamela Norman"/>
    <s v="Home Office"/>
    <x v="3"/>
    <s v="Furniture"/>
    <s v="Bookcases"/>
    <s v="Wait Bookcases"/>
    <n v="2915.65"/>
    <n v="1"/>
    <n v="0.2"/>
    <n v="-451.66"/>
    <s v="Loss"/>
  </r>
  <r>
    <s v="ORD-10034"/>
    <d v="2024-03-17T00:00:00"/>
    <d v="2024-03-23T00:00:00"/>
    <s v="Dennis Stewart"/>
    <s v="Corporate"/>
    <x v="2"/>
    <s v="Technology"/>
    <s v="Phones"/>
    <s v="Stay Phones"/>
    <n v="1231.5"/>
    <n v="7"/>
    <n v="0.05"/>
    <n v="208.65"/>
    <s v="Profit"/>
  </r>
  <r>
    <s v="ORD-10035"/>
    <d v="2025-05-05T00:00:00"/>
    <d v="2025-05-06T00:00:00"/>
    <s v="Ms. Colleen Smith Dds"/>
    <s v="Consumer"/>
    <x v="3"/>
    <s v="Technology"/>
    <s v="Phones"/>
    <s v="Available Phones"/>
    <n v="2318.5100000000002"/>
    <n v="10"/>
    <n v="0"/>
    <n v="-370.28"/>
    <s v="Loss"/>
  </r>
  <r>
    <s v="ORD-10036"/>
    <d v="2025-03-08T00:00:00"/>
    <d v="2025-03-10T00:00:00"/>
    <s v="Katelyn Williams"/>
    <s v="Home Office"/>
    <x v="3"/>
    <s v="Furniture"/>
    <s v="Tables"/>
    <s v="Son Tables"/>
    <n v="4402.3900000000003"/>
    <n v="6"/>
    <n v="0.1"/>
    <n v="-498.52"/>
    <s v="Loss"/>
  </r>
  <r>
    <s v="ORD-10037"/>
    <s v="07-11-2023"/>
    <d v="2023-11-16T00:00:00"/>
    <s v="Shannon Wagner"/>
    <s v="Consumer"/>
    <x v="1"/>
    <s v="Office Supplies"/>
    <s v="Storage"/>
    <s v="With Storage"/>
    <n v="88.72"/>
    <n v="9"/>
    <n v="0.1"/>
    <n v="27.72"/>
    <s v="Profit"/>
  </r>
  <r>
    <s v="ORD-10038"/>
    <d v="2025-06-07T00:00:00"/>
    <d v="2025-06-09T00:00:00"/>
    <s v="Kelli Johnson"/>
    <s v="Consumer"/>
    <x v="3"/>
    <s v="Technology"/>
    <s v="Phones"/>
    <s v="This Phones"/>
    <n v="3724.96"/>
    <n v="3"/>
    <n v="0.1"/>
    <n v="-167.75"/>
    <s v="Loss"/>
  </r>
  <r>
    <s v="ORD-10039"/>
    <d v="2023-06-10T00:00:00"/>
    <d v="2023-06-15T00:00:00"/>
    <s v="Rebecca Blake"/>
    <s v="Corporate"/>
    <x v="3"/>
    <s v="Furniture"/>
    <s v="Bookcases"/>
    <s v="Throughout Bookcases"/>
    <n v="2551.77"/>
    <n v="5"/>
    <n v="0"/>
    <n v="-380.82"/>
    <s v="Loss"/>
  </r>
  <r>
    <s v="ORD-10040"/>
    <d v="2026-03-08T00:00:00"/>
    <d v="2026-03-14T00:00:00"/>
    <s v="Brian Gallagher"/>
    <s v="Home Office"/>
    <x v="2"/>
    <s v="Furniture"/>
    <s v="Chairs"/>
    <s v="According Chairs"/>
    <n v="3867.04"/>
    <n v="5"/>
    <n v="0.05"/>
    <n v="803.1"/>
    <s v="Profit"/>
  </r>
  <r>
    <s v="ORD-10041"/>
    <d v="2025-07-08T00:00:00"/>
    <d v="2025-07-10T00:00:00"/>
    <s v="Melissa Burgess"/>
    <s v="Corporate"/>
    <x v="1"/>
    <s v="Office Supplies"/>
    <s v="Binders"/>
    <s v="Three Binders"/>
    <n v="422.46"/>
    <n v="3"/>
    <n v="0.2"/>
    <n v="-76.12"/>
    <s v="Loss"/>
  </r>
  <r>
    <s v="ORD-10042"/>
    <d v="2026-05-16T00:00:00"/>
    <d v="2026-05-17T00:00:00"/>
    <s v="Jenna Hill"/>
    <s v="Consumer"/>
    <x v="0"/>
    <s v="Technology"/>
    <s v="Phones"/>
    <s v="Employee Phones"/>
    <n v="1575.88"/>
    <n v="1"/>
    <n v="0.1"/>
    <n v="-133.1"/>
    <s v="Loss"/>
  </r>
  <r>
    <s v="ORD-10043"/>
    <d v="2026-02-04T00:00:00"/>
    <d v="2026-02-11T00:00:00"/>
    <s v="Steven Moody"/>
    <s v="Consumer"/>
    <x v="2"/>
    <s v="Technology"/>
    <s v="Laptops"/>
    <s v="Writer Laptops"/>
    <n v="4870.49"/>
    <n v="3"/>
    <n v="0.05"/>
    <n v="1341.98"/>
    <s v="Profit"/>
  </r>
  <r>
    <s v="ORD-10044"/>
    <d v="2025-07-01T00:00:00"/>
    <d v="2025-07-07T00:00:00"/>
    <s v="Donald Prince"/>
    <s v="Consumer"/>
    <x v="3"/>
    <s v="Furniture"/>
    <s v="Chairs"/>
    <s v="Development Chairs"/>
    <n v="3922.81"/>
    <n v="7"/>
    <n v="0.2"/>
    <n v="1079.7"/>
    <s v="Profit"/>
  </r>
  <r>
    <s v="ORD-10045"/>
    <d v="2024-09-14T00:00:00"/>
    <d v="2024-09-16T00:00:00"/>
    <s v="Michael Robinson"/>
    <s v="Corporate"/>
    <x v="3"/>
    <s v="Furniture"/>
    <s v="Bookcases"/>
    <s v="These Bookcases"/>
    <n v="1943.58"/>
    <n v="1"/>
    <n v="0.15"/>
    <n v="-150.94"/>
    <s v="Loss"/>
  </r>
  <r>
    <s v="ORD-10046"/>
    <d v="2023-10-31T00:00:00"/>
    <d v="2023-11-04T00:00:00"/>
    <s v="Christina Cooper"/>
    <s v="Consumer"/>
    <x v="3"/>
    <s v="Technology"/>
    <s v="Phones"/>
    <s v="Live Phones"/>
    <n v="167.14"/>
    <n v="4"/>
    <n v="0.15"/>
    <n v="-3.25"/>
    <s v="Loss"/>
  </r>
  <r>
    <s v="ORD-10047"/>
    <d v="2025-04-10T00:00:00"/>
    <d v="2025-04-19T00:00:00"/>
    <s v="David Anderson"/>
    <s v="Consumer"/>
    <x v="3"/>
    <s v="Technology"/>
    <s v="Laptops"/>
    <s v="Interesting Laptops"/>
    <n v="2028.41"/>
    <n v="9"/>
    <n v="0.1"/>
    <n v="642.15"/>
    <s v="Profit"/>
  </r>
  <r>
    <s v="ORD-10048"/>
    <d v="2024-04-27T00:00:00"/>
    <d v="2024-05-02T00:00:00"/>
    <s v="Ann Conner"/>
    <s v="Corporate"/>
    <x v="2"/>
    <s v="Furniture"/>
    <s v="Bookcases"/>
    <s v="Effort Bookcases"/>
    <n v="239.37"/>
    <n v="10"/>
    <n v="0.15"/>
    <n v="-2.36"/>
    <s v="Loss"/>
  </r>
  <r>
    <s v="ORD-10049"/>
    <d v="2025-12-16T00:00:00"/>
    <d v="2025-12-18T00:00:00"/>
    <s v="David Morgan"/>
    <s v="Home Office"/>
    <x v="2"/>
    <s v="Office Supplies"/>
    <s v="Storage"/>
    <s v="Man Storage"/>
    <n v="1956.72"/>
    <n v="10"/>
    <n v="0.05"/>
    <n v="-117.21"/>
    <s v="Loss"/>
  </r>
  <r>
    <s v="ORD-10050"/>
    <d v="2025-02-27T00:00:00"/>
    <d v="2025-03-08T00:00:00"/>
    <s v="Andrea Carrillo"/>
    <s v="Home Office"/>
    <x v="3"/>
    <s v="Furniture"/>
    <s v="Bookcases"/>
    <s v="Chair Bookcases"/>
    <n v="3449.94"/>
    <n v="4"/>
    <n v="0.1"/>
    <n v="128.38"/>
    <s v="Profit"/>
  </r>
  <r>
    <s v="ORD-10051"/>
    <d v="2024-04-03T00:00:00"/>
    <d v="2024-04-05T00:00:00"/>
    <s v="Laura James"/>
    <s v="Corporate"/>
    <x v="3"/>
    <s v="Office Supplies"/>
    <s v="Paper"/>
    <s v="News Paper"/>
    <n v="3612.78"/>
    <n v="5"/>
    <n v="0.2"/>
    <n v="-108"/>
    <s v="Loss"/>
  </r>
  <r>
    <s v="ORD-10052"/>
    <d v="2025-06-22T00:00:00"/>
    <d v="2025-06-27T00:00:00"/>
    <s v="Charles Torres"/>
    <s v="Corporate"/>
    <x v="1"/>
    <s v="Technology"/>
    <s v="Laptops"/>
    <s v="Open Laptops"/>
    <n v="2794.34"/>
    <n v="4"/>
    <n v="0.15"/>
    <n v="463.05"/>
    <s v="Profit"/>
  </r>
  <r>
    <s v="ORD-10053"/>
    <s v="24-01-2024"/>
    <d v="2024-01-29T00:00:00"/>
    <s v="Alexander Taylor"/>
    <s v="Corporate"/>
    <x v="3"/>
    <s v="Office Supplies"/>
    <s v="Storage"/>
    <s v="History Storage"/>
    <n v="2060.0700000000002"/>
    <n v="1"/>
    <n v="0.1"/>
    <n v="-86.93"/>
    <s v="Loss"/>
  </r>
  <r>
    <s v="ORD-10054"/>
    <d v="2025-10-09T00:00:00"/>
    <d v="2025-10-17T00:00:00"/>
    <s v="Walter Lindsey"/>
    <s v="Home Office"/>
    <x v="1"/>
    <s v="Technology"/>
    <s v="Accessories"/>
    <s v="Stay Accessories"/>
    <n v="3394.35"/>
    <n v="9"/>
    <n v="0.15"/>
    <n v="802.95"/>
    <s v="Profit"/>
  </r>
  <r>
    <s v="ORD-10055"/>
    <d v="2025-03-04T00:00:00"/>
    <d v="2025-03-09T00:00:00"/>
    <s v="Jennifer Downs"/>
    <s v="Consumer"/>
    <x v="3"/>
    <s v="Office Supplies"/>
    <s v="Binders"/>
    <s v="Support Binders"/>
    <n v="2601.4899999999998"/>
    <n v="10"/>
    <n v="0.1"/>
    <n v="-386.68"/>
    <s v="Loss"/>
  </r>
  <r>
    <s v="ORD-10056"/>
    <d v="2024-05-12T00:00:00"/>
    <d v="2024-05-15T00:00:00"/>
    <s v="Tara Ferguson"/>
    <s v="Consumer"/>
    <x v="2"/>
    <s v="Furniture"/>
    <s v="Chairs"/>
    <s v="Just Chairs"/>
    <n v="170.91"/>
    <n v="4"/>
    <n v="0.15"/>
    <n v="23.28"/>
    <s v="Profit"/>
  </r>
  <r>
    <s v="ORD-10057"/>
    <d v="2025-04-26T00:00:00"/>
    <d v="2025-05-06T00:00:00"/>
    <s v="Brittany Woodward"/>
    <s v="Consumer"/>
    <x v="0"/>
    <s v="Technology"/>
    <s v="Laptops"/>
    <s v="Laugh Laptops"/>
    <n v="1012.45"/>
    <n v="7"/>
    <n v="0.15"/>
    <n v="20.059999999999999"/>
    <s v="Profit"/>
  </r>
  <r>
    <s v="ORD-10058"/>
    <d v="2024-03-15T00:00:00"/>
    <d v="2024-03-19T00:00:00"/>
    <s v="Johnathan Logan"/>
    <s v="Consumer"/>
    <x v="0"/>
    <s v="Furniture"/>
    <s v="Tables"/>
    <s v="Baby Tables"/>
    <n v="920.64"/>
    <n v="9"/>
    <n v="0.15"/>
    <n v="-158.69999999999999"/>
    <s v="Loss"/>
  </r>
  <r>
    <s v="ORD-10059"/>
    <d v="2024-03-13T00:00:00"/>
    <d v="2024-03-21T00:00:00"/>
    <s v="Maria Walker"/>
    <s v="Corporate"/>
    <x v="2"/>
    <s v="Technology"/>
    <s v="Phones"/>
    <s v="Memory Phones"/>
    <n v="3354.51"/>
    <n v="9"/>
    <n v="0.2"/>
    <n v="-85.49"/>
    <s v="Loss"/>
  </r>
  <r>
    <s v="ORD-10060"/>
    <d v="2025-07-23T00:00:00"/>
    <d v="2025-07-26T00:00:00"/>
    <s v="Robert Willis"/>
    <s v="Consumer"/>
    <x v="3"/>
    <s v="Office Supplies"/>
    <s v="Paper"/>
    <s v="Different Paper"/>
    <n v="3731.09"/>
    <n v="8"/>
    <n v="0.15"/>
    <n v="-214.33"/>
    <s v="Loss"/>
  </r>
  <r>
    <s v="ORD-10061"/>
    <d v="2025-02-03T00:00:00"/>
    <d v="2025-02-07T00:00:00"/>
    <s v="Wanda Byrd"/>
    <s v="Corporate"/>
    <x v="3"/>
    <s v="Office Supplies"/>
    <s v="Paper"/>
    <s v="Fact Paper"/>
    <n v="1409.26"/>
    <n v="2"/>
    <n v="0.2"/>
    <n v="-60.39"/>
    <s v="Loss"/>
  </r>
  <r>
    <s v="ORD-10062"/>
    <d v="2023-09-21T00:00:00"/>
    <d v="2023-09-23T00:00:00"/>
    <s v="John Potts"/>
    <s v="Home Office"/>
    <x v="1"/>
    <s v="Technology"/>
    <s v="Laptops"/>
    <s v="Shake Laptops"/>
    <n v="734.95"/>
    <n v="4"/>
    <n v="0.15"/>
    <n v="133.52000000000001"/>
    <s v="Profit"/>
  </r>
  <r>
    <s v="ORD-10063"/>
    <d v="2024-04-08T00:00:00"/>
    <d v="2024-04-15T00:00:00"/>
    <s v="Monica Kelley"/>
    <s v="Corporate"/>
    <x v="2"/>
    <s v="Furniture"/>
    <s v="Tables"/>
    <s v="Power Tables"/>
    <n v="1687.86"/>
    <n v="8"/>
    <n v="0.15"/>
    <n v="-279.77"/>
    <s v="Loss"/>
  </r>
  <r>
    <s v="ORD-10064"/>
    <d v="2024-03-22T00:00:00"/>
    <d v="2024-03-23T00:00:00"/>
    <s v="Justin Farrell"/>
    <s v="Corporate"/>
    <x v="3"/>
    <s v="Office Supplies"/>
    <s v="Storage"/>
    <s v="These Storage"/>
    <n v="4290.82"/>
    <n v="10"/>
    <n v="0.15"/>
    <n v="267.48"/>
    <s v="Profit"/>
  </r>
  <r>
    <s v="ORD-10065"/>
    <d v="2026-04-10T00:00:00"/>
    <d v="2026-04-19T00:00:00"/>
    <s v="Joseph Sanchez"/>
    <s v="Corporate"/>
    <x v="1"/>
    <s v="Technology"/>
    <s v="Accessories"/>
    <s v="Still Accessories"/>
    <n v="3750.2"/>
    <n v="9"/>
    <n v="0.2"/>
    <n v="1101.79"/>
    <s v="Profit"/>
  </r>
  <r>
    <s v="ORD-10066"/>
    <d v="2024-07-09T00:00:00"/>
    <d v="2024-07-17T00:00:00"/>
    <s v="Kenneth Dunn"/>
    <s v="Corporate"/>
    <x v="1"/>
    <s v="Technology"/>
    <s v="Accessories"/>
    <s v="Interest Accessories"/>
    <n v="193.67"/>
    <n v="6"/>
    <n v="0.2"/>
    <n v="33.61"/>
    <s v="Profit"/>
  </r>
  <r>
    <s v="ORD-10067"/>
    <d v="2023-07-27T00:00:00"/>
    <d v="2023-08-06T00:00:00"/>
    <s v="Christina Henry"/>
    <s v="Consumer"/>
    <x v="0"/>
    <s v="Technology"/>
    <s v="Phones"/>
    <s v="Moment Phones"/>
    <n v="2693.91"/>
    <n v="7"/>
    <n v="0.2"/>
    <n v="297.45"/>
    <s v="Profit"/>
  </r>
  <r>
    <s v="ORD-10068"/>
    <d v="2026-04-11T00:00:00"/>
    <d v="2026-04-14T00:00:00"/>
    <s v="Jessica Smith"/>
    <s v="Corporate"/>
    <x v="1"/>
    <s v="Office Supplies"/>
    <s v="Paper"/>
    <s v="Write Paper"/>
    <n v="4340.91"/>
    <n v="3"/>
    <n v="0"/>
    <n v="-247.06"/>
    <s v="Loss"/>
  </r>
  <r>
    <s v="ORD-10069"/>
    <d v="2023-08-10T00:00:00"/>
    <d v="2023-08-16T00:00:00"/>
    <s v="Daniel Williamson"/>
    <s v="Corporate"/>
    <x v="3"/>
    <s v="Technology"/>
    <s v="Accessories"/>
    <s v="By Accessories"/>
    <n v="3818.09"/>
    <n v="7"/>
    <n v="0.1"/>
    <n v="815.56"/>
    <s v="Profit"/>
  </r>
  <r>
    <s v="ORD-10070"/>
    <d v="2025-12-02T00:00:00"/>
    <d v="2025-12-03T00:00:00"/>
    <s v="Sean Miranda"/>
    <s v="Consumer"/>
    <x v="0"/>
    <s v="Furniture"/>
    <s v="Tables"/>
    <s v="Number Tables"/>
    <n v="3757.67"/>
    <n v="1"/>
    <n v="0.1"/>
    <n v="-288.13"/>
    <s v="Loss"/>
  </r>
  <r>
    <s v="ORD-10071"/>
    <d v="2023-12-04T00:00:00"/>
    <d v="2023-12-08T00:00:00"/>
    <s v="Kelly Yoder"/>
    <s v="Corporate"/>
    <x v="0"/>
    <s v="Furniture"/>
    <s v="Chairs"/>
    <s v="Next Chairs"/>
    <n v="4204.18"/>
    <n v="10"/>
    <n v="0.05"/>
    <n v="-289.25"/>
    <s v="Loss"/>
  </r>
  <r>
    <s v="ORD-10072"/>
    <d v="2023-06-25T00:00:00"/>
    <d v="2023-07-03T00:00:00"/>
    <s v="Cristian Graham"/>
    <s v="Home Office"/>
    <x v="0"/>
    <s v="Office Supplies"/>
    <s v="Binders"/>
    <s v="Back Binders"/>
    <n v="3512.35"/>
    <n v="6"/>
    <n v="0.05"/>
    <n v="467.99"/>
    <s v="Profit"/>
  </r>
  <r>
    <s v="ORD-10073"/>
    <d v="2023-06-04T00:00:00"/>
    <d v="2023-06-06T00:00:00"/>
    <s v="Patricia Rojas"/>
    <s v="Corporate"/>
    <x v="2"/>
    <s v="Furniture"/>
    <s v="Tables"/>
    <s v="Despite Tables"/>
    <n v="2914.49"/>
    <n v="5"/>
    <n v="0.2"/>
    <n v="502.87"/>
    <s v="Profit"/>
  </r>
  <r>
    <s v="ORD-10074"/>
    <d v="2025-12-01T00:00:00"/>
    <d v="2025-12-03T00:00:00"/>
    <s v="Elizabeth Martin"/>
    <s v="Corporate"/>
    <x v="0"/>
    <s v="Office Supplies"/>
    <s v="Binders"/>
    <s v="Generation Binders"/>
    <n v="2980.88"/>
    <n v="4"/>
    <n v="0"/>
    <n v="546.86"/>
    <s v="Profit"/>
  </r>
  <r>
    <s v="ORD-10075"/>
    <d v="2023-05-25T00:00:00"/>
    <d v="2023-05-31T00:00:00"/>
    <s v="Mr. Nicholas Fischer Iii"/>
    <s v="Corporate"/>
    <x v="0"/>
    <s v="Office Supplies"/>
    <s v="Binders"/>
    <s v="Whose Binders"/>
    <n v="2687.09"/>
    <n v="6"/>
    <n v="0"/>
    <n v="210.34"/>
    <s v="Profit"/>
  </r>
  <r>
    <s v="ORD-10076"/>
    <d v="2024-03-19T00:00:00"/>
    <d v="2024-03-21T00:00:00"/>
    <s v="Michael Whitney"/>
    <s v="Corporate"/>
    <x v="1"/>
    <s v="Technology"/>
    <s v="Accessories"/>
    <s v="Give Accessories"/>
    <n v="2195.94"/>
    <n v="6"/>
    <n v="0.2"/>
    <n v="637.63"/>
    <s v="Profit"/>
  </r>
  <r>
    <s v="ORD-10077"/>
    <s v="17-09-2023"/>
    <d v="2023-09-26T00:00:00"/>
    <s v="William Gonzalez"/>
    <s v="Home Office"/>
    <x v="2"/>
    <s v="Technology"/>
    <s v="Phones"/>
    <s v="Type Phones"/>
    <n v="4829.09"/>
    <n v="5"/>
    <n v="0.2"/>
    <n v="1180.76"/>
    <s v="Profit"/>
  </r>
  <r>
    <s v="ORD-10078"/>
    <d v="2024-11-18T00:00:00"/>
    <d v="2024-11-28T00:00:00"/>
    <s v="Gabriel Daniels"/>
    <s v="Corporate"/>
    <x v="1"/>
    <s v="Technology"/>
    <s v="Accessories"/>
    <s v="Theory Accessories"/>
    <n v="1378.56"/>
    <n v="4"/>
    <n v="0"/>
    <n v="-64.23"/>
    <s v="Loss"/>
  </r>
  <r>
    <s v="ORD-10079"/>
    <d v="2024-09-16T00:00:00"/>
    <d v="2024-09-26T00:00:00"/>
    <s v="Monica Price"/>
    <s v="Corporate"/>
    <x v="1"/>
    <s v="Technology"/>
    <s v="Laptops"/>
    <s v="While Laptops"/>
    <n v="3357.53"/>
    <n v="6"/>
    <n v="0"/>
    <n v="241.3"/>
    <s v="Profit"/>
  </r>
  <r>
    <s v="ORD-10080"/>
    <d v="2024-07-12T00:00:00"/>
    <d v="2024-07-18T00:00:00"/>
    <s v="Christine Wood"/>
    <s v="Home Office"/>
    <x v="3"/>
    <s v="Technology"/>
    <s v="Phones"/>
    <s v="Wrong Phones"/>
    <n v="3999.27"/>
    <n v="6"/>
    <n v="0.1"/>
    <n v="1136.5"/>
    <s v="Profit"/>
  </r>
  <r>
    <s v="ORD-10081"/>
    <d v="2024-07-20T00:00:00"/>
    <d v="2024-07-29T00:00:00"/>
    <s v="Christopher Becker"/>
    <s v="Corporate"/>
    <x v="1"/>
    <s v="Office Supplies"/>
    <s v="Binders"/>
    <s v="It Binders"/>
    <n v="4742.91"/>
    <n v="2"/>
    <n v="0.05"/>
    <n v="929.81"/>
    <s v="Profit"/>
  </r>
  <r>
    <s v="ORD-10082"/>
    <d v="2024-04-29T00:00:00"/>
    <d v="2024-05-07T00:00:00"/>
    <s v="Brandon Barker"/>
    <s v="Corporate"/>
    <x v="1"/>
    <s v="Office Supplies"/>
    <s v="Paper"/>
    <s v="Everybody Paper"/>
    <n v="2268.46"/>
    <n v="1"/>
    <n v="0"/>
    <n v="-86.59"/>
    <s v="Loss"/>
  </r>
  <r>
    <s v="ORD-10083"/>
    <d v="2025-06-19T00:00:00"/>
    <d v="2025-06-29T00:00:00"/>
    <s v="Teresa Velazquez"/>
    <s v="Home Office"/>
    <x v="3"/>
    <s v="Technology"/>
    <s v="Laptops"/>
    <s v="Power Laptops"/>
    <n v="1876.65"/>
    <n v="9"/>
    <n v="0.2"/>
    <n v="-20.52"/>
    <s v="Loss"/>
  </r>
  <r>
    <s v="ORD-10084"/>
    <d v="2025-01-19T00:00:00"/>
    <d v="2025-01-27T00:00:00"/>
    <s v="Kristen Payne"/>
    <s v="Consumer"/>
    <x v="3"/>
    <s v="Technology"/>
    <s v="Laptops"/>
    <s v="Small Laptops"/>
    <n v="1391.04"/>
    <n v="5"/>
    <n v="0.05"/>
    <n v="-185.9"/>
    <s v="Loss"/>
  </r>
  <r>
    <s v="ORD-10085"/>
    <d v="2023-07-31T00:00:00"/>
    <d v="2023-08-09T00:00:00"/>
    <s v="Brittany Bradley"/>
    <s v="Corporate"/>
    <x v="3"/>
    <s v="Furniture"/>
    <s v="Bookcases"/>
    <s v="Adult Bookcases"/>
    <n v="4756.84"/>
    <n v="3"/>
    <n v="0.05"/>
    <n v="-385.25"/>
    <s v="Loss"/>
  </r>
  <r>
    <s v="ORD-10086"/>
    <d v="2025-04-13T00:00:00"/>
    <d v="2025-04-22T00:00:00"/>
    <s v="Christy Harris"/>
    <s v="Corporate"/>
    <x v="1"/>
    <s v="Office Supplies"/>
    <s v="Storage"/>
    <s v="Fear Storage"/>
    <n v="3004.11"/>
    <n v="2"/>
    <n v="0.05"/>
    <n v="-111.35"/>
    <s v="Loss"/>
  </r>
  <r>
    <s v="ORD-10087"/>
    <d v="2025-05-19T00:00:00"/>
    <d v="2025-05-28T00:00:00"/>
    <s v="Jeremy Hood"/>
    <s v="Home Office"/>
    <x v="1"/>
    <s v="Technology"/>
    <s v="Phones"/>
    <s v="Drug Phones"/>
    <n v="676.59"/>
    <n v="1"/>
    <n v="0"/>
    <n v="70.599999999999994"/>
    <s v="Profit"/>
  </r>
  <r>
    <s v="ORD-10088"/>
    <d v="2025-12-30T00:00:00"/>
    <d v="2026-01-01T00:00:00"/>
    <s v="Daniel Clark"/>
    <s v="Corporate"/>
    <x v="3"/>
    <s v="Office Supplies"/>
    <s v="Paper"/>
    <s v="Since Paper"/>
    <n v="4369.96"/>
    <n v="10"/>
    <n v="0.1"/>
    <n v="254.19"/>
    <s v="Profit"/>
  </r>
  <r>
    <s v="ORD-10089"/>
    <d v="2025-08-09T00:00:00"/>
    <d v="2025-08-14T00:00:00"/>
    <s v="Jill Ayers"/>
    <s v="Corporate"/>
    <x v="2"/>
    <s v="Furniture"/>
    <s v="Chairs"/>
    <s v="Third Chairs"/>
    <n v="4708.26"/>
    <n v="8"/>
    <n v="0"/>
    <n v="1187.25"/>
    <s v="Profit"/>
  </r>
  <r>
    <s v="ORD-10090"/>
    <d v="2024-05-11T00:00:00"/>
    <d v="2024-05-12T00:00:00"/>
    <s v="Ryan Moss"/>
    <s v="Consumer"/>
    <x v="0"/>
    <s v="Furniture"/>
    <s v="Bookcases"/>
    <s v="Else Bookcases"/>
    <n v="801.05"/>
    <n v="10"/>
    <n v="0.1"/>
    <n v="-122.68"/>
    <s v="Loss"/>
  </r>
  <r>
    <s v="ORD-10091"/>
    <d v="2026-02-01T00:00:00"/>
    <d v="2026-02-11T00:00:00"/>
    <s v="Douglas Becker"/>
    <s v="Corporate"/>
    <x v="2"/>
    <s v="Office Supplies"/>
    <s v="Paper"/>
    <s v="Decide Paper"/>
    <n v="3000.83"/>
    <n v="10"/>
    <n v="0.05"/>
    <n v="680.08"/>
    <s v="Profit"/>
  </r>
  <r>
    <s v="ORD-10092"/>
    <d v="2026-02-13T00:00:00"/>
    <d v="2026-02-23T00:00:00"/>
    <s v="Elizabeth Woods"/>
    <s v="Home Office"/>
    <x v="0"/>
    <s v="Technology"/>
    <s v="Accessories"/>
    <s v="Young Accessories"/>
    <n v="4950.6499999999996"/>
    <n v="5"/>
    <n v="0.2"/>
    <n v="700.84"/>
    <s v="Profit"/>
  </r>
  <r>
    <s v="ORD-10093"/>
    <d v="2025-06-07T00:00:00"/>
    <d v="2025-06-11T00:00:00"/>
    <s v="Daniel Adams"/>
    <s v="Home Office"/>
    <x v="0"/>
    <s v="Furniture"/>
    <s v="Bookcases"/>
    <s v="Soldier Bookcases"/>
    <n v="1360"/>
    <n v="2"/>
    <n v="0.05"/>
    <n v="-92.58"/>
    <s v="Loss"/>
  </r>
  <r>
    <s v="ORD-10094"/>
    <d v="2023-12-11T00:00:00"/>
    <d v="2023-12-18T00:00:00"/>
    <s v="Rhonda Perez"/>
    <s v="Consumer"/>
    <x v="3"/>
    <s v="Furniture"/>
    <s v="Chairs"/>
    <s v="Forget Chairs"/>
    <n v="2279.9899999999998"/>
    <n v="10"/>
    <n v="0.15"/>
    <n v="-90.76"/>
    <s v="Loss"/>
  </r>
  <r>
    <s v="ORD-10095"/>
    <d v="2025-08-02T00:00:00"/>
    <d v="2025-08-10T00:00:00"/>
    <s v="Amanda Watkins"/>
    <s v="Home Office"/>
    <x v="1"/>
    <s v="Office Supplies"/>
    <s v="Paper"/>
    <s v="What Paper"/>
    <n v="402.34"/>
    <n v="4"/>
    <n v="0.1"/>
    <n v="93.87"/>
    <s v="Profit"/>
  </r>
  <r>
    <s v="ORD-10096"/>
    <s v="17-08-2024"/>
    <d v="2024-08-26T00:00:00"/>
    <s v="Kimberly Wood"/>
    <s v="Consumer"/>
    <x v="0"/>
    <s v="Technology"/>
    <s v="Phones"/>
    <s v="Admit Phones"/>
    <n v="1162.81"/>
    <n v="3"/>
    <n v="0.1"/>
    <n v="296.11"/>
    <s v="Profit"/>
  </r>
  <r>
    <s v="ORD-10097"/>
    <d v="2024-01-07T00:00:00"/>
    <d v="2024-01-17T00:00:00"/>
    <s v="Eric Collins"/>
    <s v="Corporate"/>
    <x v="3"/>
    <s v="Furniture"/>
    <s v="Tables"/>
    <s v="Year Tables"/>
    <n v="3757.34"/>
    <n v="10"/>
    <n v="0.1"/>
    <n v="156.06"/>
    <s v="Profit"/>
  </r>
  <r>
    <s v="ORD-10098"/>
    <d v="2024-01-08T00:00:00"/>
    <d v="2024-01-13T00:00:00"/>
    <s v="Unknown"/>
    <s v="Consumer"/>
    <x v="2"/>
    <s v="Office Supplies"/>
    <s v="Paper"/>
    <s v="Chance Paper"/>
    <n v="2527.34"/>
    <n v="8"/>
    <n v="0.15"/>
    <n v="-393.65"/>
    <s v="Loss"/>
  </r>
  <r>
    <s v="ORD-10099"/>
    <d v="2025-10-06T00:00:00"/>
    <d v="2025-10-16T00:00:00"/>
    <s v="Yolanda Burke"/>
    <s v="Home Office"/>
    <x v="0"/>
    <s v="Office Supplies"/>
    <s v="Paper"/>
    <s v="Fall Paper"/>
    <n v="1289.32"/>
    <n v="2"/>
    <n v="0.05"/>
    <n v="424.25"/>
    <s v="Profit"/>
  </r>
  <r>
    <s v="ORD-10100"/>
    <d v="2026-03-27T00:00:00"/>
    <d v="2026-04-06T00:00:00"/>
    <s v="Sara Miller"/>
    <s v="Corporate"/>
    <x v="3"/>
    <s v="Office Supplies"/>
    <s v="Paper"/>
    <s v="Song Paper"/>
    <n v="249.15"/>
    <n v="3"/>
    <n v="0.15"/>
    <n v="21.28"/>
    <s v="Profit"/>
  </r>
  <r>
    <s v="ORD-10101"/>
    <d v="2024-06-06T00:00:00"/>
    <d v="2024-06-13T00:00:00"/>
    <s v="Jacqueline Hernandez"/>
    <s v="Corporate"/>
    <x v="3"/>
    <s v="Furniture"/>
    <s v="Bookcases"/>
    <s v="End Bookcases"/>
    <n v="3192.18"/>
    <n v="8"/>
    <n v="0"/>
    <n v="186.76"/>
    <s v="Profit"/>
  </r>
  <r>
    <s v="ORD-10102"/>
    <d v="2024-11-29T00:00:00"/>
    <d v="2024-12-01T00:00:00"/>
    <s v="Frederick Norris"/>
    <s v="Corporate"/>
    <x v="2"/>
    <s v="Technology"/>
    <s v="Laptops"/>
    <s v="Role Laptops"/>
    <n v="4295.78"/>
    <n v="6"/>
    <n v="0.15"/>
    <n v="779.77"/>
    <s v="Profit"/>
  </r>
  <r>
    <s v="ORD-10103"/>
    <d v="2024-12-10T00:00:00"/>
    <d v="2024-12-18T00:00:00"/>
    <s v="Richard Day"/>
    <s v="Corporate"/>
    <x v="0"/>
    <s v="Office Supplies"/>
    <s v="Binders"/>
    <s v="Money Binders"/>
    <n v="485.9"/>
    <n v="5"/>
    <n v="0.1"/>
    <n v="-66.2"/>
    <s v="Loss"/>
  </r>
  <r>
    <s v="ORD-10104"/>
    <d v="2026-05-08T00:00:00"/>
    <d v="2026-05-16T00:00:00"/>
    <s v="Michelle Ryan"/>
    <s v="Corporate"/>
    <x v="2"/>
    <s v="Office Supplies"/>
    <s v="Storage"/>
    <s v="Somebody Storage"/>
    <n v="2095.58"/>
    <n v="4"/>
    <n v="0.2"/>
    <n v="-2.14"/>
    <s v="Loss"/>
  </r>
  <r>
    <s v="ORD-10105"/>
    <d v="2023-10-14T00:00:00"/>
    <d v="2023-10-19T00:00:00"/>
    <s v="Robert Rice"/>
    <s v="Corporate"/>
    <x v="2"/>
    <s v="Furniture"/>
    <s v="Chairs"/>
    <s v="Manager Chairs"/>
    <n v="2768.64"/>
    <n v="5"/>
    <n v="0.15"/>
    <n v="787.58"/>
    <s v="Profit"/>
  </r>
  <r>
    <s v="ORD-10106"/>
    <d v="2024-09-16T00:00:00"/>
    <d v="2024-09-26T00:00:00"/>
    <s v="Samantha Hernandez Phd"/>
    <s v="Home Office"/>
    <x v="2"/>
    <s v="Furniture"/>
    <s v="Bookcases"/>
    <s v="Something Bookcases"/>
    <n v="4006.6"/>
    <n v="3"/>
    <n v="0.1"/>
    <n v="412.53"/>
    <s v="Profit"/>
  </r>
  <r>
    <s v="ORD-10107"/>
    <d v="2025-01-26T00:00:00"/>
    <d v="2025-01-28T00:00:00"/>
    <s v="Gregory Munoz"/>
    <s v="Corporate"/>
    <x v="3"/>
    <s v="Furniture"/>
    <s v="Chairs"/>
    <s v="Role Chairs"/>
    <n v="2334.17"/>
    <n v="2"/>
    <n v="0.2"/>
    <n v="601.47"/>
    <s v="Profit"/>
  </r>
  <r>
    <s v="ORD-10108"/>
    <d v="2023-08-31T00:00:00"/>
    <d v="2023-09-05T00:00:00"/>
    <s v="Dawn Lee"/>
    <s v="Home Office"/>
    <x v="1"/>
    <s v="Office Supplies"/>
    <s v="Storage"/>
    <s v="Task Storage"/>
    <n v="2106.6799999999998"/>
    <n v="8"/>
    <n v="0.15"/>
    <n v="-138.93"/>
    <s v="Loss"/>
  </r>
  <r>
    <s v="ORD-10109"/>
    <d v="2026-03-28T00:00:00"/>
    <d v="2026-04-07T00:00:00"/>
    <s v="Michael Bell"/>
    <s v="Home Office"/>
    <x v="3"/>
    <s v="Technology"/>
    <s v="Phones"/>
    <s v="Kitchen Phones"/>
    <n v="2565.79"/>
    <n v="3"/>
    <n v="0"/>
    <n v="-123.32"/>
    <s v="Loss"/>
  </r>
  <r>
    <s v="ORD-10110"/>
    <d v="2025-12-11T00:00:00"/>
    <d v="2025-12-12T00:00:00"/>
    <s v="Lisa Phelps"/>
    <s v="Home Office"/>
    <x v="2"/>
    <s v="Office Supplies"/>
    <s v="Paper"/>
    <s v="Record Paper"/>
    <n v="1450.05"/>
    <n v="5"/>
    <n v="0.2"/>
    <n v="172.49"/>
    <s v="Profit"/>
  </r>
  <r>
    <s v="ORD-10111"/>
    <d v="2023-12-03T00:00:00"/>
    <d v="2023-12-12T00:00:00"/>
    <s v="Blake Butler"/>
    <s v="Corporate"/>
    <x v="2"/>
    <s v="Furniture"/>
    <s v="Tables"/>
    <s v="Customer Tables"/>
    <n v="2447.4899999999998"/>
    <n v="6"/>
    <n v="0.2"/>
    <n v="537.41999999999996"/>
    <s v="Profit"/>
  </r>
  <r>
    <s v="ORD-10112"/>
    <d v="2025-02-04T00:00:00"/>
    <d v="2025-02-08T00:00:00"/>
    <s v="Tonya Turner"/>
    <s v="Home Office"/>
    <x v="2"/>
    <s v="Technology"/>
    <s v="Phones"/>
    <s v="Cold Phones"/>
    <n v="2880.4"/>
    <n v="4"/>
    <n v="0.15"/>
    <n v="-506.93"/>
    <s v="Loss"/>
  </r>
  <r>
    <s v="ORD-10113"/>
    <d v="2024-10-02T00:00:00"/>
    <d v="2024-10-09T00:00:00"/>
    <s v="Tina Brady"/>
    <s v="Consumer"/>
    <x v="3"/>
    <s v="Office Supplies"/>
    <s v="Paper"/>
    <s v="Mission Paper"/>
    <n v="4942.6499999999996"/>
    <n v="3"/>
    <n v="0.15"/>
    <n v="1634.3"/>
    <s v="Profit"/>
  </r>
  <r>
    <s v="ORD-10114"/>
    <d v="2025-06-04T00:00:00"/>
    <d v="2025-06-06T00:00:00"/>
    <s v="Alexander Cook"/>
    <s v="Corporate"/>
    <x v="1"/>
    <s v="Furniture"/>
    <s v="Tables"/>
    <s v="Every Tables"/>
    <n v="2653.46"/>
    <n v="8"/>
    <n v="0"/>
    <n v="523.64"/>
    <s v="Profit"/>
  </r>
  <r>
    <s v="ORD-10115"/>
    <d v="2023-08-31T00:00:00"/>
    <d v="2023-09-05T00:00:00"/>
    <s v="Andrew Gardner"/>
    <s v="Corporate"/>
    <x v="2"/>
    <s v="Furniture"/>
    <s v="Tables"/>
    <s v="Collection Tables"/>
    <n v="1725.88"/>
    <n v="7"/>
    <n v="0.2"/>
    <n v="-268.94"/>
    <s v="Loss"/>
  </r>
  <r>
    <s v="ORD-10116"/>
    <d v="2026-02-12T00:00:00"/>
    <d v="2026-02-20T00:00:00"/>
    <s v="Rita Perry"/>
    <s v="Home Office"/>
    <x v="3"/>
    <s v="Technology"/>
    <s v="Laptops"/>
    <s v="So Laptops"/>
    <n v="4368.3"/>
    <n v="1"/>
    <n v="0.2"/>
    <n v="-709.27"/>
    <s v="Loss"/>
  </r>
  <r>
    <s v="ORD-10117"/>
    <d v="2026-04-08T00:00:00"/>
    <d v="2026-04-10T00:00:00"/>
    <s v="William Miller Jr."/>
    <s v="Consumer"/>
    <x v="2"/>
    <s v="Furniture"/>
    <s v="Bookcases"/>
    <s v="Decision Bookcases"/>
    <n v="2198.16"/>
    <n v="2"/>
    <n v="0.2"/>
    <n v="411.36"/>
    <s v="Profit"/>
  </r>
  <r>
    <s v="ORD-10118"/>
    <d v="2024-04-12T00:00:00"/>
    <d v="2024-04-17T00:00:00"/>
    <s v="Henry Williams"/>
    <s v="Corporate"/>
    <x v="3"/>
    <s v="Furniture"/>
    <s v="Bookcases"/>
    <s v="Case Bookcases"/>
    <n v="4521.95"/>
    <n v="1"/>
    <n v="0.1"/>
    <n v="1075.68"/>
    <s v="Profit"/>
  </r>
  <r>
    <s v="ORD-10119"/>
    <d v="2024-05-18T00:00:00"/>
    <d v="2024-05-21T00:00:00"/>
    <s v="Alexis Robertson"/>
    <s v="Consumer"/>
    <x v="1"/>
    <s v="Technology"/>
    <s v="Accessories"/>
    <s v="Century Accessories"/>
    <n v="1258.78"/>
    <n v="7"/>
    <n v="0.2"/>
    <n v="220.27"/>
    <s v="Profit"/>
  </r>
  <r>
    <s v="ORD-10120"/>
    <d v="2024-02-29T00:00:00"/>
    <d v="2024-03-10T00:00:00"/>
    <s v="Andrew Wang"/>
    <s v="Home Office"/>
    <x v="1"/>
    <s v="Furniture"/>
    <s v="Chairs"/>
    <s v="Whole Chairs"/>
    <n v="4360.66"/>
    <n v="10"/>
    <n v="0.2"/>
    <n v="-294.52999999999997"/>
    <s v="Loss"/>
  </r>
  <r>
    <s v="ORD-10121"/>
    <d v="2025-10-31T00:00:00"/>
    <d v="2025-11-05T00:00:00"/>
    <s v="James Collier"/>
    <s v="Home Office"/>
    <x v="1"/>
    <s v="Furniture"/>
    <s v="Tables"/>
    <s v="Anything Tables"/>
    <n v="2324.87"/>
    <n v="1"/>
    <n v="0.15"/>
    <n v="687.38"/>
    <s v="Profit"/>
  </r>
  <r>
    <s v="ORD-10122"/>
    <d v="2025-01-05T00:00:00"/>
    <d v="2025-01-11T00:00:00"/>
    <s v="Christopher Lee"/>
    <s v="Home Office"/>
    <x v="3"/>
    <s v="Furniture"/>
    <s v="Tables"/>
    <s v="Human Tables"/>
    <n v="4938.88"/>
    <n v="5"/>
    <n v="0.2"/>
    <n v="1625.46"/>
    <s v="Profit"/>
  </r>
  <r>
    <s v="ORD-10123"/>
    <d v="2023-12-13T00:00:00"/>
    <d v="2023-12-17T00:00:00"/>
    <s v="Heather George"/>
    <s v="Home Office"/>
    <x v="3"/>
    <s v="Technology"/>
    <s v="Accessories"/>
    <s v="Consumer Accessories"/>
    <n v="4996.8999999999996"/>
    <n v="8"/>
    <n v="0"/>
    <n v="-347.47"/>
    <s v="Loss"/>
  </r>
  <r>
    <s v="ORD-10124"/>
    <d v="2024-04-03T00:00:00"/>
    <d v="2024-04-08T00:00:00"/>
    <s v="Andrea Sanchez"/>
    <s v="Home Office"/>
    <x v="0"/>
    <s v="Office Supplies"/>
    <s v="Paper"/>
    <s v="Thing Paper"/>
    <n v="158.6"/>
    <n v="7"/>
    <n v="0.1"/>
    <n v="-31.01"/>
    <s v="Loss"/>
  </r>
  <r>
    <s v="ORD-10125"/>
    <d v="2023-08-09T00:00:00"/>
    <d v="2023-08-17T00:00:00"/>
    <s v="Travis Perkins"/>
    <s v="Corporate"/>
    <x v="1"/>
    <s v="Office Supplies"/>
    <s v="Storage"/>
    <s v="Son Storage"/>
    <n v="4172.55"/>
    <n v="5"/>
    <n v="0.05"/>
    <n v="558.64"/>
    <s v="Profit"/>
  </r>
  <r>
    <s v="ORD-10126"/>
    <d v="2025-04-07T00:00:00"/>
    <d v="2025-04-17T00:00:00"/>
    <s v="Mark Mora"/>
    <s v="Home Office"/>
    <x v="0"/>
    <s v="Office Supplies"/>
    <s v="Binders"/>
    <s v="Garden Binders"/>
    <n v="1290.5999999999999"/>
    <n v="3"/>
    <n v="0.2"/>
    <n v="-189.15"/>
    <s v="Loss"/>
  </r>
  <r>
    <s v="ORD-10127"/>
    <d v="2024-03-31T00:00:00"/>
    <d v="2024-04-01T00:00:00"/>
    <s v="Megan Ortega"/>
    <s v="Corporate"/>
    <x v="2"/>
    <s v="Technology"/>
    <s v="Accessories"/>
    <s v="Him Accessories"/>
    <n v="2918.89"/>
    <n v="3"/>
    <n v="0"/>
    <n v="876.53"/>
    <s v="Profit"/>
  </r>
  <r>
    <s v="ORD-10128"/>
    <d v="2023-11-02T00:00:00"/>
    <d v="2023-11-05T00:00:00"/>
    <s v="Curtis Morris"/>
    <s v="Corporate"/>
    <x v="1"/>
    <s v="Furniture"/>
    <s v="Chairs"/>
    <s v="Song Chairs"/>
    <n v="3943.24"/>
    <n v="6"/>
    <n v="0.2"/>
    <n v="299.64"/>
    <s v="Profit"/>
  </r>
  <r>
    <s v="ORD-10129"/>
    <d v="2024-02-16T00:00:00"/>
    <d v="2024-02-21T00:00:00"/>
    <s v="Richard Brown"/>
    <s v="Consumer"/>
    <x v="1"/>
    <s v="Technology"/>
    <s v="Accessories"/>
    <s v="Help Accessories"/>
    <n v="3745.47"/>
    <n v="6"/>
    <n v="0"/>
    <n v="215.67"/>
    <s v="Profit"/>
  </r>
  <r>
    <s v="ORD-10130"/>
    <d v="2024-11-05T00:00:00"/>
    <d v="2024-11-12T00:00:00"/>
    <s v="Shannon Smith"/>
    <s v="Corporate"/>
    <x v="0"/>
    <s v="Furniture"/>
    <s v="Bookcases"/>
    <s v="Piece Bookcases"/>
    <n v="4837.99"/>
    <n v="9"/>
    <n v="0.1"/>
    <n v="-727.31"/>
    <s v="Loss"/>
  </r>
  <r>
    <s v="ORD-10131"/>
    <d v="2025-03-12T00:00:00"/>
    <d v="2025-03-14T00:00:00"/>
    <s v="Robert Armstrong"/>
    <s v="Home Office"/>
    <x v="3"/>
    <s v="Technology"/>
    <s v="Laptops"/>
    <s v="Term Laptops"/>
    <n v="2301.19"/>
    <n v="5"/>
    <n v="0.2"/>
    <n v="22.01"/>
    <s v="Profit"/>
  </r>
  <r>
    <s v="ORD-10132"/>
    <d v="2025-04-16T00:00:00"/>
    <d v="2025-04-20T00:00:00"/>
    <s v="Marcia Jackson"/>
    <s v="Home Office"/>
    <x v="1"/>
    <s v="Furniture"/>
    <s v="Bookcases"/>
    <s v="Often Bookcases"/>
    <n v="2383.81"/>
    <n v="10"/>
    <n v="0.2"/>
    <n v="-46.71"/>
    <s v="Loss"/>
  </r>
  <r>
    <s v="ORD-10133"/>
    <s v="02-05-2025"/>
    <d v="2025-05-10T00:00:00"/>
    <s v="Maria Cardenas"/>
    <s v="Consumer"/>
    <x v="0"/>
    <s v="Office Supplies"/>
    <s v="Binders"/>
    <s v="Just Binders"/>
    <n v="4551.47"/>
    <n v="5"/>
    <n v="0.2"/>
    <n v="111.8"/>
    <s v="Profit"/>
  </r>
  <r>
    <s v="ORD-10134"/>
    <d v="2025-06-15T00:00:00"/>
    <d v="2025-06-23T00:00:00"/>
    <s v="Unknown"/>
    <s v="Corporate"/>
    <x v="3"/>
    <s v="Furniture"/>
    <s v="Tables"/>
    <s v="Sound Tables"/>
    <n v="624.79999999999995"/>
    <n v="4"/>
    <n v="0.2"/>
    <n v="-78.34"/>
    <s v="Loss"/>
  </r>
  <r>
    <s v="ORD-10135"/>
    <d v="2026-01-11T00:00:00"/>
    <d v="2026-01-20T00:00:00"/>
    <s v="Jennifer Carter"/>
    <s v="Corporate"/>
    <x v="2"/>
    <s v="Office Supplies"/>
    <s v="Storage"/>
    <s v="Wear Storage"/>
    <n v="2124.6799999999998"/>
    <n v="3"/>
    <n v="0.15"/>
    <n v="340.39"/>
    <s v="Profit"/>
  </r>
  <r>
    <s v="ORD-10136"/>
    <d v="2025-04-29T00:00:00"/>
    <d v="2025-05-05T00:00:00"/>
    <s v="Austin Brown"/>
    <s v="Consumer"/>
    <x v="3"/>
    <s v="Technology"/>
    <s v="Phones"/>
    <s v="Cause Phones"/>
    <n v="1125.48"/>
    <n v="8"/>
    <n v="0.05"/>
    <n v="304.44"/>
    <s v="Profit"/>
  </r>
  <r>
    <s v="ORD-10137"/>
    <d v="2023-07-24T00:00:00"/>
    <d v="2023-07-30T00:00:00"/>
    <s v="Alice Villanueva"/>
    <s v="Corporate"/>
    <x v="0"/>
    <s v="Office Supplies"/>
    <s v="Storage"/>
    <s v="Site Storage"/>
    <n v="349.72"/>
    <n v="5"/>
    <n v="0.05"/>
    <n v="116.29"/>
    <s v="Profit"/>
  </r>
  <r>
    <s v="ORD-10138"/>
    <d v="2026-03-18T00:00:00"/>
    <d v="2026-03-28T00:00:00"/>
    <s v="Cheryl Curtis"/>
    <s v="Consumer"/>
    <x v="1"/>
    <s v="Office Supplies"/>
    <s v="Binders"/>
    <s v="Professor Binders"/>
    <n v="4856.91"/>
    <n v="1"/>
    <n v="0.1"/>
    <n v="-320.74"/>
    <s v="Loss"/>
  </r>
  <r>
    <s v="ORD-10139"/>
    <d v="2025-08-01T00:00:00"/>
    <d v="2025-08-05T00:00:00"/>
    <s v="Clinton Smith"/>
    <s v="Home Office"/>
    <x v="0"/>
    <s v="Furniture"/>
    <s v="Bookcases"/>
    <s v="Into Bookcases"/>
    <n v="2952.6"/>
    <n v="4"/>
    <n v="0.1"/>
    <n v="667"/>
    <s v="Profit"/>
  </r>
  <r>
    <s v="ORD-10140"/>
    <d v="2024-04-21T00:00:00"/>
    <d v="2024-04-24T00:00:00"/>
    <s v="Jessica Greene"/>
    <s v="Home Office"/>
    <x v="1"/>
    <s v="Technology"/>
    <s v="Phones"/>
    <s v="Protect Phones"/>
    <n v="2724.07"/>
    <n v="3"/>
    <n v="0"/>
    <n v="445.61"/>
    <s v="Profit"/>
  </r>
  <r>
    <s v="ORD-10141"/>
    <d v="2024-01-19T00:00:00"/>
    <d v="2024-01-23T00:00:00"/>
    <s v="Barry Padilla"/>
    <s v="Consumer"/>
    <x v="2"/>
    <s v="Furniture"/>
    <s v="Tables"/>
    <s v="Back Tables"/>
    <n v="2964.82"/>
    <n v="1"/>
    <n v="0.05"/>
    <n v="-160.24"/>
    <s v="Loss"/>
  </r>
  <r>
    <s v="ORD-10142"/>
    <d v="2025-10-08T00:00:00"/>
    <d v="2025-10-10T00:00:00"/>
    <s v="John Lowery"/>
    <s v="Corporate"/>
    <x v="1"/>
    <s v="Office Supplies"/>
    <s v="Binders"/>
    <s v="Race Binders"/>
    <n v="2407.42"/>
    <n v="6"/>
    <n v="0.2"/>
    <n v="304.58"/>
    <s v="Profit"/>
  </r>
  <r>
    <s v="ORD-10143"/>
    <d v="2023-06-06T00:00:00"/>
    <d v="2023-06-15T00:00:00"/>
    <s v="Sharon Scott"/>
    <s v="Corporate"/>
    <x v="2"/>
    <s v="Office Supplies"/>
    <s v="Binders"/>
    <s v="Goal Binders"/>
    <n v="1543.07"/>
    <n v="1"/>
    <n v="0"/>
    <n v="538.88"/>
    <s v="Profit"/>
  </r>
  <r>
    <s v="ORD-10144"/>
    <d v="2024-10-18T00:00:00"/>
    <d v="2024-10-26T00:00:00"/>
    <s v="Stephanie Marshall"/>
    <s v="Corporate"/>
    <x v="1"/>
    <s v="Office Supplies"/>
    <s v="Binders"/>
    <s v="Sister Binders"/>
    <n v="3576.39"/>
    <n v="8"/>
    <n v="0"/>
    <n v="1053.5899999999999"/>
    <s v="Profit"/>
  </r>
  <r>
    <s v="ORD-10145"/>
    <d v="2024-08-20T00:00:00"/>
    <d v="2024-08-25T00:00:00"/>
    <s v="Michelle Fuller"/>
    <s v="Corporate"/>
    <x v="3"/>
    <s v="Furniture"/>
    <s v="Chairs"/>
    <s v="Near Chairs"/>
    <n v="3140.37"/>
    <n v="10"/>
    <n v="0.2"/>
    <n v="601.96"/>
    <s v="Profit"/>
  </r>
  <r>
    <s v="ORD-10146"/>
    <d v="2025-05-27T00:00:00"/>
    <d v="2025-06-06T00:00:00"/>
    <s v="Christopher Pollard"/>
    <s v="Home Office"/>
    <x v="1"/>
    <s v="Technology"/>
    <s v="Laptops"/>
    <s v="Level Laptops"/>
    <n v="2179.4899999999998"/>
    <n v="2"/>
    <n v="0.2"/>
    <n v="344.37"/>
    <s v="Profit"/>
  </r>
  <r>
    <s v="ORD-10147"/>
    <d v="2025-11-19T00:00:00"/>
    <d v="2025-11-23T00:00:00"/>
    <s v="Shane Morse"/>
    <s v="Consumer"/>
    <x v="3"/>
    <s v="Technology"/>
    <s v="Accessories"/>
    <s v="Evidence Accessories"/>
    <n v="2098.38"/>
    <n v="8"/>
    <n v="0.15"/>
    <n v="60.42"/>
    <s v="Profit"/>
  </r>
  <r>
    <s v="ORD-10148"/>
    <d v="2024-07-24T00:00:00"/>
    <d v="2024-07-29T00:00:00"/>
    <s v="Teresa Duke"/>
    <s v="Consumer"/>
    <x v="0"/>
    <s v="Technology"/>
    <s v="Accessories"/>
    <s v="Own Accessories"/>
    <n v="1902.79"/>
    <n v="3"/>
    <n v="0.2"/>
    <n v="585.38"/>
    <s v="Profit"/>
  </r>
  <r>
    <s v="ORD-10149"/>
    <d v="2025-04-24T00:00:00"/>
    <d v="2025-05-01T00:00:00"/>
    <s v="Amanda Murray"/>
    <s v="Home Office"/>
    <x v="3"/>
    <s v="Furniture"/>
    <s v="Chairs"/>
    <s v="Room Chairs"/>
    <n v="527.99"/>
    <n v="6"/>
    <n v="0.05"/>
    <n v="55.97"/>
    <s v="Profit"/>
  </r>
  <r>
    <s v="ORD-10150"/>
    <d v="2024-11-26T00:00:00"/>
    <d v="2024-12-03T00:00:00"/>
    <s v="Kristina Stanley"/>
    <s v="Corporate"/>
    <x v="3"/>
    <s v="Office Supplies"/>
    <s v="Binders"/>
    <s v="At Binders"/>
    <n v="1800.31"/>
    <n v="7"/>
    <n v="0.2"/>
    <n v="-309.12"/>
    <s v="Loss"/>
  </r>
  <r>
    <s v="ORD-10151"/>
    <d v="2023-10-11T00:00:00"/>
    <d v="2023-10-21T00:00:00"/>
    <s v="Sheryl Davenport"/>
    <s v="Consumer"/>
    <x v="3"/>
    <s v="Technology"/>
    <s v="Phones"/>
    <s v="Our Phones"/>
    <n v="2561.69"/>
    <n v="3"/>
    <n v="0.2"/>
    <n v="167.03"/>
    <s v="Profit"/>
  </r>
  <r>
    <s v="ORD-10152"/>
    <d v="2024-07-24T00:00:00"/>
    <d v="2024-07-26T00:00:00"/>
    <s v="Kendra Gonzalez"/>
    <s v="Home Office"/>
    <x v="0"/>
    <s v="Office Supplies"/>
    <s v="Paper"/>
    <s v="Scene Paper"/>
    <n v="3824.9"/>
    <n v="10"/>
    <n v="0.05"/>
    <n v="933.17"/>
    <s v="Profit"/>
  </r>
  <r>
    <s v="ORD-10153"/>
    <d v="2026-04-11T00:00:00"/>
    <d v="2026-04-16T00:00:00"/>
    <s v="Lawrence Kennedy"/>
    <s v="Corporate"/>
    <x v="3"/>
    <s v="Office Supplies"/>
    <s v="Storage"/>
    <s v="Might Storage"/>
    <n v="193.32"/>
    <n v="5"/>
    <n v="0.2"/>
    <n v="42.4"/>
    <s v="Profit"/>
  </r>
  <r>
    <s v="ORD-10154"/>
    <d v="2024-08-07T00:00:00"/>
    <d v="2024-08-10T00:00:00"/>
    <s v="Brandon Thompson"/>
    <s v="Home Office"/>
    <x v="0"/>
    <s v="Furniture"/>
    <s v="Chairs"/>
    <s v="Three Chairs"/>
    <n v="2853.29"/>
    <n v="7"/>
    <n v="0"/>
    <n v="-348.01"/>
    <s v="Loss"/>
  </r>
  <r>
    <s v="ORD-10155"/>
    <d v="2023-08-21T00:00:00"/>
    <d v="2023-08-30T00:00:00"/>
    <s v="Ryan Johnson"/>
    <s v="Corporate"/>
    <x v="3"/>
    <s v="Furniture"/>
    <s v="Bookcases"/>
    <s v="Firm Bookcases"/>
    <n v="1114.9100000000001"/>
    <n v="7"/>
    <n v="0.15"/>
    <n v="-13.94"/>
    <s v="Loss"/>
  </r>
  <r>
    <s v="ORD-10156"/>
    <d v="2023-09-22T00:00:00"/>
    <d v="2023-10-02T00:00:00"/>
    <s v="Unknown"/>
    <s v="Home Office"/>
    <x v="0"/>
    <s v="Office Supplies"/>
    <s v="Paper"/>
    <s v="Able Paper"/>
    <n v="3001.31"/>
    <n v="1"/>
    <n v="0.05"/>
    <n v="-340.42"/>
    <s v="Loss"/>
  </r>
  <r>
    <s v="ORD-10157"/>
    <d v="2023-10-06T00:00:00"/>
    <d v="2023-10-11T00:00:00"/>
    <s v="Amber Reyes"/>
    <s v="Corporate"/>
    <x v="3"/>
    <s v="Office Supplies"/>
    <s v="Binders"/>
    <s v="Go Binders"/>
    <n v="2243.41"/>
    <n v="7"/>
    <n v="0.15"/>
    <n v="300.37"/>
    <s v="Profit"/>
  </r>
  <r>
    <s v="ORD-10158"/>
    <d v="2025-09-13T00:00:00"/>
    <d v="2025-09-15T00:00:00"/>
    <s v="Jaime Carpenter"/>
    <s v="Home Office"/>
    <x v="2"/>
    <s v="Furniture"/>
    <s v="Bookcases"/>
    <s v="Discuss Bookcases"/>
    <n v="1758.61"/>
    <n v="2"/>
    <n v="0.1"/>
    <n v="304.27"/>
    <s v="Profit"/>
  </r>
  <r>
    <s v="ORD-10159"/>
    <d v="2025-06-20T00:00:00"/>
    <d v="2025-06-25T00:00:00"/>
    <s v="Tammy Walker"/>
    <s v="Consumer"/>
    <x v="3"/>
    <s v="Office Supplies"/>
    <s v="Storage"/>
    <s v="Sport Storage"/>
    <n v="274.82"/>
    <n v="7"/>
    <n v="0.2"/>
    <n v="-46.68"/>
    <s v="Loss"/>
  </r>
  <r>
    <s v="ORD-10160"/>
    <d v="2024-07-09T00:00:00"/>
    <d v="2024-07-14T00:00:00"/>
    <s v="Bruce Klein"/>
    <s v="Corporate"/>
    <x v="1"/>
    <s v="Furniture"/>
    <s v="Chairs"/>
    <s v="Nation Chairs"/>
    <n v="1482.76"/>
    <n v="2"/>
    <n v="0"/>
    <n v="109.07"/>
    <s v="Profit"/>
  </r>
  <r>
    <s v="ORD-10161"/>
    <d v="2025-11-03T00:00:00"/>
    <d v="2025-11-12T00:00:00"/>
    <s v="Victoria Winters"/>
    <s v="Corporate"/>
    <x v="0"/>
    <s v="Furniture"/>
    <s v="Tables"/>
    <s v="Less Tables"/>
    <n v="3533.17"/>
    <n v="9"/>
    <n v="0.2"/>
    <n v="912.78"/>
    <s v="Profit"/>
  </r>
  <r>
    <s v="ORD-10162"/>
    <d v="2026-05-03T00:00:00"/>
    <d v="2026-05-04T00:00:00"/>
    <s v="Caroline Beck"/>
    <s v="Home Office"/>
    <x v="2"/>
    <s v="Technology"/>
    <s v="Laptops"/>
    <s v="Project Laptops"/>
    <n v="2209.29"/>
    <n v="8"/>
    <n v="0"/>
    <n v="605.70000000000005"/>
    <s v="Profit"/>
  </r>
  <r>
    <s v="ORD-10163"/>
    <d v="2024-09-20T00:00:00"/>
    <d v="2024-09-27T00:00:00"/>
    <s v="Jerry Jackson"/>
    <s v="Consumer"/>
    <x v="2"/>
    <s v="Office Supplies"/>
    <s v="Paper"/>
    <s v="President Paper"/>
    <n v="1483.1"/>
    <n v="7"/>
    <n v="0"/>
    <n v="491.51"/>
    <s v="Profit"/>
  </r>
  <r>
    <s v="ORD-10164"/>
    <d v="2025-08-06T00:00:00"/>
    <d v="2025-08-08T00:00:00"/>
    <s v="Pamela Johnson"/>
    <s v="Corporate"/>
    <x v="0"/>
    <s v="Office Supplies"/>
    <s v="Paper"/>
    <s v="Myself Paper"/>
    <n v="2211.7199999999998"/>
    <n v="2"/>
    <n v="0.05"/>
    <n v="87.63"/>
    <s v="Profit"/>
  </r>
  <r>
    <s v="ORD-10165"/>
    <d v="2026-04-27T00:00:00"/>
    <d v="2026-05-03T00:00:00"/>
    <s v="Sharon Clay"/>
    <s v="Consumer"/>
    <x v="1"/>
    <s v="Technology"/>
    <s v="Accessories"/>
    <s v="Car Accessories"/>
    <n v="1146.78"/>
    <n v="3"/>
    <n v="0"/>
    <n v="92.62"/>
    <s v="Profit"/>
  </r>
  <r>
    <s v="ORD-10166"/>
    <d v="2024-08-25T00:00:00"/>
    <d v="2024-08-28T00:00:00"/>
    <s v="Stephen Andrews"/>
    <s v="Home Office"/>
    <x v="1"/>
    <s v="Technology"/>
    <s v="Accessories"/>
    <s v="Stay Accessories"/>
    <n v="1219.53"/>
    <n v="3"/>
    <n v="0.1"/>
    <n v="-111.59"/>
    <s v="Loss"/>
  </r>
  <r>
    <s v="ORD-10167"/>
    <d v="2025-11-09T00:00:00"/>
    <d v="2025-11-12T00:00:00"/>
    <s v="Angela Mercado"/>
    <s v="Home Office"/>
    <x v="2"/>
    <s v="Office Supplies"/>
    <s v="Binders"/>
    <s v="Almost Binders"/>
    <n v="4758.8999999999996"/>
    <n v="8"/>
    <n v="0.15"/>
    <n v="1022.9"/>
    <s v="Profit"/>
  </r>
  <r>
    <s v="ORD-10168"/>
    <d v="2024-04-24T00:00:00"/>
    <d v="2024-05-04T00:00:00"/>
    <s v="Daniel Wolfe"/>
    <s v="Corporate"/>
    <x v="2"/>
    <s v="Office Supplies"/>
    <s v="Storage"/>
    <s v="Name Storage"/>
    <n v="1649.88"/>
    <n v="6"/>
    <n v="0.05"/>
    <n v="69.08"/>
    <s v="Profit"/>
  </r>
  <r>
    <s v="ORD-10169"/>
    <d v="2025-12-19T00:00:00"/>
    <d v="2025-12-24T00:00:00"/>
    <s v="Erik Turner"/>
    <s v="Corporate"/>
    <x v="2"/>
    <s v="Office Supplies"/>
    <s v="Paper"/>
    <s v="Hear Paper"/>
    <n v="2977.53"/>
    <n v="6"/>
    <n v="0.2"/>
    <n v="-474.01"/>
    <s v="Loss"/>
  </r>
  <r>
    <s v="ORD-10170"/>
    <d v="2026-02-12T00:00:00"/>
    <d v="2026-02-18T00:00:00"/>
    <s v="Brian Grant"/>
    <s v="Consumer"/>
    <x v="2"/>
    <s v="Furniture"/>
    <s v="Chairs"/>
    <s v="Bank Chairs"/>
    <n v="4166.8999999999996"/>
    <n v="2"/>
    <n v="0.2"/>
    <n v="1147.3"/>
    <s v="Profit"/>
  </r>
  <r>
    <s v="ORD-10171"/>
    <d v="2025-05-05T00:00:00"/>
    <d v="2025-05-14T00:00:00"/>
    <s v="Mr. Travis Love Md"/>
    <s v="Home Office"/>
    <x v="1"/>
    <s v="Technology"/>
    <s v="Laptops"/>
    <s v="Seat Laptops"/>
    <n v="4773.45"/>
    <n v="1"/>
    <n v="0.15"/>
    <n v="1431.93"/>
    <s v="Profit"/>
  </r>
  <r>
    <s v="ORD-10172"/>
    <d v="2025-10-20T00:00:00"/>
    <d v="2025-10-28T00:00:00"/>
    <s v="Denise Evans"/>
    <s v="Corporate"/>
    <x v="0"/>
    <s v="Technology"/>
    <s v="Laptops"/>
    <s v="Charge Laptops"/>
    <n v="2531.77"/>
    <n v="1"/>
    <n v="0.15"/>
    <n v="-362.23"/>
    <s v="Loss"/>
  </r>
  <r>
    <s v="ORD-10173"/>
    <d v="2026-03-09T00:00:00"/>
    <d v="2026-03-12T00:00:00"/>
    <s v="Amy Fitzpatrick"/>
    <s v="Home Office"/>
    <x v="1"/>
    <s v="Office Supplies"/>
    <s v="Storage"/>
    <s v="Radio Storage"/>
    <n v="243.75"/>
    <n v="8"/>
    <n v="0.15"/>
    <n v="21.51"/>
    <s v="Profit"/>
  </r>
  <r>
    <s v="ORD-10174"/>
    <d v="2025-10-12T00:00:00"/>
    <d v="2025-10-17T00:00:00"/>
    <s v="Kathryn Kim"/>
    <s v="Home Office"/>
    <x v="3"/>
    <s v="Technology"/>
    <s v="Accessories"/>
    <s v="Significant Accessories"/>
    <n v="1967.71"/>
    <n v="6"/>
    <n v="0.2"/>
    <n v="253.51"/>
    <s v="Profit"/>
  </r>
  <r>
    <s v="ORD-10175"/>
    <d v="2024-07-07T00:00:00"/>
    <d v="2024-07-09T00:00:00"/>
    <s v="Barbara Hall"/>
    <s v="Home Office"/>
    <x v="1"/>
    <s v="Furniture"/>
    <s v="Tables"/>
    <s v="By Tables"/>
    <n v="2811.92"/>
    <n v="7"/>
    <n v="0.1"/>
    <n v="-172.66"/>
    <s v="Loss"/>
  </r>
  <r>
    <s v="ORD-10176"/>
    <d v="2025-09-05T00:00:00"/>
    <d v="2025-09-15T00:00:00"/>
    <s v="Joy Johnson"/>
    <s v="Home Office"/>
    <x v="2"/>
    <s v="Technology"/>
    <s v="Phones"/>
    <s v="Discuss Phones"/>
    <n v="3334.88"/>
    <n v="6"/>
    <n v="0.1"/>
    <n v="1107.96"/>
    <s v="Profit"/>
  </r>
  <r>
    <s v="ORD-10177"/>
    <d v="2026-01-01T00:00:00"/>
    <d v="2026-01-03T00:00:00"/>
    <s v="Cheryl Thompson"/>
    <s v="Consumer"/>
    <x v="0"/>
    <s v="Furniture"/>
    <s v="Bookcases"/>
    <s v="Election Bookcases"/>
    <n v="1582.43"/>
    <n v="7"/>
    <n v="0.2"/>
    <n v="372.53"/>
    <s v="Profit"/>
  </r>
  <r>
    <s v="ORD-10178"/>
    <d v="2024-10-17T00:00:00"/>
    <d v="2024-10-24T00:00:00"/>
    <s v="William Gonzalez"/>
    <s v="Consumer"/>
    <x v="3"/>
    <s v="Office Supplies"/>
    <s v="Storage"/>
    <s v="Onto Storage"/>
    <n v="2567.02"/>
    <n v="1"/>
    <n v="0.1"/>
    <n v="-77.33"/>
    <s v="Loss"/>
  </r>
  <r>
    <s v="ORD-10179"/>
    <d v="2025-01-06T00:00:00"/>
    <d v="2025-01-10T00:00:00"/>
    <s v="Bobby Rosario"/>
    <s v="Consumer"/>
    <x v="0"/>
    <s v="Technology"/>
    <s v="Phones"/>
    <s v="Little Phones"/>
    <n v="4999.88"/>
    <n v="3"/>
    <n v="0"/>
    <n v="-186.57"/>
    <s v="Loss"/>
  </r>
  <r>
    <s v="ORD-10180"/>
    <d v="2025-10-17T00:00:00"/>
    <d v="2025-10-27T00:00:00"/>
    <s v="Robert Snyder"/>
    <s v="Home Office"/>
    <x v="1"/>
    <s v="Office Supplies"/>
    <s v="Paper"/>
    <s v="True Paper"/>
    <n v="698.69"/>
    <n v="7"/>
    <n v="0.05"/>
    <n v="-77.39"/>
    <s v="Loss"/>
  </r>
  <r>
    <s v="ORD-10181"/>
    <d v="2025-09-22T00:00:00"/>
    <d v="2025-09-23T00:00:00"/>
    <s v="Paul Beasley"/>
    <s v="Home Office"/>
    <x v="2"/>
    <s v="Office Supplies"/>
    <s v="Paper"/>
    <s v="Sea Paper"/>
    <n v="2083.75"/>
    <n v="4"/>
    <n v="0.15"/>
    <n v="283.02999999999997"/>
    <s v="Profit"/>
  </r>
  <r>
    <s v="ORD-10182"/>
    <d v="2023-09-29T00:00:00"/>
    <d v="2023-10-03T00:00:00"/>
    <s v="Justin Jones"/>
    <s v="Home Office"/>
    <x v="2"/>
    <s v="Furniture"/>
    <s v="Bookcases"/>
    <s v="Best Bookcases"/>
    <n v="1581.87"/>
    <n v="8"/>
    <n v="0.05"/>
    <n v="3.66"/>
    <s v="Profit"/>
  </r>
  <r>
    <s v="ORD-10183"/>
    <d v="2025-02-19T00:00:00"/>
    <d v="2025-02-26T00:00:00"/>
    <s v="David Brady"/>
    <s v="Home Office"/>
    <x v="1"/>
    <s v="Technology"/>
    <s v="Accessories"/>
    <s v="Event Accessories"/>
    <n v="2539.39"/>
    <n v="7"/>
    <n v="0.05"/>
    <n v="633.04"/>
    <s v="Profit"/>
  </r>
  <r>
    <s v="ORD-10184"/>
    <d v="2024-01-19T00:00:00"/>
    <d v="2024-01-27T00:00:00"/>
    <s v="Claire Farley"/>
    <s v="Home Office"/>
    <x v="0"/>
    <s v="Technology"/>
    <s v="Phones"/>
    <s v="Suddenly Phones"/>
    <n v="4376.88"/>
    <n v="9"/>
    <n v="0"/>
    <n v="837.17"/>
    <s v="Profit"/>
  </r>
  <r>
    <s v="ORD-10185"/>
    <d v="2023-07-09T00:00:00"/>
    <d v="2023-07-12T00:00:00"/>
    <s v="Elizabeth Lutz"/>
    <s v="Consumer"/>
    <x v="1"/>
    <s v="Technology"/>
    <s v="Phones"/>
    <s v="Hard Phones"/>
    <n v="1400.32"/>
    <n v="9"/>
    <n v="0.05"/>
    <n v="359.99"/>
    <s v="Profit"/>
  </r>
  <r>
    <s v="ORD-10186"/>
    <d v="2025-08-18T00:00:00"/>
    <d v="2025-08-19T00:00:00"/>
    <s v="William Dougherty"/>
    <s v="Corporate"/>
    <x v="0"/>
    <s v="Technology"/>
    <s v="Accessories"/>
    <s v="Little Accessories"/>
    <n v="2103.7399999999998"/>
    <n v="7"/>
    <n v="0.2"/>
    <n v="11.95"/>
    <s v="Profit"/>
  </r>
  <r>
    <s v="ORD-10187"/>
    <s v="15-09-2023"/>
    <d v="2023-09-16T00:00:00"/>
    <s v="Phyllis Arnold"/>
    <s v="Consumer"/>
    <x v="1"/>
    <s v="Technology"/>
    <s v="Phones"/>
    <s v="Not Phones"/>
    <n v="1627.49"/>
    <n v="2"/>
    <n v="0.2"/>
    <n v="256.29000000000002"/>
    <s v="Profit"/>
  </r>
  <r>
    <s v="ORD-10188"/>
    <d v="2025-08-05T00:00:00"/>
    <d v="2025-08-13T00:00:00"/>
    <s v="Michael Hall"/>
    <s v="Home Office"/>
    <x v="0"/>
    <s v="Furniture"/>
    <s v="Tables"/>
    <s v="Which Tables"/>
    <n v="3495.56"/>
    <n v="3"/>
    <n v="0.2"/>
    <n v="202.78"/>
    <s v="Profit"/>
  </r>
  <r>
    <s v="ORD-10189"/>
    <d v="2024-12-18T00:00:00"/>
    <d v="2024-12-23T00:00:00"/>
    <s v="Jeremiah Wade"/>
    <s v="Home Office"/>
    <x v="2"/>
    <s v="Furniture"/>
    <s v="Chairs"/>
    <s v="Pick Chairs"/>
    <n v="1117.49"/>
    <n v="3"/>
    <n v="0.2"/>
    <n v="354.38"/>
    <s v="Profit"/>
  </r>
  <r>
    <s v="ORD-10190"/>
    <d v="2025-11-14T00:00:00"/>
    <d v="2025-11-18T00:00:00"/>
    <s v="Tina Taylor"/>
    <s v="Home Office"/>
    <x v="2"/>
    <s v="Furniture"/>
    <s v="Tables"/>
    <s v="Eye Tables"/>
    <n v="1540.7"/>
    <n v="1"/>
    <n v="0.05"/>
    <n v="47.61"/>
    <s v="Profit"/>
  </r>
  <r>
    <s v="ORD-10191"/>
    <d v="2023-07-16T00:00:00"/>
    <d v="2023-07-24T00:00:00"/>
    <s v="Robert Martinez"/>
    <s v="Consumer"/>
    <x v="1"/>
    <s v="Furniture"/>
    <s v="Chairs"/>
    <s v="Garden Chairs"/>
    <n v="3003.86"/>
    <n v="1"/>
    <n v="0.2"/>
    <n v="250.69"/>
    <s v="Profit"/>
  </r>
  <r>
    <s v="ORD-10192"/>
    <d v="2024-10-31T00:00:00"/>
    <d v="2024-11-01T00:00:00"/>
    <s v="Jimmy Fisher"/>
    <s v="Home Office"/>
    <x v="0"/>
    <s v="Technology"/>
    <s v="Accessories"/>
    <s v="Open Accessories"/>
    <n v="3093.31"/>
    <n v="4"/>
    <n v="0.2"/>
    <n v="90.05"/>
    <s v="Profit"/>
  </r>
  <r>
    <s v="ORD-10193"/>
    <d v="2024-07-19T00:00:00"/>
    <d v="2024-07-21T00:00:00"/>
    <s v="Michael Ruiz"/>
    <s v="Home Office"/>
    <x v="0"/>
    <s v="Office Supplies"/>
    <s v="Paper"/>
    <s v="Watch Paper"/>
    <n v="4769.3500000000004"/>
    <n v="9"/>
    <n v="0.2"/>
    <n v="1109"/>
    <s v="Profit"/>
  </r>
  <r>
    <s v="ORD-10194"/>
    <d v="2024-01-30T00:00:00"/>
    <d v="2024-01-31T00:00:00"/>
    <s v="Brett Lee"/>
    <s v="Corporate"/>
    <x v="0"/>
    <s v="Technology"/>
    <s v="Accessories"/>
    <s v="Boy Accessories"/>
    <n v="3196.57"/>
    <n v="6"/>
    <n v="0.1"/>
    <n v="674.55"/>
    <s v="Profit"/>
  </r>
  <r>
    <s v="ORD-10195"/>
    <d v="2023-12-26T00:00:00"/>
    <d v="2023-12-28T00:00:00"/>
    <s v="Cynthia Moore"/>
    <s v="Home Office"/>
    <x v="3"/>
    <s v="Technology"/>
    <s v="Phones"/>
    <s v="Pull Phones"/>
    <n v="3868.93"/>
    <n v="6"/>
    <n v="0.05"/>
    <n v="-679.44"/>
    <s v="Loss"/>
  </r>
  <r>
    <s v="ORD-10196"/>
    <d v="2023-06-11T00:00:00"/>
    <d v="2023-06-19T00:00:00"/>
    <s v="Julie Cummings"/>
    <s v="Consumer"/>
    <x v="0"/>
    <s v="Office Supplies"/>
    <s v="Binders"/>
    <s v="Special Binders"/>
    <n v="4905.05"/>
    <n v="8"/>
    <n v="0.2"/>
    <n v="-489.26"/>
    <s v="Loss"/>
  </r>
  <r>
    <s v="ORD-10197"/>
    <d v="2025-11-17T00:00:00"/>
    <d v="2025-11-18T00:00:00"/>
    <s v="Andrea Gill"/>
    <s v="Corporate"/>
    <x v="3"/>
    <s v="Office Supplies"/>
    <s v="Paper"/>
    <s v="One Paper"/>
    <n v="1502.54"/>
    <n v="1"/>
    <n v="0.05"/>
    <n v="431.51"/>
    <s v="Profit"/>
  </r>
  <r>
    <s v="ORD-10198"/>
    <d v="2023-08-09T00:00:00"/>
    <d v="2023-08-18T00:00:00"/>
    <s v="Carrie Sullivan"/>
    <s v="Corporate"/>
    <x v="0"/>
    <s v="Office Supplies"/>
    <s v="Paper"/>
    <s v="System Paper"/>
    <n v="2393.33"/>
    <n v="1"/>
    <n v="0.2"/>
    <n v="-227.11"/>
    <s v="Loss"/>
  </r>
  <r>
    <s v="ORD-10199"/>
    <d v="2026-03-24T00:00:00"/>
    <d v="2026-03-29T00:00:00"/>
    <s v="Jill Miller"/>
    <s v="Home Office"/>
    <x v="2"/>
    <s v="Office Supplies"/>
    <s v="Paper"/>
    <s v="Project Paper"/>
    <n v="666.15"/>
    <n v="6"/>
    <n v="0.15"/>
    <n v="192.66"/>
    <s v="Profit"/>
  </r>
  <r>
    <s v="ORD-10200"/>
    <d v="2023-07-20T00:00:00"/>
    <d v="2023-07-23T00:00:00"/>
    <s v="Luis Pratt"/>
    <s v="Home Office"/>
    <x v="3"/>
    <s v="Technology"/>
    <s v="Accessories"/>
    <s v="Authority Accessories"/>
    <n v="2506.21"/>
    <n v="8"/>
    <n v="0.1"/>
    <n v="772.84"/>
    <s v="Profit"/>
  </r>
  <r>
    <s v="ORD-10201"/>
    <d v="2024-09-04T00:00:00"/>
    <d v="2024-09-11T00:00:00"/>
    <s v="Jonathon Chavez"/>
    <s v="Corporate"/>
    <x v="0"/>
    <s v="Furniture"/>
    <s v="Bookcases"/>
    <s v="Want Bookcases"/>
    <n v="440.69"/>
    <n v="10"/>
    <n v="0.05"/>
    <n v="44.07"/>
    <s v="Profit"/>
  </r>
  <r>
    <s v="ORD-10202"/>
    <d v="2024-04-29T00:00:00"/>
    <d v="2024-05-04T00:00:00"/>
    <s v="Jonathan Arnold"/>
    <s v="Home Office"/>
    <x v="2"/>
    <s v="Furniture"/>
    <s v="Tables"/>
    <s v="Force Tables"/>
    <n v="1567.15"/>
    <n v="10"/>
    <n v="0.2"/>
    <n v="53.85"/>
    <s v="Profit"/>
  </r>
  <r>
    <s v="ORD-10203"/>
    <d v="2025-06-06T00:00:00"/>
    <d v="2025-06-07T00:00:00"/>
    <s v="Aaron Wilson"/>
    <s v="Corporate"/>
    <x v="0"/>
    <s v="Technology"/>
    <s v="Accessories"/>
    <s v="Song Accessories"/>
    <n v="3647.73"/>
    <n v="6"/>
    <n v="0.2"/>
    <n v="1273"/>
    <s v="Profit"/>
  </r>
  <r>
    <s v="ORD-10204"/>
    <d v="2024-04-17T00:00:00"/>
    <d v="2024-04-24T00:00:00"/>
    <s v="Brittany Summers"/>
    <s v="Home Office"/>
    <x v="2"/>
    <s v="Furniture"/>
    <s v="Bookcases"/>
    <s v="Else Bookcases"/>
    <n v="1848.39"/>
    <n v="3"/>
    <n v="0"/>
    <n v="-224.53"/>
    <s v="Loss"/>
  </r>
  <r>
    <s v="ORD-10205"/>
    <d v="2025-10-31T00:00:00"/>
    <d v="2025-11-02T00:00:00"/>
    <s v="Willie Garcia"/>
    <s v="Home Office"/>
    <x v="0"/>
    <s v="Furniture"/>
    <s v="Chairs"/>
    <s v="Fast Chairs"/>
    <n v="1218.18"/>
    <n v="6"/>
    <n v="0.1"/>
    <n v="12.88"/>
    <s v="Profit"/>
  </r>
  <r>
    <s v="ORD-10206"/>
    <d v="2025-01-14T00:00:00"/>
    <d v="2025-01-22T00:00:00"/>
    <s v="Kevin Delacruz"/>
    <s v="Home Office"/>
    <x v="1"/>
    <s v="Office Supplies"/>
    <s v="Binders"/>
    <s v="Interesting Binders"/>
    <n v="4746.68"/>
    <n v="6"/>
    <n v="0.15"/>
    <n v="1042.83"/>
    <s v="Profit"/>
  </r>
  <r>
    <s v="ORD-10207"/>
    <d v="2025-10-24T00:00:00"/>
    <d v="2025-10-31T00:00:00"/>
    <s v="Elizabeth Dougherty"/>
    <s v="Consumer"/>
    <x v="1"/>
    <s v="Office Supplies"/>
    <s v="Paper"/>
    <s v="Second Paper"/>
    <n v="1606.21"/>
    <n v="5"/>
    <n v="0.05"/>
    <n v="527.29999999999995"/>
    <s v="Profit"/>
  </r>
  <r>
    <s v="ORD-10208"/>
    <d v="2024-01-30T00:00:00"/>
    <d v="2024-02-06T00:00:00"/>
    <s v="Tammy Brown"/>
    <s v="Home Office"/>
    <x v="2"/>
    <s v="Technology"/>
    <s v="Laptops"/>
    <s v="Our Laptops"/>
    <n v="4572.04"/>
    <n v="2"/>
    <n v="0.1"/>
    <n v="1034.33"/>
    <s v="Profit"/>
  </r>
  <r>
    <s v="ORD-10209"/>
    <d v="2024-06-20T00:00:00"/>
    <d v="2024-06-25T00:00:00"/>
    <s v="Amy Shepherd"/>
    <s v="Home Office"/>
    <x v="2"/>
    <s v="Furniture"/>
    <s v="Bookcases"/>
    <s v="Sound Bookcases"/>
    <n v="3485.2"/>
    <n v="8"/>
    <n v="0.05"/>
    <n v="-461.96"/>
    <s v="Loss"/>
  </r>
  <r>
    <s v="ORD-10210"/>
    <d v="2024-05-09T00:00:00"/>
    <d v="2024-05-17T00:00:00"/>
    <s v="Emily Doyle"/>
    <s v="Consumer"/>
    <x v="3"/>
    <s v="Furniture"/>
    <s v="Bookcases"/>
    <s v="Deep Bookcases"/>
    <n v="4986.45"/>
    <n v="6"/>
    <n v="0.2"/>
    <n v="-44.46"/>
    <s v="Loss"/>
  </r>
  <r>
    <s v="ORD-10211"/>
    <d v="2024-04-05T00:00:00"/>
    <d v="2024-04-08T00:00:00"/>
    <s v="Steven Glover"/>
    <s v="Consumer"/>
    <x v="1"/>
    <s v="Technology"/>
    <s v="Phones"/>
    <s v="Nice Phones"/>
    <n v="3978.8"/>
    <n v="9"/>
    <n v="0.05"/>
    <n v="-530.17999999999995"/>
    <s v="Loss"/>
  </r>
  <r>
    <s v="ORD-10212"/>
    <d v="2024-12-03T00:00:00"/>
    <d v="2024-12-04T00:00:00"/>
    <s v="Unknown"/>
    <s v="Home Office"/>
    <x v="1"/>
    <s v="Furniture"/>
    <s v="Tables"/>
    <s v="Write Tables"/>
    <n v="1836.44"/>
    <n v="10"/>
    <n v="0.1"/>
    <n v="104.81"/>
    <s v="Profit"/>
  </r>
  <r>
    <s v="ORD-10213"/>
    <d v="2023-07-26T00:00:00"/>
    <d v="2023-07-28T00:00:00"/>
    <s v="Bryan Lara"/>
    <s v="Corporate"/>
    <x v="0"/>
    <s v="Office Supplies"/>
    <s v="Binders"/>
    <s v="Positive Binders"/>
    <n v="1580.99"/>
    <n v="8"/>
    <n v="0.2"/>
    <n v="41.01"/>
    <s v="Profit"/>
  </r>
  <r>
    <s v="ORD-10214"/>
    <d v="2026-04-22T00:00:00"/>
    <d v="2026-04-24T00:00:00"/>
    <s v="Keith Wood"/>
    <s v="Home Office"/>
    <x v="1"/>
    <s v="Furniture"/>
    <s v="Tables"/>
    <s v="Ok Tables"/>
    <n v="2277.37"/>
    <n v="9"/>
    <n v="0.1"/>
    <n v="-294.73"/>
    <s v="Loss"/>
  </r>
  <r>
    <s v="ORD-10215"/>
    <d v="2025-07-29T00:00:00"/>
    <d v="2025-08-07T00:00:00"/>
    <s v="Samuel Barnett"/>
    <s v="Corporate"/>
    <x v="1"/>
    <s v="Furniture"/>
    <s v="Tables"/>
    <s v="Share Tables"/>
    <n v="4558.03"/>
    <n v="1"/>
    <n v="0"/>
    <n v="387.23"/>
    <s v="Profit"/>
  </r>
  <r>
    <s v="ORD-10216"/>
    <d v="2024-05-23T00:00:00"/>
    <d v="2024-05-27T00:00:00"/>
    <s v="Christian Hernandez"/>
    <s v="Corporate"/>
    <x v="1"/>
    <s v="Furniture"/>
    <s v="Tables"/>
    <s v="Region Tables"/>
    <n v="1762.81"/>
    <n v="9"/>
    <n v="0.1"/>
    <n v="467.61"/>
    <s v="Profit"/>
  </r>
  <r>
    <s v="ORD-10217"/>
    <d v="2023-06-21T00:00:00"/>
    <d v="2023-06-26T00:00:00"/>
    <s v="Andrew Maldonado"/>
    <s v="Home Office"/>
    <x v="1"/>
    <s v="Office Supplies"/>
    <s v="Storage"/>
    <s v="Seven Storage"/>
    <n v="669.59"/>
    <n v="5"/>
    <n v="0.2"/>
    <n v="62.55"/>
    <s v="Profit"/>
  </r>
  <r>
    <s v="ORD-10218"/>
    <d v="2025-06-16T00:00:00"/>
    <d v="2025-06-19T00:00:00"/>
    <s v="Robert Valdez"/>
    <s v="Corporate"/>
    <x v="0"/>
    <s v="Office Supplies"/>
    <s v="Storage"/>
    <s v="Increase Storage"/>
    <n v="897.44"/>
    <n v="10"/>
    <n v="0.2"/>
    <n v="265.73"/>
    <s v="Profit"/>
  </r>
  <r>
    <s v="ORD-10219"/>
    <d v="2024-09-06T00:00:00"/>
    <d v="2024-09-07T00:00:00"/>
    <s v="Victoria Smith"/>
    <s v="Home Office"/>
    <x v="2"/>
    <s v="Furniture"/>
    <s v="Chairs"/>
    <s v="Memory Chairs"/>
    <n v="4745.3100000000004"/>
    <n v="10"/>
    <n v="0.1"/>
    <n v="750.34"/>
    <s v="Profit"/>
  </r>
  <r>
    <s v="ORD-10220"/>
    <d v="2026-05-07T00:00:00"/>
    <d v="2026-05-08T00:00:00"/>
    <s v="Rebecca King"/>
    <s v="Corporate"/>
    <x v="2"/>
    <s v="Office Supplies"/>
    <s v="Storage"/>
    <s v="Cell Storage"/>
    <n v="2515.29"/>
    <n v="9"/>
    <n v="0.1"/>
    <n v="384.96"/>
    <s v="Profit"/>
  </r>
  <r>
    <s v="ORD-10221"/>
    <d v="2025-12-15T00:00:00"/>
    <d v="2025-12-22T00:00:00"/>
    <s v="Timothy Patterson"/>
    <s v="Corporate"/>
    <x v="2"/>
    <s v="Furniture"/>
    <s v="Bookcases"/>
    <s v="Seek Bookcases"/>
    <n v="1522.3"/>
    <n v="2"/>
    <n v="0.2"/>
    <n v="-254.3"/>
    <s v="Loss"/>
  </r>
  <r>
    <s v="ORD-10222"/>
    <d v="2023-09-15T00:00:00"/>
    <d v="2023-09-19T00:00:00"/>
    <s v="Tiffany Young"/>
    <s v="Corporate"/>
    <x v="3"/>
    <s v="Technology"/>
    <s v="Accessories"/>
    <s v="Specific Accessories"/>
    <n v="1733.95"/>
    <n v="3"/>
    <n v="0.1"/>
    <n v="474.78"/>
    <s v="Profit"/>
  </r>
  <r>
    <s v="ORD-10223"/>
    <d v="2023-09-28T00:00:00"/>
    <d v="2023-10-04T00:00:00"/>
    <s v="Scott Miller"/>
    <s v="Consumer"/>
    <x v="3"/>
    <s v="Technology"/>
    <s v="Phones"/>
    <s v="Until Phones"/>
    <n v="2599.15"/>
    <n v="2"/>
    <n v="0.1"/>
    <n v="-174.26"/>
    <s v="Loss"/>
  </r>
  <r>
    <s v="ORD-10224"/>
    <d v="2025-05-08T00:00:00"/>
    <d v="2025-05-11T00:00:00"/>
    <s v="Ryan Stephenson"/>
    <s v="Corporate"/>
    <x v="1"/>
    <s v="Technology"/>
    <s v="Phones"/>
    <s v="Pay Phones"/>
    <n v="529.22"/>
    <n v="5"/>
    <n v="0.15"/>
    <n v="145.69"/>
    <s v="Profit"/>
  </r>
  <r>
    <s v="ORD-10225"/>
    <d v="2025-01-08T00:00:00"/>
    <d v="2025-01-18T00:00:00"/>
    <s v="William Hughes"/>
    <s v="Home Office"/>
    <x v="2"/>
    <s v="Furniture"/>
    <s v="Tables"/>
    <s v="Kitchen Tables"/>
    <n v="3619.59"/>
    <n v="4"/>
    <n v="0.05"/>
    <n v="268.02"/>
    <s v="Profit"/>
  </r>
  <r>
    <s v="ORD-10226"/>
    <d v="2023-06-27T00:00:00"/>
    <d v="2023-07-05T00:00:00"/>
    <s v="Derek Taylor"/>
    <s v="Consumer"/>
    <x v="1"/>
    <s v="Technology"/>
    <s v="Accessories"/>
    <s v="Mother Accessories"/>
    <n v="164.72"/>
    <n v="7"/>
    <n v="0.2"/>
    <n v="8.48"/>
    <s v="Profit"/>
  </r>
  <r>
    <s v="ORD-10227"/>
    <d v="2024-02-13T00:00:00"/>
    <d v="2024-02-14T00:00:00"/>
    <s v="Deanna White"/>
    <s v="Home Office"/>
    <x v="2"/>
    <s v="Office Supplies"/>
    <s v="Paper"/>
    <s v="Day Paper"/>
    <n v="300.18"/>
    <n v="8"/>
    <n v="0.2"/>
    <n v="85.64"/>
    <s v="Profit"/>
  </r>
  <r>
    <s v="ORD-10228"/>
    <d v="2024-08-30T00:00:00"/>
    <d v="2024-08-31T00:00:00"/>
    <s v="Michael Rivera"/>
    <s v="Home Office"/>
    <x v="3"/>
    <s v="Technology"/>
    <s v="Laptops"/>
    <s v="Better Laptops"/>
    <n v="4243.5"/>
    <n v="7"/>
    <n v="0.05"/>
    <n v="1210.8900000000001"/>
    <s v="Profit"/>
  </r>
  <r>
    <s v="ORD-10229"/>
    <d v="2026-05-14T00:00:00"/>
    <d v="2026-05-15T00:00:00"/>
    <s v="Jonathan Carter"/>
    <s v="Home Office"/>
    <x v="3"/>
    <s v="Technology"/>
    <s v="Accessories"/>
    <s v="Already Accessories"/>
    <n v="2032.88"/>
    <n v="10"/>
    <n v="0.2"/>
    <n v="-188.94"/>
    <s v="Loss"/>
  </r>
  <r>
    <s v="ORD-10230"/>
    <d v="2025-02-11T00:00:00"/>
    <d v="2025-02-20T00:00:00"/>
    <s v="Blake Jones"/>
    <s v="Home Office"/>
    <x v="0"/>
    <s v="Furniture"/>
    <s v="Tables"/>
    <s v="Cold Tables"/>
    <n v="2279.25"/>
    <n v="9"/>
    <n v="0.1"/>
    <n v="578.75"/>
    <s v="Profit"/>
  </r>
  <r>
    <s v="ORD-10231"/>
    <d v="2024-10-01T00:00:00"/>
    <d v="2024-10-08T00:00:00"/>
    <s v="Julie Vega"/>
    <s v="Consumer"/>
    <x v="1"/>
    <s v="Furniture"/>
    <s v="Chairs"/>
    <s v="Real Chairs"/>
    <n v="1897.33"/>
    <n v="6"/>
    <n v="0.2"/>
    <n v="600.36"/>
    <s v="Profit"/>
  </r>
  <r>
    <s v="ORD-10232"/>
    <d v="2025-08-19T00:00:00"/>
    <d v="2025-08-26T00:00:00"/>
    <s v="Lisa Davis"/>
    <s v="Corporate"/>
    <x v="2"/>
    <s v="Office Supplies"/>
    <s v="Storage"/>
    <s v="Information Storage"/>
    <n v="2525.39"/>
    <n v="1"/>
    <n v="0"/>
    <n v="-314.74"/>
    <s v="Loss"/>
  </r>
  <r>
    <s v="ORD-10233"/>
    <d v="2023-06-03T00:00:00"/>
    <d v="2023-06-06T00:00:00"/>
    <s v="Margaret English"/>
    <s v="Home Office"/>
    <x v="3"/>
    <s v="Office Supplies"/>
    <s v="Paper"/>
    <s v="Unit Paper"/>
    <n v="3050.99"/>
    <n v="9"/>
    <n v="0.05"/>
    <n v="-59.86"/>
    <s v="Loss"/>
  </r>
  <r>
    <s v="ORD-10234"/>
    <d v="2024-07-06T00:00:00"/>
    <d v="2024-07-16T00:00:00"/>
    <s v="Alexander Bradford"/>
    <s v="Home Office"/>
    <x v="2"/>
    <s v="Furniture"/>
    <s v="Tables"/>
    <s v="Future Tables"/>
    <n v="3709.63"/>
    <n v="5"/>
    <n v="0.2"/>
    <n v="-55.62"/>
    <s v="Loss"/>
  </r>
  <r>
    <s v="ORD-10235"/>
    <d v="2024-07-02T00:00:00"/>
    <d v="2024-07-07T00:00:00"/>
    <s v="Sean Cantu"/>
    <s v="Consumer"/>
    <x v="2"/>
    <s v="Office Supplies"/>
    <s v="Storage"/>
    <s v="Ahead Storage"/>
    <n v="2400.7199999999998"/>
    <n v="1"/>
    <n v="0.1"/>
    <n v="-42.78"/>
    <s v="Loss"/>
  </r>
  <r>
    <s v="ORD-10236"/>
    <d v="2024-03-12T00:00:00"/>
    <d v="2024-03-13T00:00:00"/>
    <s v="Christine Powell"/>
    <s v="Home Office"/>
    <x v="1"/>
    <s v="Office Supplies"/>
    <s v="Paper"/>
    <s v="Month Paper"/>
    <n v="3004.7"/>
    <n v="5"/>
    <n v="0.2"/>
    <n v="692.88"/>
    <s v="Profit"/>
  </r>
  <r>
    <s v="ORD-10237"/>
    <d v="2025-04-28T00:00:00"/>
    <d v="2025-05-08T00:00:00"/>
    <s v="Brandon Hicks"/>
    <s v="Corporate"/>
    <x v="1"/>
    <s v="Office Supplies"/>
    <s v="Binders"/>
    <s v="Fight Binders"/>
    <n v="2428.2199999999998"/>
    <n v="9"/>
    <n v="0.2"/>
    <n v="477.51"/>
    <s v="Profit"/>
  </r>
  <r>
    <s v="ORD-10238"/>
    <d v="2023-09-10T00:00:00"/>
    <d v="2023-09-11T00:00:00"/>
    <s v="Morgan Jones"/>
    <s v="Corporate"/>
    <x v="2"/>
    <s v="Office Supplies"/>
    <s v="Binders"/>
    <s v="Article Binders"/>
    <n v="2884.22"/>
    <n v="2"/>
    <n v="0.05"/>
    <n v="-546.79999999999995"/>
    <s v="Loss"/>
  </r>
  <r>
    <s v="ORD-10239"/>
    <d v="2024-07-24T00:00:00"/>
    <d v="2024-07-28T00:00:00"/>
    <s v="Jason Gonzalez"/>
    <s v="Home Office"/>
    <x v="0"/>
    <s v="Furniture"/>
    <s v="Tables"/>
    <s v="Season Tables"/>
    <n v="2081.37"/>
    <n v="10"/>
    <n v="0.15"/>
    <n v="582.89"/>
    <s v="Profit"/>
  </r>
  <r>
    <s v="ORD-10240"/>
    <d v="2024-11-24T00:00:00"/>
    <d v="2024-12-03T00:00:00"/>
    <s v="Bobby Wood"/>
    <s v="Corporate"/>
    <x v="3"/>
    <s v="Office Supplies"/>
    <s v="Binders"/>
    <s v="Than Binders"/>
    <n v="1076.3399999999999"/>
    <n v="6"/>
    <n v="0.2"/>
    <n v="67.92"/>
    <s v="Profit"/>
  </r>
  <r>
    <s v="ORD-10241"/>
    <d v="2025-07-27T00:00:00"/>
    <d v="2025-08-05T00:00:00"/>
    <s v="Michael Payne"/>
    <s v="Home Office"/>
    <x v="3"/>
    <s v="Furniture"/>
    <s v="Tables"/>
    <s v="Understand Tables"/>
    <n v="1744.52"/>
    <n v="6"/>
    <n v="0.2"/>
    <n v="391.81"/>
    <s v="Profit"/>
  </r>
  <r>
    <s v="ORD-10242"/>
    <d v="2024-10-10T00:00:00"/>
    <d v="2024-10-14T00:00:00"/>
    <s v="Kathleen Hardin"/>
    <s v="Corporate"/>
    <x v="3"/>
    <s v="Office Supplies"/>
    <s v="Paper"/>
    <s v="Condition Paper"/>
    <n v="4788.82"/>
    <n v="5"/>
    <n v="0.2"/>
    <n v="-171.56"/>
    <s v="Loss"/>
  </r>
  <r>
    <s v="ORD-10243"/>
    <d v="2025-11-12T00:00:00"/>
    <d v="2025-11-20T00:00:00"/>
    <s v="Emily Wells"/>
    <s v="Home Office"/>
    <x v="3"/>
    <s v="Office Supplies"/>
    <s v="Binders"/>
    <s v="Behind Binders"/>
    <n v="1619.35"/>
    <n v="6"/>
    <n v="0.2"/>
    <n v="507.72"/>
    <s v="Profit"/>
  </r>
  <r>
    <s v="ORD-10244"/>
    <d v="2025-05-05T00:00:00"/>
    <d v="2025-05-15T00:00:00"/>
    <s v="Rose Taylor"/>
    <s v="Consumer"/>
    <x v="3"/>
    <s v="Technology"/>
    <s v="Phones"/>
    <s v="Home Phones"/>
    <n v="3399.28"/>
    <n v="7"/>
    <n v="0.15"/>
    <n v="850.19"/>
    <s v="Profit"/>
  </r>
  <r>
    <s v="ORD-10245"/>
    <d v="2024-01-29T00:00:00"/>
    <d v="2024-01-31T00:00:00"/>
    <s v="Lauren Robinson"/>
    <s v="Corporate"/>
    <x v="1"/>
    <s v="Furniture"/>
    <s v="Tables"/>
    <s v="Paper Tables"/>
    <n v="1764.5"/>
    <n v="8"/>
    <n v="0.2"/>
    <n v="-104.03"/>
    <s v="Loss"/>
  </r>
  <r>
    <s v="ORD-10246"/>
    <d v="2025-10-08T00:00:00"/>
    <d v="2025-10-13T00:00:00"/>
    <s v="Toni Melendez"/>
    <s v="Home Office"/>
    <x v="1"/>
    <s v="Furniture"/>
    <s v="Bookcases"/>
    <s v="Any Bookcases"/>
    <n v="4668.47"/>
    <n v="5"/>
    <n v="0.05"/>
    <n v="-653.24"/>
    <s v="Loss"/>
  </r>
  <r>
    <s v="ORD-10247"/>
    <d v="2024-09-22T00:00:00"/>
    <d v="2024-10-01T00:00:00"/>
    <s v="Brenda Cameron"/>
    <s v="Corporate"/>
    <x v="2"/>
    <s v="Furniture"/>
    <s v="Chairs"/>
    <s v="Employee Chairs"/>
    <n v="1167.07"/>
    <n v="4"/>
    <n v="0"/>
    <n v="-169.1"/>
    <s v="Loss"/>
  </r>
  <r>
    <s v="ORD-10248"/>
    <d v="2023-11-19T00:00:00"/>
    <d v="2023-11-22T00:00:00"/>
    <s v="Samantha Briggs"/>
    <s v="Corporate"/>
    <x v="2"/>
    <s v="Furniture"/>
    <s v="Bookcases"/>
    <s v="Painting Bookcases"/>
    <n v="75.650000000000006"/>
    <n v="9"/>
    <n v="0.05"/>
    <n v="1.8"/>
    <s v="Profit"/>
  </r>
  <r>
    <s v="ORD-10249"/>
    <d v="2026-02-05T00:00:00"/>
    <d v="2026-02-10T00:00:00"/>
    <s v="Joseph Frazier"/>
    <s v="Consumer"/>
    <x v="0"/>
    <s v="Office Supplies"/>
    <s v="Binders"/>
    <s v="Few Binders"/>
    <n v="1639.78"/>
    <n v="1"/>
    <n v="0"/>
    <n v="260.33999999999997"/>
    <s v="Profit"/>
  </r>
  <r>
    <s v="ORD-10250"/>
    <d v="2026-03-15T00:00:00"/>
    <d v="2026-03-18T00:00:00"/>
    <s v="Zachary Thornton"/>
    <s v="Consumer"/>
    <x v="3"/>
    <s v="Furniture"/>
    <s v="Tables"/>
    <s v="Civil Tables"/>
    <n v="4672.92"/>
    <n v="1"/>
    <n v="0.15"/>
    <n v="1090.56"/>
    <s v="Profit"/>
  </r>
  <r>
    <s v="ORD-10251"/>
    <d v="2023-09-25T00:00:00"/>
    <d v="2023-09-30T00:00:00"/>
    <s v="Unknown"/>
    <s v="Home Office"/>
    <x v="2"/>
    <s v="Furniture"/>
    <s v="Chairs"/>
    <s v="Marriage Chairs"/>
    <n v="2861.41"/>
    <n v="2"/>
    <n v="0.1"/>
    <n v="-124.45"/>
    <s v="Loss"/>
  </r>
  <r>
    <s v="ORD-10252"/>
    <s v="15-09-2025"/>
    <d v="2025-09-23T00:00:00"/>
    <s v="Amanda Green"/>
    <s v="Corporate"/>
    <x v="3"/>
    <s v="Furniture"/>
    <s v="Bookcases"/>
    <s v="Or Bookcases"/>
    <n v="1400.54"/>
    <n v="2"/>
    <n v="0.1"/>
    <n v="-154.94"/>
    <s v="Loss"/>
  </r>
  <r>
    <s v="ORD-10253"/>
    <d v="2024-11-12T00:00:00"/>
    <d v="2024-11-13T00:00:00"/>
    <s v="Donna Martin"/>
    <s v="Consumer"/>
    <x v="1"/>
    <s v="Office Supplies"/>
    <s v="Binders"/>
    <s v="Pick Binders"/>
    <n v="3696.26"/>
    <n v="5"/>
    <n v="0.2"/>
    <n v="631.77"/>
    <s v="Profit"/>
  </r>
  <r>
    <s v="ORD-10254"/>
    <d v="2026-03-12T00:00:00"/>
    <d v="2026-03-19T00:00:00"/>
    <s v="Jessica Hansen"/>
    <s v="Home Office"/>
    <x v="0"/>
    <s v="Office Supplies"/>
    <s v="Storage"/>
    <s v="Cold Storage"/>
    <n v="4143.6000000000004"/>
    <n v="9"/>
    <n v="0.1"/>
    <n v="-631.04999999999995"/>
    <s v="Loss"/>
  </r>
  <r>
    <s v="ORD-10255"/>
    <d v="2023-10-09T00:00:00"/>
    <d v="2023-10-17T00:00:00"/>
    <s v="Mrs. Jessica Padilla Dds"/>
    <s v="Consumer"/>
    <x v="2"/>
    <s v="Furniture"/>
    <s v="Chairs"/>
    <s v="Some Chairs"/>
    <n v="1651.83"/>
    <n v="4"/>
    <n v="0"/>
    <n v="-93.44"/>
    <s v="Loss"/>
  </r>
  <r>
    <s v="ORD-10256"/>
    <d v="2024-09-26T00:00:00"/>
    <d v="2024-10-01T00:00:00"/>
    <s v="Paige Shah"/>
    <s v="Corporate"/>
    <x v="1"/>
    <s v="Technology"/>
    <s v="Accessories"/>
    <s v="Lawyer Accessories"/>
    <n v="2933.18"/>
    <n v="10"/>
    <n v="0"/>
    <n v="-164.69"/>
    <s v="Loss"/>
  </r>
  <r>
    <s v="ORD-10257"/>
    <d v="2025-10-02T00:00:00"/>
    <d v="2025-10-04T00:00:00"/>
    <s v="Javier Lewis"/>
    <s v="Home Office"/>
    <x v="3"/>
    <s v="Furniture"/>
    <s v="Bookcases"/>
    <s v="Pull Bookcases"/>
    <n v="2353.71"/>
    <n v="3"/>
    <n v="0.15"/>
    <n v="417.41"/>
    <s v="Profit"/>
  </r>
  <r>
    <s v="ORD-10258"/>
    <d v="2023-08-03T00:00:00"/>
    <d v="2023-08-08T00:00:00"/>
    <s v="Dawn Hill"/>
    <s v="Corporate"/>
    <x v="1"/>
    <s v="Office Supplies"/>
    <s v="Binders"/>
    <s v="Ability Binders"/>
    <n v="1869.34"/>
    <n v="4"/>
    <n v="0.05"/>
    <n v="610.42999999999995"/>
    <s v="Profit"/>
  </r>
  <r>
    <s v="ORD-10259"/>
    <d v="2023-10-16T00:00:00"/>
    <d v="2023-10-26T00:00:00"/>
    <s v="Ricky Mora"/>
    <s v="Home Office"/>
    <x v="1"/>
    <s v="Technology"/>
    <s v="Laptops"/>
    <s v="Do Laptops"/>
    <n v="1899.44"/>
    <n v="9"/>
    <n v="0.15"/>
    <n v="411.31"/>
    <s v="Profit"/>
  </r>
  <r>
    <s v="ORD-10260"/>
    <d v="2023-08-04T00:00:00"/>
    <d v="2023-08-14T00:00:00"/>
    <s v="John Johnson"/>
    <s v="Home Office"/>
    <x v="3"/>
    <s v="Furniture"/>
    <s v="Bookcases"/>
    <s v="Option Bookcases"/>
    <n v="4372.0200000000004"/>
    <n v="2"/>
    <n v="0.2"/>
    <n v="199.85"/>
    <s v="Profit"/>
  </r>
  <r>
    <s v="ORD-10261"/>
    <d v="2023-06-07T00:00:00"/>
    <d v="2023-06-09T00:00:00"/>
    <s v="Melissa Murphy"/>
    <s v="Home Office"/>
    <x v="1"/>
    <s v="Furniture"/>
    <s v="Bookcases"/>
    <s v="Generation Bookcases"/>
    <n v="355.7"/>
    <n v="9"/>
    <n v="0.2"/>
    <n v="-31.59"/>
    <s v="Loss"/>
  </r>
  <r>
    <s v="ORD-10262"/>
    <d v="2024-07-28T00:00:00"/>
    <d v="2024-08-06T00:00:00"/>
    <s v="Danielle Hodge"/>
    <s v="Consumer"/>
    <x v="2"/>
    <s v="Furniture"/>
    <s v="Tables"/>
    <s v="Year Tables"/>
    <n v="2237.11"/>
    <n v="4"/>
    <n v="0.2"/>
    <n v="270.08999999999997"/>
    <s v="Profit"/>
  </r>
  <r>
    <s v="ORD-10263"/>
    <d v="2025-11-19T00:00:00"/>
    <d v="2025-11-22T00:00:00"/>
    <s v="Allen Trevino"/>
    <s v="Corporate"/>
    <x v="3"/>
    <s v="Furniture"/>
    <s v="Tables"/>
    <s v="Necessary Tables"/>
    <n v="2590.58"/>
    <n v="8"/>
    <n v="0.2"/>
    <n v="-435.85"/>
    <s v="Loss"/>
  </r>
  <r>
    <s v="ORD-10264"/>
    <d v="2024-05-11T00:00:00"/>
    <d v="2024-05-18T00:00:00"/>
    <s v="Mr. David Palmer"/>
    <s v="Consumer"/>
    <x v="0"/>
    <s v="Office Supplies"/>
    <s v="Binders"/>
    <s v="Return Binders"/>
    <n v="1309.56"/>
    <n v="1"/>
    <n v="0.2"/>
    <n v="-104.97"/>
    <s v="Loss"/>
  </r>
  <r>
    <s v="ORD-10265"/>
    <d v="2023-12-11T00:00:00"/>
    <d v="2023-12-13T00:00:00"/>
    <s v="Megan Miranda"/>
    <s v="Corporate"/>
    <x v="0"/>
    <s v="Technology"/>
    <s v="Accessories"/>
    <s v="Our Accessories"/>
    <n v="2728.76"/>
    <n v="1"/>
    <n v="0"/>
    <n v="934.26"/>
    <s v="Profit"/>
  </r>
  <r>
    <s v="ORD-10266"/>
    <d v="2023-11-20T00:00:00"/>
    <d v="2023-11-23T00:00:00"/>
    <s v="Marcus Smith"/>
    <s v="Corporate"/>
    <x v="2"/>
    <s v="Technology"/>
    <s v="Accessories"/>
    <s v="Such Accessories"/>
    <n v="3856.41"/>
    <n v="7"/>
    <n v="0.1"/>
    <n v="1334.59"/>
    <s v="Profit"/>
  </r>
  <r>
    <s v="ORD-10267"/>
    <d v="2026-02-01T00:00:00"/>
    <d v="2026-02-03T00:00:00"/>
    <s v="Carol Wright"/>
    <s v="Corporate"/>
    <x v="0"/>
    <s v="Technology"/>
    <s v="Accessories"/>
    <s v="Exist Accessories"/>
    <n v="3429.52"/>
    <n v="9"/>
    <n v="0.05"/>
    <n v="546.82000000000005"/>
    <s v="Profit"/>
  </r>
  <r>
    <s v="ORD-10268"/>
    <d v="2024-09-20T00:00:00"/>
    <d v="2024-09-27T00:00:00"/>
    <s v="Jessica Hayes"/>
    <s v="Corporate"/>
    <x v="2"/>
    <s v="Furniture"/>
    <s v="Bookcases"/>
    <s v="Toward Bookcases"/>
    <n v="2667.77"/>
    <n v="4"/>
    <n v="0"/>
    <n v="575.97"/>
    <s v="Profit"/>
  </r>
  <r>
    <s v="ORD-10269"/>
    <d v="2025-10-28T00:00:00"/>
    <d v="2025-11-06T00:00:00"/>
    <s v="Cynthia Winters"/>
    <s v="Corporate"/>
    <x v="1"/>
    <s v="Office Supplies"/>
    <s v="Storage"/>
    <s v="Boy Storage"/>
    <n v="2149.4299999999998"/>
    <n v="7"/>
    <n v="0.05"/>
    <n v="-137.28"/>
    <s v="Loss"/>
  </r>
  <r>
    <s v="ORD-10270"/>
    <d v="2023-09-22T00:00:00"/>
    <d v="2023-09-24T00:00:00"/>
    <s v="Robert Benitez"/>
    <s v="Consumer"/>
    <x v="1"/>
    <s v="Technology"/>
    <s v="Phones"/>
    <s v="Environmental Phones"/>
    <n v="209.48"/>
    <n v="7"/>
    <n v="0.2"/>
    <n v="46.36"/>
    <s v="Profit"/>
  </r>
  <r>
    <s v="ORD-10271"/>
    <d v="2024-03-08T00:00:00"/>
    <d v="2024-03-10T00:00:00"/>
    <s v="Deborah Scott"/>
    <s v="Consumer"/>
    <x v="1"/>
    <s v="Furniture"/>
    <s v="Chairs"/>
    <s v="Picture Chairs"/>
    <n v="2990.02"/>
    <n v="8"/>
    <n v="0.2"/>
    <n v="507.15"/>
    <s v="Profit"/>
  </r>
  <r>
    <s v="ORD-10272"/>
    <d v="2023-11-09T00:00:00"/>
    <d v="2023-11-16T00:00:00"/>
    <s v="Eric Taylor"/>
    <s v="Consumer"/>
    <x v="1"/>
    <s v="Office Supplies"/>
    <s v="Binders"/>
    <s v="Three Binders"/>
    <n v="2222.87"/>
    <n v="9"/>
    <n v="0.05"/>
    <n v="477.72"/>
    <s v="Profit"/>
  </r>
  <r>
    <s v="ORD-10273"/>
    <d v="2023-10-15T00:00:00"/>
    <d v="2023-10-19T00:00:00"/>
    <s v="Stephen Nguyen"/>
    <s v="Home Office"/>
    <x v="3"/>
    <s v="Office Supplies"/>
    <s v="Paper"/>
    <s v="Interesting Paper"/>
    <n v="4088.14"/>
    <n v="10"/>
    <n v="0.1"/>
    <n v="480.81"/>
    <s v="Profit"/>
  </r>
  <r>
    <s v="ORD-10274"/>
    <d v="2026-01-09T00:00:00"/>
    <d v="2026-01-12T00:00:00"/>
    <s v="Jon Eaton Jr."/>
    <s v="Corporate"/>
    <x v="0"/>
    <s v="Furniture"/>
    <s v="Tables"/>
    <s v="Although Tables"/>
    <n v="4929.1899999999996"/>
    <n v="9"/>
    <n v="0.05"/>
    <n v="135.35"/>
    <s v="Profit"/>
  </r>
  <r>
    <s v="ORD-10275"/>
    <d v="2024-08-19T00:00:00"/>
    <d v="2024-08-22T00:00:00"/>
    <s v="Christopher Riley"/>
    <s v="Corporate"/>
    <x v="2"/>
    <s v="Office Supplies"/>
    <s v="Storage"/>
    <s v="Move Storage"/>
    <n v="3148.67"/>
    <n v="7"/>
    <n v="0.2"/>
    <n v="228.57"/>
    <s v="Profit"/>
  </r>
  <r>
    <s v="ORD-10276"/>
    <d v="2026-02-22T00:00:00"/>
    <d v="2026-03-01T00:00:00"/>
    <s v="Laura Jimenez"/>
    <s v="Home Office"/>
    <x v="2"/>
    <s v="Office Supplies"/>
    <s v="Paper"/>
    <s v="Must Paper"/>
    <n v="2070.88"/>
    <n v="5"/>
    <n v="0.15"/>
    <n v="-204.74"/>
    <s v="Loss"/>
  </r>
  <r>
    <s v="ORD-10277"/>
    <d v="2024-06-25T00:00:00"/>
    <d v="2024-06-30T00:00:00"/>
    <s v="Kevin Randall"/>
    <s v="Home Office"/>
    <x v="2"/>
    <s v="Furniture"/>
    <s v="Chairs"/>
    <s v="Magazine Chairs"/>
    <n v="4294.83"/>
    <n v="3"/>
    <n v="0.15"/>
    <n v="1301.8"/>
    <s v="Profit"/>
  </r>
  <r>
    <s v="ORD-10278"/>
    <d v="2025-12-25T00:00:00"/>
    <d v="2026-01-03T00:00:00"/>
    <s v="Tyler Cabrera"/>
    <s v="Home Office"/>
    <x v="0"/>
    <s v="Technology"/>
    <s v="Laptops"/>
    <s v="Impact Laptops"/>
    <n v="713.76"/>
    <n v="4"/>
    <n v="0.1"/>
    <n v="-62.93"/>
    <s v="Loss"/>
  </r>
  <r>
    <s v="ORD-10279"/>
    <d v="2025-04-18T00:00:00"/>
    <d v="2025-04-20T00:00:00"/>
    <s v="Terri Freeman"/>
    <s v="Home Office"/>
    <x v="0"/>
    <s v="Technology"/>
    <s v="Accessories"/>
    <s v="Course Accessories"/>
    <n v="2701.4"/>
    <n v="4"/>
    <n v="0"/>
    <n v="-141.41"/>
    <s v="Loss"/>
  </r>
  <r>
    <s v="ORD-10280"/>
    <d v="2025-03-12T00:00:00"/>
    <d v="2025-03-22T00:00:00"/>
    <s v="Christine Hunter"/>
    <s v="Corporate"/>
    <x v="3"/>
    <s v="Furniture"/>
    <s v="Chairs"/>
    <s v="General Chairs"/>
    <n v="3635.31"/>
    <n v="9"/>
    <n v="0.05"/>
    <n v="231.45"/>
    <s v="Profit"/>
  </r>
  <r>
    <s v="ORD-10281"/>
    <d v="2025-05-27T00:00:00"/>
    <d v="2025-05-31T00:00:00"/>
    <s v="Susan Burton"/>
    <s v="Corporate"/>
    <x v="1"/>
    <s v="Furniture"/>
    <s v="Chairs"/>
    <s v="Security Chairs"/>
    <n v="4812.28"/>
    <n v="2"/>
    <n v="0.2"/>
    <n v="1683.17"/>
    <s v="Profit"/>
  </r>
  <r>
    <s v="ORD-10282"/>
    <d v="2023-08-19T00:00:00"/>
    <d v="2023-08-23T00:00:00"/>
    <s v="Unknown"/>
    <s v="Corporate"/>
    <x v="2"/>
    <s v="Office Supplies"/>
    <s v="Storage"/>
    <s v="Trip Storage"/>
    <n v="2013.33"/>
    <n v="4"/>
    <n v="0.2"/>
    <n v="-46.53"/>
    <s v="Loss"/>
  </r>
  <r>
    <s v="ORD-10283"/>
    <d v="2023-09-07T00:00:00"/>
    <d v="2023-09-13T00:00:00"/>
    <s v="Christopher Silva"/>
    <s v="Home Office"/>
    <x v="0"/>
    <s v="Technology"/>
    <s v="Laptops"/>
    <s v="Yard Laptops"/>
    <n v="1576.69"/>
    <n v="6"/>
    <n v="0.2"/>
    <n v="450.22"/>
    <s v="Profit"/>
  </r>
  <r>
    <s v="ORD-10284"/>
    <d v="2024-10-31T00:00:00"/>
    <d v="2024-11-06T00:00:00"/>
    <s v="Mrs. Elizabeth Fernandez Md"/>
    <s v="Home Office"/>
    <x v="1"/>
    <s v="Office Supplies"/>
    <s v="Paper"/>
    <s v="Hear Paper"/>
    <n v="4575.9399999999996"/>
    <n v="6"/>
    <n v="0.1"/>
    <n v="126.58"/>
    <s v="Profit"/>
  </r>
  <r>
    <s v="ORD-10285"/>
    <d v="2023-12-11T00:00:00"/>
    <d v="2023-12-12T00:00:00"/>
    <s v="Monica Tucker"/>
    <s v="Corporate"/>
    <x v="1"/>
    <s v="Office Supplies"/>
    <s v="Binders"/>
    <s v="North Binders"/>
    <n v="1340.83"/>
    <n v="10"/>
    <n v="0.2"/>
    <n v="262.81"/>
    <s v="Profit"/>
  </r>
  <r>
    <s v="ORD-10286"/>
    <d v="2025-06-26T00:00:00"/>
    <d v="2025-06-30T00:00:00"/>
    <s v="Kayla Austin Dds"/>
    <s v="Home Office"/>
    <x v="3"/>
    <s v="Furniture"/>
    <s v="Tables"/>
    <s v="Field Tables"/>
    <n v="1930.21"/>
    <n v="4"/>
    <n v="0.15"/>
    <n v="198.53"/>
    <s v="Profit"/>
  </r>
  <r>
    <s v="ORD-10287"/>
    <d v="2023-09-13T00:00:00"/>
    <d v="2023-09-21T00:00:00"/>
    <s v="Amanda Jones"/>
    <s v="Home Office"/>
    <x v="2"/>
    <s v="Technology"/>
    <s v="Accessories"/>
    <s v="Skill Accessories"/>
    <n v="2331.1"/>
    <n v="6"/>
    <n v="0.05"/>
    <n v="-286.77999999999997"/>
    <s v="Loss"/>
  </r>
  <r>
    <s v="ORD-10288"/>
    <d v="2023-06-11T00:00:00"/>
    <d v="2023-06-12T00:00:00"/>
    <s v="Nicholas Castro"/>
    <s v="Consumer"/>
    <x v="2"/>
    <s v="Furniture"/>
    <s v="Bookcases"/>
    <s v="Travel Bookcases"/>
    <n v="2643.52"/>
    <n v="2"/>
    <n v="0.2"/>
    <n v="-458.17"/>
    <s v="Loss"/>
  </r>
  <r>
    <s v="ORD-10289"/>
    <d v="2024-06-15T00:00:00"/>
    <d v="2024-06-19T00:00:00"/>
    <s v="Alexandra Pitts"/>
    <s v="Corporate"/>
    <x v="3"/>
    <s v="Furniture"/>
    <s v="Bookcases"/>
    <s v="Several Bookcases"/>
    <n v="386.44"/>
    <n v="3"/>
    <n v="0"/>
    <n v="-30.8"/>
    <s v="Loss"/>
  </r>
  <r>
    <s v="ORD-10290"/>
    <d v="2024-04-14T00:00:00"/>
    <d v="2024-04-24T00:00:00"/>
    <s v="Randy Johnson"/>
    <s v="Home Office"/>
    <x v="2"/>
    <s v="Furniture"/>
    <s v="Bookcases"/>
    <s v="Blue Bookcases"/>
    <n v="4568.12"/>
    <n v="8"/>
    <n v="0"/>
    <n v="-897.01"/>
    <s v="Loss"/>
  </r>
  <r>
    <s v="ORD-10291"/>
    <d v="2025-07-22T00:00:00"/>
    <d v="2025-07-31T00:00:00"/>
    <s v="Amber Strong"/>
    <s v="Home Office"/>
    <x v="2"/>
    <s v="Furniture"/>
    <s v="Chairs"/>
    <s v="Late Chairs"/>
    <n v="3624.85"/>
    <n v="9"/>
    <n v="0.1"/>
    <n v="-690.79"/>
    <s v="Loss"/>
  </r>
  <r>
    <s v="ORD-10292"/>
    <d v="2024-12-08T00:00:00"/>
    <d v="2024-12-10T00:00:00"/>
    <s v="Mark Harris"/>
    <s v="Corporate"/>
    <x v="3"/>
    <s v="Furniture"/>
    <s v="Chairs"/>
    <s v="Letter Chairs"/>
    <n v="2645.71"/>
    <n v="4"/>
    <n v="0.05"/>
    <n v="372.73"/>
    <s v="Profit"/>
  </r>
  <r>
    <s v="ORD-10293"/>
    <d v="2026-03-08T00:00:00"/>
    <d v="2026-03-10T00:00:00"/>
    <s v="Jason Perez"/>
    <s v="Home Office"/>
    <x v="1"/>
    <s v="Technology"/>
    <s v="Accessories"/>
    <s v="Technology Accessories"/>
    <n v="1896.61"/>
    <n v="7"/>
    <n v="0.15"/>
    <n v="210.05"/>
    <s v="Profit"/>
  </r>
  <r>
    <s v="ORD-10294"/>
    <s v="20-10-2024"/>
    <d v="2024-10-22T00:00:00"/>
    <s v="Roberto Wells"/>
    <s v="Corporate"/>
    <x v="2"/>
    <s v="Technology"/>
    <s v="Laptops"/>
    <s v="President Laptops"/>
    <n v="3285.99"/>
    <n v="1"/>
    <n v="0"/>
    <n v="75.260000000000005"/>
    <s v="Profit"/>
  </r>
  <r>
    <s v="ORD-10295"/>
    <d v="2024-07-18T00:00:00"/>
    <d v="2024-07-19T00:00:00"/>
    <s v="Christopher Garcia"/>
    <s v="Home Office"/>
    <x v="3"/>
    <s v="Furniture"/>
    <s v="Bookcases"/>
    <s v="Across Bookcases"/>
    <n v="3529.08"/>
    <n v="2"/>
    <n v="0.15"/>
    <n v="934.96"/>
    <s v="Profit"/>
  </r>
  <r>
    <s v="ORD-10296"/>
    <d v="2024-07-01T00:00:00"/>
    <d v="2024-07-10T00:00:00"/>
    <s v="Elizabeth Werner"/>
    <s v="Home Office"/>
    <x v="2"/>
    <s v="Office Supplies"/>
    <s v="Binders"/>
    <s v="Move Binders"/>
    <n v="4599.8"/>
    <n v="4"/>
    <n v="0.05"/>
    <n v="1360.16"/>
    <s v="Profit"/>
  </r>
  <r>
    <s v="ORD-10297"/>
    <d v="2024-12-10T00:00:00"/>
    <d v="2024-12-12T00:00:00"/>
    <s v="Ashley Davis"/>
    <s v="Consumer"/>
    <x v="1"/>
    <s v="Technology"/>
    <s v="Phones"/>
    <s v="Black Phones"/>
    <n v="3437.92"/>
    <n v="5"/>
    <n v="0.2"/>
    <n v="377.93"/>
    <s v="Profit"/>
  </r>
  <r>
    <s v="ORD-10298"/>
    <d v="2024-02-06T00:00:00"/>
    <d v="2024-02-10T00:00:00"/>
    <s v="Mary Barnes"/>
    <s v="Home Office"/>
    <x v="1"/>
    <s v="Technology"/>
    <s v="Phones"/>
    <s v="Election Phones"/>
    <n v="2955.83"/>
    <n v="7"/>
    <n v="0"/>
    <n v="-104.63"/>
    <s v="Loss"/>
  </r>
  <r>
    <s v="ORD-10299"/>
    <d v="2026-03-15T00:00:00"/>
    <d v="2026-03-24T00:00:00"/>
    <s v="Lori King"/>
    <s v="Home Office"/>
    <x v="3"/>
    <s v="Office Supplies"/>
    <s v="Paper"/>
    <s v="Fall Paper"/>
    <n v="1692.06"/>
    <n v="3"/>
    <n v="0.2"/>
    <n v="335.52"/>
    <s v="Profit"/>
  </r>
  <r>
    <s v="ORD-10300"/>
    <d v="2025-02-27T00:00:00"/>
    <d v="2025-03-06T00:00:00"/>
    <s v="Unknown"/>
    <s v="Home Office"/>
    <x v="2"/>
    <s v="Furniture"/>
    <s v="Chairs"/>
    <s v="Character Chairs"/>
    <n v="1199.1099999999999"/>
    <n v="2"/>
    <n v="0.1"/>
    <n v="159.29"/>
    <s v="Profit"/>
  </r>
  <r>
    <s v="ORD-10301"/>
    <d v="2024-08-23T00:00:00"/>
    <d v="2024-08-28T00:00:00"/>
    <s v="Wanda Graham"/>
    <s v="Home Office"/>
    <x v="2"/>
    <s v="Technology"/>
    <s v="Phones"/>
    <s v="Relationship Phones"/>
    <n v="3928.56"/>
    <n v="8"/>
    <n v="0.15"/>
    <n v="-292.77"/>
    <s v="Loss"/>
  </r>
  <r>
    <s v="ORD-10302"/>
    <d v="2026-02-20T00:00:00"/>
    <d v="2026-03-02T00:00:00"/>
    <s v="Jessica Berger"/>
    <s v="Consumer"/>
    <x v="0"/>
    <s v="Technology"/>
    <s v="Phones"/>
    <s v="Project Phones"/>
    <n v="3320.33"/>
    <n v="2"/>
    <n v="0.2"/>
    <n v="-124.65"/>
    <s v="Loss"/>
  </r>
  <r>
    <s v="ORD-10303"/>
    <d v="2026-05-19T00:00:00"/>
    <d v="2026-05-22T00:00:00"/>
    <s v="Cassie Valdez"/>
    <s v="Corporate"/>
    <x v="0"/>
    <s v="Furniture"/>
    <s v="Tables"/>
    <s v="Sure Tables"/>
    <n v="1931"/>
    <n v="3"/>
    <n v="0.2"/>
    <n v="27.6"/>
    <s v="Profit"/>
  </r>
  <r>
    <s v="ORD-10304"/>
    <d v="2023-12-29T00:00:00"/>
    <d v="2024-01-03T00:00:00"/>
    <s v="Michael Cordova"/>
    <s v="Consumer"/>
    <x v="2"/>
    <s v="Furniture"/>
    <s v="Chairs"/>
    <s v="Reflect Chairs"/>
    <n v="2251.44"/>
    <n v="5"/>
    <n v="0"/>
    <n v="-286.20999999999998"/>
    <s v="Loss"/>
  </r>
  <r>
    <s v="ORD-10305"/>
    <d v="2025-09-30T00:00:00"/>
    <d v="2025-10-09T00:00:00"/>
    <s v="Mary Williams"/>
    <s v="Home Office"/>
    <x v="0"/>
    <s v="Technology"/>
    <s v="Laptops"/>
    <s v="Near Laptops"/>
    <n v="2586.58"/>
    <n v="2"/>
    <n v="0"/>
    <n v="-389.82"/>
    <s v="Loss"/>
  </r>
  <r>
    <s v="ORD-10306"/>
    <d v="2024-03-23T00:00:00"/>
    <d v="2024-03-29T00:00:00"/>
    <s v="Cheryl Ramos"/>
    <s v="Consumer"/>
    <x v="1"/>
    <s v="Office Supplies"/>
    <s v="Storage"/>
    <s v="Onto Storage"/>
    <n v="4325.3999999999996"/>
    <n v="1"/>
    <n v="0.1"/>
    <n v="119.36"/>
    <s v="Profit"/>
  </r>
  <r>
    <s v="ORD-10307"/>
    <d v="2024-07-08T00:00:00"/>
    <d v="2024-07-11T00:00:00"/>
    <s v="Unknown"/>
    <s v="Corporate"/>
    <x v="2"/>
    <s v="Office Supplies"/>
    <s v="Storage"/>
    <s v="Require Storage"/>
    <n v="3442.31"/>
    <n v="3"/>
    <n v="0.05"/>
    <n v="-179.33"/>
    <s v="Loss"/>
  </r>
  <r>
    <s v="ORD-10308"/>
    <d v="2024-09-08T00:00:00"/>
    <d v="2024-09-11T00:00:00"/>
    <s v="Michael Jackson"/>
    <s v="Consumer"/>
    <x v="3"/>
    <s v="Furniture"/>
    <s v="Chairs"/>
    <s v="Decade Chairs"/>
    <n v="2201.65"/>
    <n v="7"/>
    <n v="0.1"/>
    <n v="146.03"/>
    <s v="Profit"/>
  </r>
  <r>
    <s v="ORD-10309"/>
    <d v="2025-12-11T00:00:00"/>
    <d v="2025-12-19T00:00:00"/>
    <s v="Veronica Andrews"/>
    <s v="Corporate"/>
    <x v="0"/>
    <s v="Technology"/>
    <s v="Phones"/>
    <s v="Especially Phones"/>
    <n v="2989.34"/>
    <n v="4"/>
    <n v="0.15"/>
    <n v="-421.99"/>
    <s v="Loss"/>
  </r>
  <r>
    <s v="ORD-10310"/>
    <d v="2024-12-09T00:00:00"/>
    <d v="2024-12-19T00:00:00"/>
    <s v="Regina Delgado"/>
    <s v="Home Office"/>
    <x v="2"/>
    <s v="Technology"/>
    <s v="Accessories"/>
    <s v="Region Accessories"/>
    <n v="1930.46"/>
    <n v="6"/>
    <n v="0.15"/>
    <n v="-30.68"/>
    <s v="Loss"/>
  </r>
  <r>
    <s v="ORD-10311"/>
    <d v="2025-10-21T00:00:00"/>
    <d v="2025-10-31T00:00:00"/>
    <s v="Tonya Mills"/>
    <s v="Corporate"/>
    <x v="3"/>
    <s v="Technology"/>
    <s v="Accessories"/>
    <s v="Go Accessories"/>
    <n v="4739.03"/>
    <n v="4"/>
    <n v="0.15"/>
    <n v="-128.9"/>
    <s v="Loss"/>
  </r>
  <r>
    <s v="ORD-10312"/>
    <d v="2025-03-07T00:00:00"/>
    <d v="2025-03-15T00:00:00"/>
    <s v="Brandon Harris"/>
    <s v="Corporate"/>
    <x v="3"/>
    <s v="Technology"/>
    <s v="Laptops"/>
    <s v="Everybody Laptops"/>
    <n v="4840.43"/>
    <n v="4"/>
    <n v="0.1"/>
    <n v="33.06"/>
    <s v="Profit"/>
  </r>
  <r>
    <s v="ORD-10313"/>
    <d v="2026-01-09T00:00:00"/>
    <d v="2026-01-13T00:00:00"/>
    <s v="Donald Green"/>
    <s v="Home Office"/>
    <x v="0"/>
    <s v="Furniture"/>
    <s v="Bookcases"/>
    <s v="Treatment Bookcases"/>
    <n v="2981.52"/>
    <n v="9"/>
    <n v="0.05"/>
    <n v="521.59"/>
    <s v="Profit"/>
  </r>
  <r>
    <s v="ORD-10314"/>
    <d v="2026-02-03T00:00:00"/>
    <d v="2026-02-07T00:00:00"/>
    <s v="Sean Ball"/>
    <s v="Corporate"/>
    <x v="2"/>
    <s v="Office Supplies"/>
    <s v="Paper"/>
    <s v="Here Paper"/>
    <n v="2220.35"/>
    <n v="5"/>
    <n v="0.2"/>
    <n v="-359.61"/>
    <s v="Loss"/>
  </r>
  <r>
    <s v="ORD-10315"/>
    <d v="2025-09-28T00:00:00"/>
    <d v="2025-10-03T00:00:00"/>
    <s v="Victor Arroyo"/>
    <s v="Corporate"/>
    <x v="0"/>
    <s v="Furniture"/>
    <s v="Bookcases"/>
    <s v="Either Bookcases"/>
    <n v="1248"/>
    <n v="3"/>
    <n v="0.2"/>
    <n v="40.840000000000003"/>
    <s v="Profit"/>
  </r>
  <r>
    <s v="ORD-10316"/>
    <d v="2024-08-25T00:00:00"/>
    <d v="2024-09-02T00:00:00"/>
    <s v="Amy Carlson"/>
    <s v="Home Office"/>
    <x v="2"/>
    <s v="Technology"/>
    <s v="Laptops"/>
    <s v="Growth Laptops"/>
    <n v="2932.11"/>
    <n v="9"/>
    <n v="0.2"/>
    <n v="902.86"/>
    <s v="Profit"/>
  </r>
  <r>
    <s v="ORD-10317"/>
    <d v="2025-07-04T00:00:00"/>
    <d v="2025-07-10T00:00:00"/>
    <s v="Samantha Sparks"/>
    <s v="Consumer"/>
    <x v="0"/>
    <s v="Office Supplies"/>
    <s v="Binders"/>
    <s v="Pass Binders"/>
    <n v="3523.09"/>
    <n v="9"/>
    <n v="0.2"/>
    <n v="531.98"/>
    <s v="Profit"/>
  </r>
  <r>
    <s v="ORD-10318"/>
    <d v="2024-11-23T00:00:00"/>
    <d v="2024-11-29T00:00:00"/>
    <s v="Randall West"/>
    <s v="Home Office"/>
    <x v="2"/>
    <s v="Furniture"/>
    <s v="Bookcases"/>
    <s v="Include Bookcases"/>
    <n v="873.38"/>
    <n v="10"/>
    <n v="0"/>
    <n v="95.87"/>
    <s v="Profit"/>
  </r>
  <r>
    <s v="ORD-10319"/>
    <d v="2025-11-29T00:00:00"/>
    <d v="2025-12-01T00:00:00"/>
    <s v="Randy Whitney"/>
    <s v="Home Office"/>
    <x v="1"/>
    <s v="Technology"/>
    <s v="Accessories"/>
    <s v="Main Accessories"/>
    <n v="102.21"/>
    <n v="5"/>
    <n v="0.05"/>
    <n v="8.27"/>
    <s v="Profit"/>
  </r>
  <r>
    <s v="ORD-10320"/>
    <d v="2025-08-21T00:00:00"/>
    <d v="2025-08-28T00:00:00"/>
    <s v="Patricia Love"/>
    <s v="Corporate"/>
    <x v="0"/>
    <s v="Technology"/>
    <s v="Accessories"/>
    <s v="Whatever Accessories"/>
    <n v="2342.16"/>
    <n v="10"/>
    <n v="0.2"/>
    <n v="176.26"/>
    <s v="Profit"/>
  </r>
  <r>
    <s v="ORD-10321"/>
    <d v="2026-03-23T00:00:00"/>
    <d v="2026-03-28T00:00:00"/>
    <s v="Eugene Hernandez"/>
    <s v="Home Office"/>
    <x v="1"/>
    <s v="Technology"/>
    <s v="Phones"/>
    <s v="Bag Phones"/>
    <n v="2109.08"/>
    <n v="2"/>
    <n v="0"/>
    <n v="542.51"/>
    <s v="Profit"/>
  </r>
  <r>
    <s v="ORD-10322"/>
    <d v="2024-05-13T00:00:00"/>
    <d v="2024-05-19T00:00:00"/>
    <s v="Kara Ortiz"/>
    <s v="Corporate"/>
    <x v="0"/>
    <s v="Technology"/>
    <s v="Accessories"/>
    <s v="Step Accessories"/>
    <n v="2303.9"/>
    <n v="4"/>
    <n v="0.2"/>
    <n v="151.16"/>
    <s v="Profit"/>
  </r>
  <r>
    <s v="ORD-10323"/>
    <d v="2024-06-18T00:00:00"/>
    <d v="2024-06-26T00:00:00"/>
    <s v="Nicholas James"/>
    <s v="Consumer"/>
    <x v="0"/>
    <s v="Technology"/>
    <s v="Laptops"/>
    <s v="Rather Laptops"/>
    <n v="1628.6"/>
    <n v="5"/>
    <n v="0"/>
    <n v="399.99"/>
    <s v="Profit"/>
  </r>
  <r>
    <s v="ORD-10324"/>
    <d v="2024-08-03T00:00:00"/>
    <d v="2024-08-05T00:00:00"/>
    <s v="Geoffrey Frank"/>
    <s v="Consumer"/>
    <x v="1"/>
    <s v="Technology"/>
    <s v="Laptops"/>
    <s v="Will Laptops"/>
    <n v="3401.84"/>
    <n v="3"/>
    <n v="0.2"/>
    <n v="-224"/>
    <s v="Loss"/>
  </r>
  <r>
    <s v="ORD-10325"/>
    <d v="2024-11-27T00:00:00"/>
    <d v="2024-12-04T00:00:00"/>
    <s v="Kimberly Flowers"/>
    <s v="Consumer"/>
    <x v="2"/>
    <s v="Technology"/>
    <s v="Laptops"/>
    <s v="Already Laptops"/>
    <n v="4794.3900000000003"/>
    <n v="4"/>
    <n v="0.15"/>
    <n v="701.75"/>
    <s v="Profit"/>
  </r>
  <r>
    <s v="ORD-10326"/>
    <d v="2026-02-17T00:00:00"/>
    <d v="2026-02-27T00:00:00"/>
    <s v="Diamond Foster"/>
    <s v="Consumer"/>
    <x v="1"/>
    <s v="Technology"/>
    <s v="Phones"/>
    <s v="Economic Phones"/>
    <n v="4421.33"/>
    <n v="8"/>
    <n v="0.2"/>
    <n v="160.29"/>
    <s v="Profit"/>
  </r>
  <r>
    <s v="ORD-10327"/>
    <d v="2023-05-27T00:00:00"/>
    <d v="2023-05-29T00:00:00"/>
    <s v="Michael Li"/>
    <s v="Consumer"/>
    <x v="2"/>
    <s v="Furniture"/>
    <s v="Tables"/>
    <s v="While Tables"/>
    <n v="2907.87"/>
    <n v="9"/>
    <n v="0.05"/>
    <n v="3.45"/>
    <s v="Profit"/>
  </r>
  <r>
    <s v="ORD-10328"/>
    <d v="2023-11-15T00:00:00"/>
    <d v="2023-11-23T00:00:00"/>
    <s v="Christopher Jones"/>
    <s v="Corporate"/>
    <x v="0"/>
    <s v="Furniture"/>
    <s v="Tables"/>
    <s v="Marriage Tables"/>
    <n v="2662.19"/>
    <n v="6"/>
    <n v="0.2"/>
    <n v="36.61"/>
    <s v="Profit"/>
  </r>
  <r>
    <s v="ORD-10329"/>
    <d v="2025-04-17T00:00:00"/>
    <d v="2025-04-25T00:00:00"/>
    <s v="Karen Thomas"/>
    <s v="Home Office"/>
    <x v="1"/>
    <s v="Technology"/>
    <s v="Accessories"/>
    <s v="Evening Accessories"/>
    <n v="3105.95"/>
    <n v="5"/>
    <n v="0.2"/>
    <n v="386.98"/>
    <s v="Profit"/>
  </r>
  <r>
    <s v="ORD-10330"/>
    <d v="2025-10-22T00:00:00"/>
    <d v="2025-10-26T00:00:00"/>
    <s v="Melody Freeman"/>
    <s v="Home Office"/>
    <x v="2"/>
    <s v="Technology"/>
    <s v="Phones"/>
    <s v="Watch Phones"/>
    <n v="1561.63"/>
    <n v="3"/>
    <n v="0.1"/>
    <n v="283.26"/>
    <s v="Profit"/>
  </r>
  <r>
    <s v="ORD-10331"/>
    <d v="2025-01-20T00:00:00"/>
    <d v="2025-01-23T00:00:00"/>
    <s v="Mrs. Crystal Floyd Md"/>
    <s v="Home Office"/>
    <x v="1"/>
    <s v="Technology"/>
    <s v="Laptops"/>
    <s v="Product Laptops"/>
    <n v="2895.29"/>
    <n v="7"/>
    <n v="0.05"/>
    <n v="195.92"/>
    <s v="Profit"/>
  </r>
  <r>
    <s v="ORD-10332"/>
    <d v="2023-09-15T00:00:00"/>
    <d v="2023-09-23T00:00:00"/>
    <s v="Danielle Morgan"/>
    <s v="Home Office"/>
    <x v="0"/>
    <s v="Office Supplies"/>
    <s v="Binders"/>
    <s v="Difference Binders"/>
    <n v="1479.73"/>
    <n v="3"/>
    <n v="0.1"/>
    <n v="389.3"/>
    <s v="Profit"/>
  </r>
  <r>
    <s v="ORD-10333"/>
    <d v="2026-04-17T00:00:00"/>
    <d v="2026-04-25T00:00:00"/>
    <s v="Ryan Gonzalez"/>
    <s v="Corporate"/>
    <x v="2"/>
    <s v="Technology"/>
    <s v="Phones"/>
    <s v="Often Phones"/>
    <n v="725.85"/>
    <n v="7"/>
    <n v="0.2"/>
    <n v="56.61"/>
    <s v="Profit"/>
  </r>
  <r>
    <s v="ORD-10334"/>
    <d v="2025-12-29T00:00:00"/>
    <d v="2026-01-05T00:00:00"/>
    <s v="Robert Thomas"/>
    <s v="Home Office"/>
    <x v="0"/>
    <s v="Office Supplies"/>
    <s v="Paper"/>
    <s v="Civil Paper"/>
    <n v="3565.2"/>
    <n v="8"/>
    <n v="0.15"/>
    <n v="-385.08"/>
    <s v="Loss"/>
  </r>
  <r>
    <s v="ORD-10335"/>
    <d v="2025-07-30T00:00:00"/>
    <d v="2025-07-31T00:00:00"/>
    <s v="Shannon Compton"/>
    <s v="Corporate"/>
    <x v="2"/>
    <s v="Furniture"/>
    <s v="Tables"/>
    <s v="Available Tables"/>
    <n v="1410.52"/>
    <n v="9"/>
    <n v="0.1"/>
    <n v="-151.61000000000001"/>
    <s v="Loss"/>
  </r>
  <r>
    <s v="ORD-10336"/>
    <d v="2024-04-04T00:00:00"/>
    <d v="2024-04-06T00:00:00"/>
    <s v="Benjamin Walker"/>
    <s v="Corporate"/>
    <x v="0"/>
    <s v="Office Supplies"/>
    <s v="Storage"/>
    <s v="Interview Storage"/>
    <n v="2884.93"/>
    <n v="5"/>
    <n v="0.2"/>
    <n v="729.33"/>
    <s v="Profit"/>
  </r>
  <r>
    <s v="ORD-10337"/>
    <d v="2024-02-13T00:00:00"/>
    <d v="2024-02-22T00:00:00"/>
    <s v="Unknown"/>
    <s v="Home Office"/>
    <x v="1"/>
    <s v="Office Supplies"/>
    <s v="Paper"/>
    <s v="Term Paper"/>
    <n v="1131.78"/>
    <n v="7"/>
    <n v="0"/>
    <n v="231.78"/>
    <s v="Profit"/>
  </r>
  <r>
    <s v="ORD-10338"/>
    <d v="2024-11-01T00:00:00"/>
    <d v="2024-11-09T00:00:00"/>
    <s v="Susan Watson"/>
    <s v="Consumer"/>
    <x v="1"/>
    <s v="Technology"/>
    <s v="Phones"/>
    <s v="Language Phones"/>
    <n v="1350.94"/>
    <n v="2"/>
    <n v="0.15"/>
    <n v="372.74"/>
    <s v="Profit"/>
  </r>
  <r>
    <s v="ORD-10339"/>
    <d v="2025-03-25T00:00:00"/>
    <d v="2025-04-04T00:00:00"/>
    <s v="Yolanda Guerra"/>
    <s v="Home Office"/>
    <x v="1"/>
    <s v="Furniture"/>
    <s v="Bookcases"/>
    <s v="Both Bookcases"/>
    <n v="3461.21"/>
    <n v="10"/>
    <n v="0.2"/>
    <n v="122.84"/>
    <s v="Profit"/>
  </r>
  <r>
    <s v="ORD-10340"/>
    <d v="2026-05-03T00:00:00"/>
    <d v="2026-05-04T00:00:00"/>
    <s v="Matthew Ryan"/>
    <s v="Consumer"/>
    <x v="3"/>
    <s v="Furniture"/>
    <s v="Chairs"/>
    <s v="Amount Chairs"/>
    <n v="2871.87"/>
    <n v="9"/>
    <n v="0.1"/>
    <n v="368.38"/>
    <s v="Profit"/>
  </r>
  <r>
    <s v="ORD-10341"/>
    <d v="2025-01-06T00:00:00"/>
    <d v="2025-01-11T00:00:00"/>
    <s v="Charles Gonzalez"/>
    <s v="Consumer"/>
    <x v="2"/>
    <s v="Office Supplies"/>
    <s v="Paper"/>
    <s v="Quite Paper"/>
    <n v="2885.04"/>
    <n v="9"/>
    <n v="0.2"/>
    <n v="716.5"/>
    <s v="Profit"/>
  </r>
  <r>
    <s v="ORD-10342"/>
    <d v="2024-03-30T00:00:00"/>
    <d v="2024-04-02T00:00:00"/>
    <s v="James Clark"/>
    <s v="Corporate"/>
    <x v="1"/>
    <s v="Furniture"/>
    <s v="Tables"/>
    <s v="Low Tables"/>
    <n v="3522.06"/>
    <n v="3"/>
    <n v="0.05"/>
    <n v="-421.12"/>
    <s v="Loss"/>
  </r>
  <r>
    <s v="ORD-10343"/>
    <d v="2024-08-09T00:00:00"/>
    <d v="2024-08-17T00:00:00"/>
    <s v="Christie Collier"/>
    <s v="Corporate"/>
    <x v="0"/>
    <s v="Office Supplies"/>
    <s v="Paper"/>
    <s v="Simply Paper"/>
    <n v="753.75"/>
    <n v="5"/>
    <n v="0.2"/>
    <n v="20.97"/>
    <s v="Profit"/>
  </r>
  <r>
    <s v="ORD-10344"/>
    <d v="2023-06-23T00:00:00"/>
    <d v="2023-06-30T00:00:00"/>
    <s v="Karen Snyder"/>
    <s v="Corporate"/>
    <x v="2"/>
    <s v="Office Supplies"/>
    <s v="Binders"/>
    <s v="Close Binders"/>
    <n v="2602.29"/>
    <n v="5"/>
    <n v="0.2"/>
    <n v="819.68"/>
    <s v="Profit"/>
  </r>
  <r>
    <s v="ORD-10345"/>
    <d v="2025-05-08T00:00:00"/>
    <d v="2025-05-18T00:00:00"/>
    <s v="Kathryn Potts"/>
    <s v="Home Office"/>
    <x v="3"/>
    <s v="Technology"/>
    <s v="Accessories"/>
    <s v="Several Accessories"/>
    <n v="62.24"/>
    <n v="2"/>
    <n v="0.2"/>
    <n v="20.83"/>
    <s v="Profit"/>
  </r>
  <r>
    <s v="ORD-10346"/>
    <d v="2023-06-30T00:00:00"/>
    <d v="2023-07-07T00:00:00"/>
    <s v="Amber Wilson"/>
    <s v="Corporate"/>
    <x v="3"/>
    <s v="Furniture"/>
    <s v="Bookcases"/>
    <s v="Third Bookcases"/>
    <n v="1128.26"/>
    <n v="7"/>
    <n v="0.05"/>
    <n v="81.34"/>
    <s v="Profit"/>
  </r>
  <r>
    <s v="ORD-10347"/>
    <d v="2025-12-01T00:00:00"/>
    <d v="2025-12-11T00:00:00"/>
    <s v="Mackenzie Jimenez"/>
    <s v="Consumer"/>
    <x v="0"/>
    <s v="Technology"/>
    <s v="Laptops"/>
    <s v="Majority Laptops"/>
    <n v="696.44"/>
    <n v="8"/>
    <n v="0.1"/>
    <n v="203.21"/>
    <s v="Profit"/>
  </r>
  <r>
    <s v="ORD-10348"/>
    <d v="2026-05-21T00:00:00"/>
    <d v="2026-05-29T00:00:00"/>
    <s v="Kristen Smith"/>
    <s v="Corporate"/>
    <x v="1"/>
    <s v="Furniture"/>
    <s v="Bookcases"/>
    <s v="In Bookcases"/>
    <n v="130.59"/>
    <n v="3"/>
    <n v="0.15"/>
    <n v="6.67"/>
    <s v="Profit"/>
  </r>
  <r>
    <s v="ORD-10349"/>
    <d v="2024-04-15T00:00:00"/>
    <d v="2024-04-20T00:00:00"/>
    <s v="April Jackson"/>
    <s v="Corporate"/>
    <x v="0"/>
    <s v="Office Supplies"/>
    <s v="Binders"/>
    <s v="Message Binders"/>
    <n v="836.94"/>
    <n v="5"/>
    <n v="0"/>
    <n v="133.93"/>
    <s v="Profit"/>
  </r>
  <r>
    <s v="ORD-10350"/>
    <d v="2025-06-12T00:00:00"/>
    <d v="2025-06-15T00:00:00"/>
    <s v="Jerry Fischer"/>
    <s v="Consumer"/>
    <x v="2"/>
    <s v="Technology"/>
    <s v="Laptops"/>
    <s v="Anyone Laptops"/>
    <n v="306.35000000000002"/>
    <n v="5"/>
    <n v="0.2"/>
    <n v="56.58"/>
    <s v="Profit"/>
  </r>
  <r>
    <s v="ORD-10351"/>
    <d v="2024-08-12T00:00:00"/>
    <d v="2024-08-14T00:00:00"/>
    <s v="Timothy Daniels"/>
    <s v="Consumer"/>
    <x v="2"/>
    <s v="Office Supplies"/>
    <s v="Binders"/>
    <s v="Seek Binders"/>
    <n v="55.38"/>
    <n v="8"/>
    <n v="0"/>
    <n v="-7.03"/>
    <s v="Loss"/>
  </r>
  <r>
    <s v="ORD-10352"/>
    <d v="2024-08-25T00:00:00"/>
    <d v="2024-08-31T00:00:00"/>
    <s v="Ryan Williams"/>
    <s v="Consumer"/>
    <x v="1"/>
    <s v="Furniture"/>
    <s v="Chairs"/>
    <s v="Whose Chairs"/>
    <n v="4094.69"/>
    <n v="7"/>
    <n v="0.2"/>
    <n v="-521.27"/>
    <s v="Loss"/>
  </r>
  <r>
    <s v="ORD-10353"/>
    <d v="2025-10-13T00:00:00"/>
    <d v="2025-10-15T00:00:00"/>
    <s v="Alicia King"/>
    <s v="Consumer"/>
    <x v="1"/>
    <s v="Technology"/>
    <s v="Phones"/>
    <s v="Lay Phones"/>
    <n v="560.85"/>
    <n v="6"/>
    <n v="0.1"/>
    <n v="-69.87"/>
    <s v="Loss"/>
  </r>
  <r>
    <s v="ORD-10354"/>
    <d v="2023-09-23T00:00:00"/>
    <d v="2023-10-03T00:00:00"/>
    <s v="Christopher Kim"/>
    <s v="Consumer"/>
    <x v="2"/>
    <s v="Furniture"/>
    <s v="Bookcases"/>
    <s v="Agency Bookcases"/>
    <n v="91.95"/>
    <n v="3"/>
    <n v="0.15"/>
    <n v="-0.63"/>
    <s v="Loss"/>
  </r>
  <r>
    <s v="ORD-10355"/>
    <d v="2025-10-05T00:00:00"/>
    <d v="2025-10-13T00:00:00"/>
    <s v="Cynthia Hernandez"/>
    <s v="Consumer"/>
    <x v="2"/>
    <s v="Technology"/>
    <s v="Laptops"/>
    <s v="Community Laptops"/>
    <n v="4306.8100000000004"/>
    <n v="2"/>
    <n v="0"/>
    <n v="-529.71"/>
    <s v="Loss"/>
  </r>
  <r>
    <s v="ORD-10356"/>
    <d v="2026-03-16T00:00:00"/>
    <d v="2026-03-22T00:00:00"/>
    <s v="Zachary Bishop"/>
    <s v="Consumer"/>
    <x v="3"/>
    <s v="Technology"/>
    <s v="Accessories"/>
    <s v="Continue Accessories"/>
    <n v="3965.83"/>
    <n v="4"/>
    <n v="0.1"/>
    <n v="612.88"/>
    <s v="Profit"/>
  </r>
  <r>
    <s v="ORD-10357"/>
    <d v="2025-04-26T00:00:00"/>
    <d v="2025-05-01T00:00:00"/>
    <s v="Rhonda Woods"/>
    <s v="Corporate"/>
    <x v="3"/>
    <s v="Office Supplies"/>
    <s v="Binders"/>
    <s v="Watch Binders"/>
    <n v="1066.96"/>
    <n v="10"/>
    <n v="0.2"/>
    <n v="-102.69"/>
    <s v="Loss"/>
  </r>
  <r>
    <s v="ORD-10358"/>
    <d v="2023-08-30T00:00:00"/>
    <d v="2023-09-03T00:00:00"/>
    <s v="Unknown"/>
    <s v="Home Office"/>
    <x v="0"/>
    <s v="Office Supplies"/>
    <s v="Binders"/>
    <s v="Thing Binders"/>
    <n v="2499.69"/>
    <n v="2"/>
    <n v="0.05"/>
    <n v="186.9"/>
    <s v="Profit"/>
  </r>
  <r>
    <s v="ORD-10359"/>
    <d v="2023-09-22T00:00:00"/>
    <d v="2023-09-28T00:00:00"/>
    <s v="Joshua Costa"/>
    <s v="Home Office"/>
    <x v="2"/>
    <s v="Office Supplies"/>
    <s v="Binders"/>
    <s v="End Binders"/>
    <n v="4672.93"/>
    <n v="3"/>
    <n v="0.15"/>
    <n v="1277.8"/>
    <s v="Profit"/>
  </r>
  <r>
    <s v="ORD-10360"/>
    <d v="2024-03-15T00:00:00"/>
    <d v="2024-03-18T00:00:00"/>
    <s v="Eric Higgins"/>
    <s v="Consumer"/>
    <x v="3"/>
    <s v="Technology"/>
    <s v="Laptops"/>
    <s v="Rather Laptops"/>
    <n v="3825.49"/>
    <n v="2"/>
    <n v="0"/>
    <n v="470.73"/>
    <s v="Profit"/>
  </r>
  <r>
    <s v="ORD-10361"/>
    <d v="2025-03-08T00:00:00"/>
    <d v="2025-03-09T00:00:00"/>
    <s v="Robert Porter"/>
    <s v="Home Office"/>
    <x v="2"/>
    <s v="Furniture"/>
    <s v="Chairs"/>
    <s v="Word Chairs"/>
    <n v="4745.97"/>
    <n v="7"/>
    <n v="0.2"/>
    <n v="-201.38"/>
    <s v="Loss"/>
  </r>
  <r>
    <s v="ORD-10362"/>
    <d v="2025-12-18T00:00:00"/>
    <d v="2025-12-25T00:00:00"/>
    <s v="Belinda Wells"/>
    <s v="Corporate"/>
    <x v="0"/>
    <s v="Technology"/>
    <s v="Laptops"/>
    <s v="Black Laptops"/>
    <n v="458.02"/>
    <n v="9"/>
    <n v="0.2"/>
    <n v="63.59"/>
    <s v="Profit"/>
  </r>
  <r>
    <s v="ORD-10363"/>
    <s v="30-11-2025"/>
    <d v="2025-12-09T00:00:00"/>
    <s v="Jeremiah Bond"/>
    <s v="Home Office"/>
    <x v="0"/>
    <s v="Technology"/>
    <s v="Phones"/>
    <s v="Already Phones"/>
    <n v="4608.58"/>
    <n v="3"/>
    <n v="0.2"/>
    <n v="-93.5"/>
    <s v="Loss"/>
  </r>
  <r>
    <s v="ORD-10364"/>
    <d v="2025-07-31T00:00:00"/>
    <d v="2025-08-07T00:00:00"/>
    <s v="Marie Mendoza"/>
    <s v="Corporate"/>
    <x v="0"/>
    <s v="Technology"/>
    <s v="Laptops"/>
    <s v="Lot Laptops"/>
    <n v="3663.29"/>
    <n v="4"/>
    <n v="0"/>
    <n v="-240.08"/>
    <s v="Loss"/>
  </r>
  <r>
    <s v="ORD-10365"/>
    <d v="2024-01-30T00:00:00"/>
    <d v="2024-02-09T00:00:00"/>
    <s v="Savannah Jackson"/>
    <s v="Consumer"/>
    <x v="0"/>
    <s v="Technology"/>
    <s v="Laptops"/>
    <s v="Challenge Laptops"/>
    <n v="322.39"/>
    <n v="3"/>
    <n v="0"/>
    <n v="-62.23"/>
    <s v="Loss"/>
  </r>
  <r>
    <s v="ORD-10366"/>
    <d v="2025-04-22T00:00:00"/>
    <d v="2025-04-28T00:00:00"/>
    <s v="Elizabeth Walker"/>
    <s v="Home Office"/>
    <x v="3"/>
    <s v="Furniture"/>
    <s v="Tables"/>
    <s v="Lay Tables"/>
    <n v="2638.88"/>
    <n v="5"/>
    <n v="0.05"/>
    <n v="11.95"/>
    <s v="Profit"/>
  </r>
  <r>
    <s v="ORD-10367"/>
    <d v="2025-03-06T00:00:00"/>
    <d v="2025-03-07T00:00:00"/>
    <s v="Melissa Taylor"/>
    <s v="Corporate"/>
    <x v="0"/>
    <s v="Office Supplies"/>
    <s v="Binders"/>
    <s v="Affect Binders"/>
    <n v="1708.3"/>
    <n v="7"/>
    <n v="0.1"/>
    <n v="150.54"/>
    <s v="Profit"/>
  </r>
  <r>
    <s v="ORD-10368"/>
    <d v="2024-10-21T00:00:00"/>
    <d v="2024-10-30T00:00:00"/>
    <s v="Samuel Wang"/>
    <s v="Consumer"/>
    <x v="3"/>
    <s v="Technology"/>
    <s v="Accessories"/>
    <s v="Painting Accessories"/>
    <n v="1832.61"/>
    <n v="8"/>
    <n v="0.2"/>
    <n v="-198.32"/>
    <s v="Loss"/>
  </r>
  <r>
    <s v="ORD-10369"/>
    <d v="2023-09-14T00:00:00"/>
    <d v="2023-09-16T00:00:00"/>
    <s v="Elizabeth Park"/>
    <s v="Consumer"/>
    <x v="1"/>
    <s v="Furniture"/>
    <s v="Bookcases"/>
    <s v="Thank Bookcases"/>
    <n v="1180.5999999999999"/>
    <n v="9"/>
    <n v="0"/>
    <n v="-207.52"/>
    <s v="Loss"/>
  </r>
  <r>
    <s v="ORD-10370"/>
    <d v="2024-11-03T00:00:00"/>
    <d v="2024-11-09T00:00:00"/>
    <s v="Karen Stevens"/>
    <s v="Consumer"/>
    <x v="2"/>
    <s v="Furniture"/>
    <s v="Tables"/>
    <s v="International Tables"/>
    <n v="1945.75"/>
    <n v="3"/>
    <n v="0.05"/>
    <n v="607.34"/>
    <s v="Profit"/>
  </r>
  <r>
    <s v="ORD-10371"/>
    <d v="2024-12-26T00:00:00"/>
    <d v="2024-12-30T00:00:00"/>
    <s v="Herbert Jones"/>
    <s v="Home Office"/>
    <x v="3"/>
    <s v="Furniture"/>
    <s v="Tables"/>
    <s v="Perform Tables"/>
    <n v="2110.4699999999998"/>
    <n v="6"/>
    <n v="0.1"/>
    <n v="536.69000000000005"/>
    <s v="Profit"/>
  </r>
  <r>
    <s v="ORD-10372"/>
    <d v="2025-07-03T00:00:00"/>
    <d v="2025-07-04T00:00:00"/>
    <s v="Tyler James"/>
    <s v="Consumer"/>
    <x v="2"/>
    <s v="Furniture"/>
    <s v="Bookcases"/>
    <s v="Picture Bookcases"/>
    <n v="937.75"/>
    <n v="9"/>
    <n v="0"/>
    <n v="304.52999999999997"/>
    <s v="Profit"/>
  </r>
  <r>
    <s v="ORD-10373"/>
    <d v="2024-09-14T00:00:00"/>
    <d v="2024-09-20T00:00:00"/>
    <s v="Robert Mcdonald"/>
    <s v="Corporate"/>
    <x v="3"/>
    <s v="Technology"/>
    <s v="Accessories"/>
    <s v="Space Accessories"/>
    <n v="477.61"/>
    <n v="8"/>
    <n v="0"/>
    <n v="1.39"/>
    <s v="Profit"/>
  </r>
  <r>
    <s v="ORD-10374"/>
    <d v="2023-12-03T00:00:00"/>
    <d v="2023-12-07T00:00:00"/>
    <s v="Bianca Rogers"/>
    <s v="Consumer"/>
    <x v="1"/>
    <s v="Office Supplies"/>
    <s v="Storage"/>
    <s v="Water Storage"/>
    <n v="2346.44"/>
    <n v="10"/>
    <n v="0.15"/>
    <n v="818.4"/>
    <s v="Profit"/>
  </r>
  <r>
    <s v="ORD-10375"/>
    <d v="2025-09-24T00:00:00"/>
    <d v="2025-10-01T00:00:00"/>
    <s v="Caitlin Black"/>
    <s v="Home Office"/>
    <x v="0"/>
    <s v="Furniture"/>
    <s v="Chairs"/>
    <s v="Throw Chairs"/>
    <n v="168.36"/>
    <n v="9"/>
    <n v="0.1"/>
    <n v="25.21"/>
    <s v="Profit"/>
  </r>
  <r>
    <s v="ORD-10376"/>
    <d v="2025-03-29T00:00:00"/>
    <d v="2025-04-05T00:00:00"/>
    <s v="Rebecca Brown"/>
    <s v="Consumer"/>
    <x v="2"/>
    <s v="Technology"/>
    <s v="Phones"/>
    <s v="Wonder Phones"/>
    <n v="4252.58"/>
    <n v="5"/>
    <n v="0"/>
    <n v="-370.58"/>
    <s v="Loss"/>
  </r>
  <r>
    <s v="ORD-10377"/>
    <d v="2025-07-20T00:00:00"/>
    <d v="2025-07-23T00:00:00"/>
    <s v="Sara Walker"/>
    <s v="Home Office"/>
    <x v="2"/>
    <s v="Technology"/>
    <s v="Phones"/>
    <s v="Weight Phones"/>
    <n v="3572.68"/>
    <n v="2"/>
    <n v="0"/>
    <n v="1095.74"/>
    <s v="Profit"/>
  </r>
  <r>
    <s v="ORD-10378"/>
    <d v="2024-06-16T00:00:00"/>
    <d v="2024-06-24T00:00:00"/>
    <s v="Jacob Shelton"/>
    <s v="Consumer"/>
    <x v="2"/>
    <s v="Office Supplies"/>
    <s v="Paper"/>
    <s v="Despite Paper"/>
    <n v="4874.05"/>
    <n v="2"/>
    <n v="0.2"/>
    <n v="-718.59"/>
    <s v="Loss"/>
  </r>
  <r>
    <s v="ORD-10379"/>
    <d v="2025-04-24T00:00:00"/>
    <d v="2025-05-04T00:00:00"/>
    <s v="Vickie Cooper"/>
    <s v="Corporate"/>
    <x v="2"/>
    <s v="Furniture"/>
    <s v="Bookcases"/>
    <s v="Mission Bookcases"/>
    <n v="358.3"/>
    <n v="3"/>
    <n v="0.05"/>
    <n v="-14.18"/>
    <s v="Loss"/>
  </r>
  <r>
    <s v="ORD-10380"/>
    <d v="2024-11-12T00:00:00"/>
    <d v="2024-11-18T00:00:00"/>
    <s v="Ethan Walton"/>
    <s v="Consumer"/>
    <x v="1"/>
    <s v="Office Supplies"/>
    <s v="Storage"/>
    <s v="Situation Storage"/>
    <n v="1624.39"/>
    <n v="5"/>
    <n v="0.05"/>
    <n v="-258.14999999999998"/>
    <s v="Loss"/>
  </r>
  <r>
    <s v="ORD-10381"/>
    <d v="2024-09-27T00:00:00"/>
    <d v="2024-09-30T00:00:00"/>
    <s v="Rachel Miller"/>
    <s v="Consumer"/>
    <x v="3"/>
    <s v="Office Supplies"/>
    <s v="Binders"/>
    <s v="Ok Binders"/>
    <n v="573.01"/>
    <n v="8"/>
    <n v="0.15"/>
    <n v="-15.63"/>
    <s v="Loss"/>
  </r>
  <r>
    <s v="ORD-10382"/>
    <d v="2025-04-09T00:00:00"/>
    <d v="2025-04-14T00:00:00"/>
    <s v="Karen Merritt"/>
    <s v="Home Office"/>
    <x v="3"/>
    <s v="Furniture"/>
    <s v="Tables"/>
    <s v="Black Tables"/>
    <n v="2343.5700000000002"/>
    <n v="2"/>
    <n v="0"/>
    <n v="-265.55"/>
    <s v="Loss"/>
  </r>
  <r>
    <s v="ORD-10383"/>
    <d v="2023-08-14T00:00:00"/>
    <d v="2023-08-24T00:00:00"/>
    <s v="Eric Sherman"/>
    <s v="Consumer"/>
    <x v="3"/>
    <s v="Office Supplies"/>
    <s v="Storage"/>
    <s v="Easy Storage"/>
    <n v="249.63"/>
    <n v="6"/>
    <n v="0.05"/>
    <n v="-37.4"/>
    <s v="Loss"/>
  </r>
  <r>
    <s v="ORD-10384"/>
    <d v="2025-09-14T00:00:00"/>
    <d v="2025-09-15T00:00:00"/>
    <s v="April Ward"/>
    <s v="Home Office"/>
    <x v="2"/>
    <s v="Technology"/>
    <s v="Laptops"/>
    <s v="Term Laptops"/>
    <n v="3402.06"/>
    <n v="5"/>
    <n v="0.05"/>
    <n v="-622.25"/>
    <s v="Loss"/>
  </r>
  <r>
    <s v="ORD-10385"/>
    <d v="2024-09-16T00:00:00"/>
    <d v="2024-09-25T00:00:00"/>
    <s v="Jeffrey Morgan"/>
    <s v="Consumer"/>
    <x v="0"/>
    <s v="Office Supplies"/>
    <s v="Storage"/>
    <s v="Particular Storage"/>
    <n v="1286.77"/>
    <n v="8"/>
    <n v="0"/>
    <n v="311.58"/>
    <s v="Profit"/>
  </r>
  <r>
    <s v="ORD-10386"/>
    <d v="2023-10-18T00:00:00"/>
    <d v="2023-10-22T00:00:00"/>
    <s v="Jeremy Parrish"/>
    <s v="Home Office"/>
    <x v="0"/>
    <s v="Furniture"/>
    <s v="Chairs"/>
    <s v="Month Chairs"/>
    <n v="697.04"/>
    <n v="7"/>
    <n v="0.1"/>
    <n v="123.69"/>
    <s v="Profit"/>
  </r>
  <r>
    <s v="ORD-10387"/>
    <d v="2024-05-24T00:00:00"/>
    <d v="2024-05-29T00:00:00"/>
    <s v="Elizabeth Miller"/>
    <s v="Consumer"/>
    <x v="2"/>
    <s v="Office Supplies"/>
    <s v="Storage"/>
    <s v="Center Storage"/>
    <n v="4591.2700000000004"/>
    <n v="2"/>
    <n v="0"/>
    <n v="1599.78"/>
    <s v="Profit"/>
  </r>
  <r>
    <s v="ORD-10388"/>
    <d v="2024-08-17T00:00:00"/>
    <d v="2024-08-23T00:00:00"/>
    <s v="Danielle Stuart"/>
    <s v="Home Office"/>
    <x v="2"/>
    <s v="Furniture"/>
    <s v="Chairs"/>
    <s v="Able Chairs"/>
    <n v="656.51"/>
    <n v="8"/>
    <n v="0"/>
    <n v="-70.64"/>
    <s v="Loss"/>
  </r>
  <r>
    <s v="ORD-10389"/>
    <d v="2023-08-14T00:00:00"/>
    <d v="2023-08-22T00:00:00"/>
    <s v="Annette Butler"/>
    <s v="Consumer"/>
    <x v="3"/>
    <s v="Office Supplies"/>
    <s v="Paper"/>
    <s v="Matter Paper"/>
    <n v="195.94"/>
    <n v="7"/>
    <n v="0.05"/>
    <n v="-1.04"/>
    <s v="Loss"/>
  </r>
  <r>
    <s v="ORD-10390"/>
    <d v="2024-08-09T00:00:00"/>
    <d v="2024-08-12T00:00:00"/>
    <s v="Jamie Flores"/>
    <s v="Corporate"/>
    <x v="2"/>
    <s v="Technology"/>
    <s v="Accessories"/>
    <s v="Center Accessories"/>
    <n v="221.51"/>
    <n v="10"/>
    <n v="0.2"/>
    <n v="-14.36"/>
    <s v="Loss"/>
  </r>
  <r>
    <s v="ORD-10391"/>
    <d v="2024-09-22T00:00:00"/>
    <d v="2024-09-30T00:00:00"/>
    <s v="Peggy Holder"/>
    <s v="Consumer"/>
    <x v="1"/>
    <s v="Technology"/>
    <s v="Laptops"/>
    <s v="Budget Laptops"/>
    <n v="351.85"/>
    <n v="5"/>
    <n v="0.15"/>
    <n v="-43.81"/>
    <s v="Loss"/>
  </r>
  <r>
    <s v="ORD-10392"/>
    <d v="2026-01-14T00:00:00"/>
    <d v="2026-01-15T00:00:00"/>
    <s v="Jason Scott"/>
    <s v="Corporate"/>
    <x v="3"/>
    <s v="Office Supplies"/>
    <s v="Storage"/>
    <s v="Majority Storage"/>
    <n v="4947.55"/>
    <n v="6"/>
    <n v="0.15"/>
    <n v="492.21"/>
    <s v="Profit"/>
  </r>
  <r>
    <s v="ORD-10393"/>
    <d v="2025-10-18T00:00:00"/>
    <d v="2025-10-24T00:00:00"/>
    <s v="Denise Beasley"/>
    <s v="Consumer"/>
    <x v="0"/>
    <s v="Office Supplies"/>
    <s v="Storage"/>
    <s v="Occur Storage"/>
    <n v="1972.49"/>
    <n v="3"/>
    <n v="0"/>
    <n v="-48.56"/>
    <s v="Loss"/>
  </r>
  <r>
    <s v="ORD-10394"/>
    <d v="2024-04-18T00:00:00"/>
    <d v="2024-04-26T00:00:00"/>
    <s v="Richard Hernandez"/>
    <s v="Consumer"/>
    <x v="1"/>
    <s v="Technology"/>
    <s v="Phones"/>
    <s v="Trade Phones"/>
    <n v="2670.69"/>
    <n v="10"/>
    <n v="0.05"/>
    <n v="896.52"/>
    <s v="Profit"/>
  </r>
  <r>
    <s v="ORD-10395"/>
    <d v="2024-05-23T00:00:00"/>
    <d v="2024-05-28T00:00:00"/>
    <s v="Marissa Fox"/>
    <s v="Corporate"/>
    <x v="3"/>
    <s v="Office Supplies"/>
    <s v="Binders"/>
    <s v="With Binders"/>
    <n v="2691.76"/>
    <n v="1"/>
    <n v="0.05"/>
    <n v="313.94"/>
    <s v="Profit"/>
  </r>
  <r>
    <s v="ORD-10396"/>
    <d v="2026-01-30T00:00:00"/>
    <d v="2026-02-03T00:00:00"/>
    <s v="Megan Aguilar"/>
    <s v="Home Office"/>
    <x v="3"/>
    <s v="Furniture"/>
    <s v="Chairs"/>
    <s v="Those Chairs"/>
    <n v="2982.97"/>
    <n v="6"/>
    <n v="0.2"/>
    <n v="-550.32000000000005"/>
    <s v="Loss"/>
  </r>
  <r>
    <s v="ORD-10397"/>
    <d v="2024-02-07T00:00:00"/>
    <d v="2024-02-10T00:00:00"/>
    <s v="David Rice"/>
    <s v="Consumer"/>
    <x v="2"/>
    <s v="Office Supplies"/>
    <s v="Storage"/>
    <s v="Between Storage"/>
    <n v="2837.39"/>
    <n v="4"/>
    <n v="0.15"/>
    <n v="278.54000000000002"/>
    <s v="Profit"/>
  </r>
  <r>
    <s v="ORD-10398"/>
    <d v="2024-05-14T00:00:00"/>
    <d v="2024-05-15T00:00:00"/>
    <s v="Larry Carter"/>
    <s v="Consumer"/>
    <x v="3"/>
    <s v="Furniture"/>
    <s v="Chairs"/>
    <s v="Production Chairs"/>
    <n v="1201.49"/>
    <n v="4"/>
    <n v="0"/>
    <n v="107.59"/>
    <s v="Profit"/>
  </r>
  <r>
    <s v="ORD-10399"/>
    <d v="2026-04-13T00:00:00"/>
    <d v="2026-04-16T00:00:00"/>
    <s v="Kellie Barnett"/>
    <s v="Consumer"/>
    <x v="1"/>
    <s v="Office Supplies"/>
    <s v="Binders"/>
    <s v="Military Binders"/>
    <n v="1736.76"/>
    <n v="3"/>
    <n v="0.1"/>
    <n v="-290.45999999999998"/>
    <s v="Loss"/>
  </r>
  <r>
    <s v="ORD-10400"/>
    <d v="2023-12-06T00:00:00"/>
    <d v="2023-12-12T00:00:00"/>
    <s v="Elizabeth Park"/>
    <s v="Corporate"/>
    <x v="0"/>
    <s v="Furniture"/>
    <s v="Bookcases"/>
    <s v="Through Bookcases"/>
    <n v="4804.7700000000004"/>
    <n v="6"/>
    <n v="0.2"/>
    <n v="1528.19"/>
    <s v="Profit"/>
  </r>
  <r>
    <s v="ORD-10401"/>
    <d v="2025-04-10T00:00:00"/>
    <d v="2025-04-16T00:00:00"/>
    <s v="Francisco Martinez"/>
    <s v="Home Office"/>
    <x v="2"/>
    <s v="Technology"/>
    <s v="Accessories"/>
    <s v="Modern Accessories"/>
    <n v="725.44"/>
    <n v="3"/>
    <n v="0.2"/>
    <n v="233.43"/>
    <s v="Profit"/>
  </r>
  <r>
    <s v="ORD-10402"/>
    <d v="2025-05-23T00:00:00"/>
    <d v="2025-05-26T00:00:00"/>
    <s v="John Velazquez"/>
    <s v="Home Office"/>
    <x v="3"/>
    <s v="Office Supplies"/>
    <s v="Paper"/>
    <s v="Artist Paper"/>
    <n v="3550.56"/>
    <n v="9"/>
    <n v="0.2"/>
    <n v="1027.1099999999999"/>
    <s v="Profit"/>
  </r>
  <r>
    <s v="ORD-10403"/>
    <d v="2024-03-23T00:00:00"/>
    <d v="2024-04-02T00:00:00"/>
    <s v="Laura Cox"/>
    <s v="Corporate"/>
    <x v="1"/>
    <s v="Furniture"/>
    <s v="Bookcases"/>
    <s v="Best Bookcases"/>
    <n v="4081.55"/>
    <n v="7"/>
    <n v="0.1"/>
    <n v="831.4"/>
    <s v="Profit"/>
  </r>
  <r>
    <s v="ORD-10404"/>
    <d v="2025-04-20T00:00:00"/>
    <d v="2025-04-21T00:00:00"/>
    <s v="Heather Mccarthy"/>
    <s v="Home Office"/>
    <x v="2"/>
    <s v="Furniture"/>
    <s v="Bookcases"/>
    <s v="Argue Bookcases"/>
    <n v="4746.5"/>
    <n v="10"/>
    <n v="0.15"/>
    <n v="1271.6600000000001"/>
    <s v="Profit"/>
  </r>
  <r>
    <s v="ORD-10405"/>
    <d v="2024-05-22T00:00:00"/>
    <d v="2024-05-28T00:00:00"/>
    <s v="Nicholas Butler"/>
    <s v="Consumer"/>
    <x v="2"/>
    <s v="Furniture"/>
    <s v="Bookcases"/>
    <s v="Pattern Bookcases"/>
    <n v="4609.1400000000003"/>
    <n v="10"/>
    <n v="0.05"/>
    <n v="699.69"/>
    <s v="Profit"/>
  </r>
  <r>
    <s v="ORD-10406"/>
    <d v="2023-08-12T00:00:00"/>
    <d v="2023-08-14T00:00:00"/>
    <s v="Richard Robinson"/>
    <s v="Consumer"/>
    <x v="3"/>
    <s v="Furniture"/>
    <s v="Tables"/>
    <s v="Pretty Tables"/>
    <n v="1228.08"/>
    <n v="6"/>
    <n v="0.05"/>
    <n v="184.09"/>
    <s v="Profit"/>
  </r>
  <r>
    <s v="ORD-10407"/>
    <d v="2024-07-31T00:00:00"/>
    <d v="2024-08-05T00:00:00"/>
    <s v="David Johnson"/>
    <s v="Consumer"/>
    <x v="0"/>
    <s v="Technology"/>
    <s v="Phones"/>
    <s v="Candidate Phones"/>
    <n v="1087.94"/>
    <n v="2"/>
    <n v="0.1"/>
    <n v="-64.010000000000005"/>
    <s v="Loss"/>
  </r>
  <r>
    <s v="ORD-10408"/>
    <d v="2025-08-29T00:00:00"/>
    <d v="2025-09-06T00:00:00"/>
    <s v="Guy Moore"/>
    <s v="Home Office"/>
    <x v="3"/>
    <s v="Furniture"/>
    <s v="Tables"/>
    <s v="Customer Tables"/>
    <n v="3676.29"/>
    <n v="3"/>
    <n v="0.15"/>
    <n v="261.73"/>
    <s v="Profit"/>
  </r>
  <r>
    <s v="ORD-10409"/>
    <s v="19-04-2026"/>
    <d v="2026-04-21T00:00:00"/>
    <s v="Brandon Chang"/>
    <s v="Consumer"/>
    <x v="1"/>
    <s v="Office Supplies"/>
    <s v="Paper"/>
    <s v="Town Paper"/>
    <n v="4152.59"/>
    <n v="10"/>
    <n v="0.2"/>
    <n v="901.25"/>
    <s v="Profit"/>
  </r>
  <r>
    <s v="ORD-10410"/>
    <d v="2025-07-10T00:00:00"/>
    <d v="2025-07-11T00:00:00"/>
    <s v="Virginia Silva"/>
    <s v="Consumer"/>
    <x v="3"/>
    <s v="Technology"/>
    <s v="Phones"/>
    <s v="Writer Phones"/>
    <n v="1509.8"/>
    <n v="6"/>
    <n v="0.1"/>
    <n v="488.29"/>
    <s v="Profit"/>
  </r>
  <r>
    <s v="ORD-10411"/>
    <d v="2026-03-09T00:00:00"/>
    <d v="2026-03-12T00:00:00"/>
    <s v="Patricia Snyder"/>
    <s v="Home Office"/>
    <x v="2"/>
    <s v="Furniture"/>
    <s v="Tables"/>
    <s v="First Tables"/>
    <n v="3673.33"/>
    <n v="9"/>
    <n v="0"/>
    <n v="-51.89"/>
    <s v="Loss"/>
  </r>
  <r>
    <s v="ORD-10412"/>
    <d v="2023-10-31T00:00:00"/>
    <d v="2023-11-07T00:00:00"/>
    <s v="Sarah Diaz"/>
    <s v="Consumer"/>
    <x v="0"/>
    <s v="Office Supplies"/>
    <s v="Binders"/>
    <s v="Own Binders"/>
    <n v="4715.09"/>
    <n v="3"/>
    <n v="0.2"/>
    <n v="1364.38"/>
    <s v="Profit"/>
  </r>
  <r>
    <s v="ORD-10413"/>
    <d v="2024-10-23T00:00:00"/>
    <d v="2024-10-27T00:00:00"/>
    <s v="Dawn Peterson"/>
    <s v="Home Office"/>
    <x v="3"/>
    <s v="Furniture"/>
    <s v="Tables"/>
    <s v="They Tables"/>
    <n v="4873.2700000000004"/>
    <n v="7"/>
    <n v="0.2"/>
    <n v="510.53"/>
    <s v="Profit"/>
  </r>
  <r>
    <s v="ORD-10414"/>
    <d v="2023-09-15T00:00:00"/>
    <d v="2023-09-20T00:00:00"/>
    <s v="Kyle Sandoval"/>
    <s v="Corporate"/>
    <x v="1"/>
    <s v="Office Supplies"/>
    <s v="Paper"/>
    <s v="Example Paper"/>
    <n v="1225.8599999999999"/>
    <n v="1"/>
    <n v="0.15"/>
    <n v="140.33000000000001"/>
    <s v="Profit"/>
  </r>
  <r>
    <s v="ORD-10415"/>
    <d v="2024-06-14T00:00:00"/>
    <d v="2024-06-15T00:00:00"/>
    <s v="Eric Hatfield"/>
    <s v="Corporate"/>
    <x v="1"/>
    <s v="Furniture"/>
    <s v="Tables"/>
    <s v="Else Tables"/>
    <n v="2166.65"/>
    <n v="5"/>
    <n v="0.2"/>
    <n v="311.56"/>
    <s v="Profit"/>
  </r>
  <r>
    <s v="ORD-10416"/>
    <d v="2025-10-09T00:00:00"/>
    <d v="2025-10-13T00:00:00"/>
    <s v="Phillip Nelson"/>
    <s v="Consumer"/>
    <x v="3"/>
    <s v="Furniture"/>
    <s v="Chairs"/>
    <s v="Discussion Chairs"/>
    <n v="895.62"/>
    <n v="5"/>
    <n v="0"/>
    <n v="54.15"/>
    <s v="Profit"/>
  </r>
  <r>
    <s v="ORD-10417"/>
    <d v="2026-01-11T00:00:00"/>
    <d v="2026-01-19T00:00:00"/>
    <s v="Kim Burns"/>
    <s v="Corporate"/>
    <x v="1"/>
    <s v="Technology"/>
    <s v="Accessories"/>
    <s v="Democrat Accessories"/>
    <n v="4479.6400000000003"/>
    <n v="5"/>
    <n v="0"/>
    <n v="685.5"/>
    <s v="Profit"/>
  </r>
  <r>
    <s v="ORD-10418"/>
    <d v="2026-03-03T00:00:00"/>
    <d v="2026-03-09T00:00:00"/>
    <s v="Melissa Tucker"/>
    <s v="Corporate"/>
    <x v="1"/>
    <s v="Technology"/>
    <s v="Accessories"/>
    <s v="Protect Accessories"/>
    <n v="973.59"/>
    <n v="1"/>
    <n v="0.1"/>
    <n v="40.75"/>
    <s v="Profit"/>
  </r>
  <r>
    <s v="ORD-10419"/>
    <d v="2025-02-03T00:00:00"/>
    <d v="2025-02-04T00:00:00"/>
    <s v="Mark Valdez"/>
    <s v="Home Office"/>
    <x v="2"/>
    <s v="Technology"/>
    <s v="Laptops"/>
    <s v="Thus Laptops"/>
    <n v="798.1"/>
    <n v="2"/>
    <n v="0"/>
    <n v="133.66"/>
    <s v="Profit"/>
  </r>
  <r>
    <s v="ORD-10420"/>
    <d v="2023-08-03T00:00:00"/>
    <d v="2023-08-12T00:00:00"/>
    <s v="Frances Wallace"/>
    <s v="Home Office"/>
    <x v="2"/>
    <s v="Office Supplies"/>
    <s v="Binders"/>
    <s v="Plan Binders"/>
    <n v="351.87"/>
    <n v="7"/>
    <n v="0.2"/>
    <n v="10.64"/>
    <s v="Profit"/>
  </r>
  <r>
    <s v="ORD-10421"/>
    <d v="2023-11-04T00:00:00"/>
    <d v="2023-11-12T00:00:00"/>
    <s v="Tyler Page"/>
    <s v="Home Office"/>
    <x v="2"/>
    <s v="Office Supplies"/>
    <s v="Binders"/>
    <s v="Cause Binders"/>
    <n v="1529.32"/>
    <n v="7"/>
    <n v="0.2"/>
    <n v="-276.64999999999998"/>
    <s v="Loss"/>
  </r>
  <r>
    <s v="ORD-10422"/>
    <d v="2023-07-26T00:00:00"/>
    <d v="2023-07-29T00:00:00"/>
    <s v="Erin Williams"/>
    <s v="Consumer"/>
    <x v="0"/>
    <s v="Furniture"/>
    <s v="Tables"/>
    <s v="Real Tables"/>
    <n v="4747.8500000000004"/>
    <n v="3"/>
    <n v="0.05"/>
    <n v="1161.58"/>
    <s v="Profit"/>
  </r>
  <r>
    <s v="ORD-10423"/>
    <d v="2025-02-11T00:00:00"/>
    <d v="2025-02-18T00:00:00"/>
    <s v="John Snow"/>
    <s v="Home Office"/>
    <x v="0"/>
    <s v="Technology"/>
    <s v="Phones"/>
    <s v="Use Phones"/>
    <n v="1049.5"/>
    <n v="3"/>
    <n v="0.2"/>
    <n v="-61.04"/>
    <s v="Loss"/>
  </r>
  <r>
    <s v="ORD-10424"/>
    <d v="2023-12-29T00:00:00"/>
    <d v="2024-01-07T00:00:00"/>
    <s v="Stephanie Cruz"/>
    <s v="Consumer"/>
    <x v="2"/>
    <s v="Furniture"/>
    <s v="Tables"/>
    <s v="Far Tables"/>
    <n v="2016.91"/>
    <n v="6"/>
    <n v="0.1"/>
    <n v="173.11"/>
    <s v="Profit"/>
  </r>
  <r>
    <s v="ORD-10425"/>
    <d v="2025-03-02T00:00:00"/>
    <d v="2025-03-05T00:00:00"/>
    <s v="Jordan Mcgee"/>
    <s v="Consumer"/>
    <x v="0"/>
    <s v="Furniture"/>
    <s v="Tables"/>
    <s v="Affect Tables"/>
    <n v="783.59"/>
    <n v="10"/>
    <n v="0.2"/>
    <n v="170.12"/>
    <s v="Profit"/>
  </r>
  <r>
    <s v="ORD-10426"/>
    <s v="31-05-2024"/>
    <d v="2024-06-05T00:00:00"/>
    <s v="Christy White"/>
    <s v="Home Office"/>
    <x v="2"/>
    <s v="Office Supplies"/>
    <s v="Binders"/>
    <s v="New Binders"/>
    <n v="4344"/>
    <n v="6"/>
    <n v="0.15"/>
    <n v="-237.72"/>
    <s v="Loss"/>
  </r>
  <r>
    <s v="ORD-10427"/>
    <d v="2025-11-13T00:00:00"/>
    <d v="2025-11-21T00:00:00"/>
    <s v="Shannon Tucker"/>
    <s v="Home Office"/>
    <x v="2"/>
    <s v="Office Supplies"/>
    <s v="Storage"/>
    <s v="Keep Storage"/>
    <n v="235.46"/>
    <n v="5"/>
    <n v="0.15"/>
    <n v="-28.46"/>
    <s v="Loss"/>
  </r>
  <r>
    <s v="ORD-10428"/>
    <d v="2023-07-11T00:00:00"/>
    <d v="2023-07-17T00:00:00"/>
    <s v="Sophia Hughes"/>
    <s v="Corporate"/>
    <x v="3"/>
    <s v="Furniture"/>
    <s v="Tables"/>
    <s v="Effect Tables"/>
    <n v="3468.04"/>
    <n v="1"/>
    <n v="0.2"/>
    <n v="212.83"/>
    <s v="Profit"/>
  </r>
  <r>
    <s v="ORD-10429"/>
    <d v="2023-09-30T00:00:00"/>
    <d v="2023-10-05T00:00:00"/>
    <s v="Michelle Hudson"/>
    <s v="Consumer"/>
    <x v="1"/>
    <s v="Furniture"/>
    <s v="Tables"/>
    <s v="Still Tables"/>
    <n v="1589.2"/>
    <n v="8"/>
    <n v="0.2"/>
    <n v="280.76"/>
    <s v="Profit"/>
  </r>
  <r>
    <s v="ORD-10430"/>
    <d v="2024-07-25T00:00:00"/>
    <d v="2024-08-02T00:00:00"/>
    <s v="James Jackson"/>
    <s v="Home Office"/>
    <x v="0"/>
    <s v="Technology"/>
    <s v="Laptops"/>
    <s v="Put Laptops"/>
    <n v="3881.45"/>
    <n v="6"/>
    <n v="0.1"/>
    <n v="779.55"/>
    <s v="Profit"/>
  </r>
  <r>
    <s v="ORD-10431"/>
    <d v="2026-01-12T00:00:00"/>
    <d v="2026-01-16T00:00:00"/>
    <s v="David Brennan"/>
    <s v="Home Office"/>
    <x v="3"/>
    <s v="Furniture"/>
    <s v="Tables"/>
    <s v="Travel Tables"/>
    <n v="4571.49"/>
    <n v="7"/>
    <n v="0.2"/>
    <n v="303.79000000000002"/>
    <s v="Profit"/>
  </r>
  <r>
    <s v="ORD-10432"/>
    <d v="2025-04-02T00:00:00"/>
    <d v="2025-04-05T00:00:00"/>
    <s v="Kayla Adkins"/>
    <s v="Home Office"/>
    <x v="0"/>
    <s v="Furniture"/>
    <s v="Bookcases"/>
    <s v="Amount Bookcases"/>
    <n v="374.8"/>
    <n v="9"/>
    <n v="0.15"/>
    <n v="-47"/>
    <s v="Loss"/>
  </r>
  <r>
    <s v="ORD-10433"/>
    <d v="2024-11-08T00:00:00"/>
    <d v="2024-11-12T00:00:00"/>
    <s v="Joshua Chen"/>
    <s v="Corporate"/>
    <x v="1"/>
    <s v="Furniture"/>
    <s v="Chairs"/>
    <s v="Usually Chairs"/>
    <n v="4193.03"/>
    <n v="4"/>
    <n v="0"/>
    <n v="214.04"/>
    <s v="Profit"/>
  </r>
  <r>
    <s v="ORD-10434"/>
    <d v="2024-03-29T00:00:00"/>
    <d v="2024-04-06T00:00:00"/>
    <s v="Theresa Cohen"/>
    <s v="Corporate"/>
    <x v="2"/>
    <s v="Technology"/>
    <s v="Accessories"/>
    <s v="Rich Accessories"/>
    <n v="2550.38"/>
    <n v="2"/>
    <n v="0.2"/>
    <n v="-467.2"/>
    <s v="Loss"/>
  </r>
  <r>
    <s v="ORD-10435"/>
    <d v="2026-04-05T00:00:00"/>
    <d v="2026-04-08T00:00:00"/>
    <s v="Christopher Nichols"/>
    <s v="Home Office"/>
    <x v="1"/>
    <s v="Office Supplies"/>
    <s v="Paper"/>
    <s v="Candidate Paper"/>
    <n v="4804.58"/>
    <n v="8"/>
    <n v="0.2"/>
    <n v="495.99"/>
    <s v="Profit"/>
  </r>
  <r>
    <s v="ORD-10436"/>
    <d v="2026-02-08T00:00:00"/>
    <d v="2026-02-10T00:00:00"/>
    <s v="Daniel Henderson"/>
    <s v="Home Office"/>
    <x v="1"/>
    <s v="Technology"/>
    <s v="Laptops"/>
    <s v="Walk Laptops"/>
    <n v="1461.09"/>
    <n v="7"/>
    <n v="0"/>
    <n v="-161.31"/>
    <s v="Loss"/>
  </r>
  <r>
    <s v="ORD-10437"/>
    <d v="2023-07-23T00:00:00"/>
    <d v="2023-07-27T00:00:00"/>
    <s v="David Sanford"/>
    <s v="Consumer"/>
    <x v="0"/>
    <s v="Furniture"/>
    <s v="Bookcases"/>
    <s v="Candidate Bookcases"/>
    <n v="3404.59"/>
    <n v="5"/>
    <n v="0.2"/>
    <n v="85.89"/>
    <s v="Profit"/>
  </r>
  <r>
    <s v="ORD-10438"/>
    <d v="2025-09-01T00:00:00"/>
    <d v="2025-09-04T00:00:00"/>
    <s v="David Carpenter"/>
    <s v="Corporate"/>
    <x v="3"/>
    <s v="Technology"/>
    <s v="Phones"/>
    <s v="Hit Phones"/>
    <n v="3025.65"/>
    <n v="1"/>
    <n v="0.05"/>
    <n v="-185.13"/>
    <s v="Loss"/>
  </r>
  <r>
    <s v="ORD-10439"/>
    <d v="2024-01-15T00:00:00"/>
    <d v="2024-01-21T00:00:00"/>
    <s v="Elizabeth Reid"/>
    <s v="Home Office"/>
    <x v="2"/>
    <s v="Technology"/>
    <s v="Accessories"/>
    <s v="Health Accessories"/>
    <n v="2322.04"/>
    <n v="4"/>
    <n v="0.15"/>
    <n v="-78.53"/>
    <s v="Loss"/>
  </r>
  <r>
    <s v="ORD-10440"/>
    <d v="2023-12-10T00:00:00"/>
    <d v="2023-12-11T00:00:00"/>
    <s v="Michaela Grant Dds"/>
    <s v="Home Office"/>
    <x v="2"/>
    <s v="Office Supplies"/>
    <s v="Binders"/>
    <s v="Lay Binders"/>
    <n v="2581.9899999999998"/>
    <n v="6"/>
    <n v="0.2"/>
    <n v="402.89"/>
    <s v="Profit"/>
  </r>
  <r>
    <s v="ORD-10441"/>
    <d v="2026-02-16T00:00:00"/>
    <d v="2026-02-18T00:00:00"/>
    <s v="William Brown"/>
    <s v="Corporate"/>
    <x v="3"/>
    <s v="Technology"/>
    <s v="Laptops"/>
    <s v="Perhaps Laptops"/>
    <n v="2434.61"/>
    <n v="6"/>
    <n v="0.1"/>
    <n v="370.86"/>
    <s v="Profit"/>
  </r>
  <r>
    <s v="ORD-10442"/>
    <d v="2025-08-16T00:00:00"/>
    <d v="2025-08-21T00:00:00"/>
    <s v="Walter Holt"/>
    <s v="Home Office"/>
    <x v="2"/>
    <s v="Office Supplies"/>
    <s v="Storage"/>
    <s v="Might Storage"/>
    <n v="982.38"/>
    <n v="9"/>
    <n v="0.05"/>
    <n v="289.63"/>
    <s v="Profit"/>
  </r>
  <r>
    <s v="ORD-10443"/>
    <d v="2025-01-29T00:00:00"/>
    <d v="2025-02-01T00:00:00"/>
    <s v="Dawn Jones"/>
    <s v="Corporate"/>
    <x v="2"/>
    <s v="Office Supplies"/>
    <s v="Paper"/>
    <s v="Develop Paper"/>
    <n v="3620.35"/>
    <n v="8"/>
    <n v="0.1"/>
    <n v="-207.5"/>
    <s v="Loss"/>
  </r>
  <r>
    <s v="ORD-10444"/>
    <d v="2023-11-06T00:00:00"/>
    <d v="2023-11-07T00:00:00"/>
    <s v="Diane Moore"/>
    <s v="Home Office"/>
    <x v="1"/>
    <s v="Technology"/>
    <s v="Laptops"/>
    <s v="Star Laptops"/>
    <n v="2935.97"/>
    <n v="10"/>
    <n v="0.05"/>
    <n v="-33.049999999999997"/>
    <s v="Loss"/>
  </r>
  <r>
    <s v="ORD-10445"/>
    <d v="2025-11-30T00:00:00"/>
    <d v="2025-12-08T00:00:00"/>
    <s v="Michelle Lee"/>
    <s v="Consumer"/>
    <x v="1"/>
    <s v="Office Supplies"/>
    <s v="Storage"/>
    <s v="Film Storage"/>
    <n v="4537.3100000000004"/>
    <n v="6"/>
    <n v="0.2"/>
    <n v="-158.32"/>
    <s v="Loss"/>
  </r>
  <r>
    <s v="ORD-10446"/>
    <d v="2024-06-03T00:00:00"/>
    <d v="2024-06-11T00:00:00"/>
    <s v="Jim Weiss"/>
    <s v="Consumer"/>
    <x v="3"/>
    <s v="Technology"/>
    <s v="Phones"/>
    <s v="Own Phones"/>
    <n v="683.32"/>
    <n v="5"/>
    <n v="0.2"/>
    <n v="167.13"/>
    <s v="Profit"/>
  </r>
  <r>
    <s v="ORD-10447"/>
    <d v="2023-09-04T00:00:00"/>
    <d v="2023-09-08T00:00:00"/>
    <s v="Kerry Payne"/>
    <s v="Corporate"/>
    <x v="3"/>
    <s v="Office Supplies"/>
    <s v="Binders"/>
    <s v="Answer Binders"/>
    <n v="1808.65"/>
    <n v="5"/>
    <n v="0.15"/>
    <n v="422.23"/>
    <s v="Profit"/>
  </r>
  <r>
    <s v="ORD-10448"/>
    <d v="2024-06-25T00:00:00"/>
    <d v="2024-06-30T00:00:00"/>
    <s v="Gary Garcia"/>
    <s v="Home Office"/>
    <x v="0"/>
    <s v="Technology"/>
    <s v="Laptops"/>
    <s v="Walk Laptops"/>
    <n v="2345.62"/>
    <n v="2"/>
    <n v="0.15"/>
    <n v="-399.88"/>
    <s v="Loss"/>
  </r>
  <r>
    <s v="ORD-10449"/>
    <d v="2024-04-14T00:00:00"/>
    <d v="2024-04-23T00:00:00"/>
    <s v="Amanda Parker"/>
    <s v="Consumer"/>
    <x v="1"/>
    <s v="Technology"/>
    <s v="Phones"/>
    <s v="Carry Phones"/>
    <n v="643.09"/>
    <n v="7"/>
    <n v="0.2"/>
    <n v="-23.09"/>
    <s v="Loss"/>
  </r>
  <r>
    <s v="ORD-10450"/>
    <d v="2025-02-04T00:00:00"/>
    <d v="2025-02-10T00:00:00"/>
    <s v="Leah Walton"/>
    <s v="Home Office"/>
    <x v="1"/>
    <s v="Furniture"/>
    <s v="Chairs"/>
    <s v="Treat Chairs"/>
    <n v="2075.5"/>
    <n v="10"/>
    <n v="0.15"/>
    <n v="-251.61"/>
    <s v="Loss"/>
  </r>
  <r>
    <s v="ORD-10451"/>
    <d v="2023-10-29T00:00:00"/>
    <d v="2023-11-04T00:00:00"/>
    <s v="Matthew Nguyen"/>
    <s v="Consumer"/>
    <x v="2"/>
    <s v="Furniture"/>
    <s v="Tables"/>
    <s v="Way Tables"/>
    <n v="3173.61"/>
    <n v="3"/>
    <n v="0.1"/>
    <n v="472.79"/>
    <s v="Profit"/>
  </r>
  <r>
    <s v="ORD-10452"/>
    <d v="2025-02-08T00:00:00"/>
    <d v="2025-02-11T00:00:00"/>
    <s v="Miss Janice Miranda"/>
    <s v="Consumer"/>
    <x v="1"/>
    <s v="Technology"/>
    <s v="Phones"/>
    <s v="Child Phones"/>
    <n v="2902.58"/>
    <n v="3"/>
    <n v="0.15"/>
    <n v="673.01"/>
    <s v="Profit"/>
  </r>
  <r>
    <s v="ORD-10453"/>
    <d v="2024-07-26T00:00:00"/>
    <d v="2024-08-02T00:00:00"/>
    <s v="Albert Mora"/>
    <s v="Home Office"/>
    <x v="1"/>
    <s v="Office Supplies"/>
    <s v="Paper"/>
    <s v="Product Paper"/>
    <n v="2046.8"/>
    <n v="8"/>
    <n v="0.15"/>
    <n v="-404.1"/>
    <s v="Loss"/>
  </r>
  <r>
    <s v="ORD-10454"/>
    <d v="2026-04-17T00:00:00"/>
    <d v="2026-04-18T00:00:00"/>
    <s v="Kenneth Vargas"/>
    <s v="Consumer"/>
    <x v="1"/>
    <s v="Office Supplies"/>
    <s v="Paper"/>
    <s v="Out Paper"/>
    <n v="4465.43"/>
    <n v="9"/>
    <n v="0.05"/>
    <n v="-849.08"/>
    <s v="Loss"/>
  </r>
  <r>
    <s v="ORD-10455"/>
    <d v="2025-11-07T00:00:00"/>
    <d v="2025-11-13T00:00:00"/>
    <s v="Brenda Ortiz"/>
    <s v="Corporate"/>
    <x v="2"/>
    <s v="Furniture"/>
    <s v="Bookcases"/>
    <s v="Voice Bookcases"/>
    <n v="1594.86"/>
    <n v="2"/>
    <n v="0.15"/>
    <n v="122.54"/>
    <s v="Profit"/>
  </r>
  <r>
    <s v="ORD-10456"/>
    <d v="2023-08-21T00:00:00"/>
    <d v="2023-08-26T00:00:00"/>
    <s v="Jeremy Johnson"/>
    <s v="Home Office"/>
    <x v="3"/>
    <s v="Furniture"/>
    <s v="Chairs"/>
    <s v="Attack Chairs"/>
    <n v="4744.8900000000003"/>
    <n v="8"/>
    <n v="0.2"/>
    <n v="408.81"/>
    <s v="Profit"/>
  </r>
  <r>
    <s v="ORD-10457"/>
    <d v="2025-04-05T00:00:00"/>
    <d v="2025-04-08T00:00:00"/>
    <s v="Mr. Brian Hayden Dds"/>
    <s v="Consumer"/>
    <x v="2"/>
    <s v="Technology"/>
    <s v="Laptops"/>
    <s v="Return Laptops"/>
    <n v="1746.53"/>
    <n v="8"/>
    <n v="0.1"/>
    <n v="371.25"/>
    <s v="Profit"/>
  </r>
  <r>
    <s v="ORD-10458"/>
    <d v="2024-10-08T00:00:00"/>
    <d v="2024-10-12T00:00:00"/>
    <s v="Kayla Green"/>
    <s v="Home Office"/>
    <x v="1"/>
    <s v="Furniture"/>
    <s v="Chairs"/>
    <s v="Much Chairs"/>
    <n v="3649.49"/>
    <n v="3"/>
    <n v="0.05"/>
    <n v="743.55"/>
    <s v="Profit"/>
  </r>
  <r>
    <s v="ORD-10459"/>
    <d v="2024-04-11T00:00:00"/>
    <d v="2024-04-12T00:00:00"/>
    <s v="Desiree Conrad"/>
    <s v="Home Office"/>
    <x v="0"/>
    <s v="Furniture"/>
    <s v="Tables"/>
    <s v="Which Tables"/>
    <n v="1907.2"/>
    <n v="5"/>
    <n v="0.2"/>
    <n v="272.2"/>
    <s v="Profit"/>
  </r>
  <r>
    <s v="ORD-10460"/>
    <d v="2025-11-13T00:00:00"/>
    <d v="2025-11-14T00:00:00"/>
    <s v="Gary Bryant"/>
    <s v="Consumer"/>
    <x v="3"/>
    <s v="Office Supplies"/>
    <s v="Binders"/>
    <s v="Item Binders"/>
    <n v="288.76"/>
    <n v="2"/>
    <n v="0.15"/>
    <n v="12.81"/>
    <s v="Profit"/>
  </r>
  <r>
    <s v="ORD-10461"/>
    <d v="2025-04-12T00:00:00"/>
    <d v="2025-04-15T00:00:00"/>
    <s v="Anthony Stone"/>
    <s v="Consumer"/>
    <x v="3"/>
    <s v="Technology"/>
    <s v="Laptops"/>
    <s v="Among Laptops"/>
    <n v="1067.2"/>
    <n v="1"/>
    <n v="0.1"/>
    <n v="33.590000000000003"/>
    <s v="Profit"/>
  </r>
  <r>
    <s v="ORD-10462"/>
    <d v="2025-06-04T00:00:00"/>
    <d v="2025-06-07T00:00:00"/>
    <s v="Amanda Strong"/>
    <s v="Consumer"/>
    <x v="3"/>
    <s v="Office Supplies"/>
    <s v="Storage"/>
    <s v="Commercial Storage"/>
    <n v="2123.19"/>
    <n v="2"/>
    <n v="0.2"/>
    <n v="414.7"/>
    <s v="Profit"/>
  </r>
  <r>
    <s v="ORD-10463"/>
    <d v="2026-05-23T00:00:00"/>
    <d v="2026-05-31T00:00:00"/>
    <s v="Paul Potts"/>
    <s v="Consumer"/>
    <x v="3"/>
    <s v="Furniture"/>
    <s v="Chairs"/>
    <s v="Member Chairs"/>
    <n v="1033.3"/>
    <n v="4"/>
    <n v="0.1"/>
    <n v="265.89"/>
    <s v="Profit"/>
  </r>
  <r>
    <s v="ORD-10464"/>
    <d v="2024-06-26T00:00:00"/>
    <d v="2024-07-01T00:00:00"/>
    <s v="Scott Graham"/>
    <s v="Home Office"/>
    <x v="2"/>
    <s v="Office Supplies"/>
    <s v="Paper"/>
    <s v="Recent Paper"/>
    <n v="843.85"/>
    <n v="9"/>
    <n v="0.15"/>
    <n v="253.74"/>
    <s v="Profit"/>
  </r>
  <r>
    <s v="ORD-10465"/>
    <d v="2024-04-23T00:00:00"/>
    <d v="2024-04-24T00:00:00"/>
    <s v="Joshua Myers"/>
    <s v="Home Office"/>
    <x v="2"/>
    <s v="Technology"/>
    <s v="Phones"/>
    <s v="Others Phones"/>
    <n v="113.11"/>
    <n v="2"/>
    <n v="0"/>
    <n v="29.34"/>
    <s v="Profit"/>
  </r>
  <r>
    <s v="ORD-10466"/>
    <d v="2024-12-18T00:00:00"/>
    <d v="2024-12-27T00:00:00"/>
    <s v="Abigail Harris"/>
    <s v="Corporate"/>
    <x v="3"/>
    <s v="Furniture"/>
    <s v="Chairs"/>
    <s v="Offer Chairs"/>
    <n v="421.49"/>
    <n v="2"/>
    <n v="0.1"/>
    <n v="65.069999999999993"/>
    <s v="Profit"/>
  </r>
  <r>
    <s v="ORD-10467"/>
    <d v="2026-01-17T00:00:00"/>
    <d v="2026-01-18T00:00:00"/>
    <s v="Carmen Garrett"/>
    <s v="Corporate"/>
    <x v="3"/>
    <s v="Technology"/>
    <s v="Accessories"/>
    <s v="Think Accessories"/>
    <n v="544.04999999999995"/>
    <n v="3"/>
    <n v="0"/>
    <n v="146.21"/>
    <s v="Profit"/>
  </r>
  <r>
    <s v="ORD-10468"/>
    <d v="2024-12-26T00:00:00"/>
    <d v="2024-12-28T00:00:00"/>
    <s v="Leslie Arias"/>
    <s v="Home Office"/>
    <x v="1"/>
    <s v="Technology"/>
    <s v="Laptops"/>
    <s v="She Laptops"/>
    <n v="520.24"/>
    <n v="1"/>
    <n v="0"/>
    <n v="139.74"/>
    <s v="Profit"/>
  </r>
  <r>
    <s v="ORD-10469"/>
    <d v="2023-11-27T00:00:00"/>
    <d v="2023-12-05T00:00:00"/>
    <s v="Scott Collier"/>
    <s v="Corporate"/>
    <x v="1"/>
    <s v="Technology"/>
    <s v="Accessories"/>
    <s v="Other Accessories"/>
    <n v="4777.6899999999996"/>
    <n v="5"/>
    <n v="0.2"/>
    <n v="-711.29"/>
    <s v="Loss"/>
  </r>
  <r>
    <s v="ORD-10470"/>
    <d v="2023-07-04T00:00:00"/>
    <d v="2023-07-11T00:00:00"/>
    <s v="William Miller"/>
    <s v="Corporate"/>
    <x v="2"/>
    <s v="Furniture"/>
    <s v="Tables"/>
    <s v="Feel Tables"/>
    <n v="4813.43"/>
    <n v="5"/>
    <n v="0.15"/>
    <n v="863.75"/>
    <s v="Profit"/>
  </r>
  <r>
    <s v="ORD-10471"/>
    <d v="2024-02-05T00:00:00"/>
    <d v="2024-02-07T00:00:00"/>
    <s v="Samuel Butler"/>
    <s v="Home Office"/>
    <x v="2"/>
    <s v="Office Supplies"/>
    <s v="Binders"/>
    <s v="Establish Binders"/>
    <n v="705.93"/>
    <n v="1"/>
    <n v="0.05"/>
    <n v="-100.92"/>
    <s v="Loss"/>
  </r>
  <r>
    <s v="ORD-10472"/>
    <d v="2025-08-21T00:00:00"/>
    <d v="2025-08-29T00:00:00"/>
    <s v="Erin Gonzalez"/>
    <s v="Home Office"/>
    <x v="1"/>
    <s v="Office Supplies"/>
    <s v="Storage"/>
    <s v="Station Storage"/>
    <n v="947.24"/>
    <n v="7"/>
    <n v="0.1"/>
    <n v="129.06"/>
    <s v="Profit"/>
  </r>
  <r>
    <s v="ORD-10473"/>
    <s v="15-01-2026"/>
    <d v="2026-01-17T00:00:00"/>
    <s v="Jennifer Parker"/>
    <s v="Home Office"/>
    <x v="3"/>
    <s v="Technology"/>
    <s v="Accessories"/>
    <s v="Model Accessories"/>
    <n v="4443.59"/>
    <n v="8"/>
    <n v="0"/>
    <n v="-733.93"/>
    <s v="Loss"/>
  </r>
  <r>
    <s v="ORD-10474"/>
    <d v="2026-05-18T00:00:00"/>
    <d v="2026-05-27T00:00:00"/>
    <s v="Kaylee Jones"/>
    <s v="Home Office"/>
    <x v="3"/>
    <s v="Furniture"/>
    <s v="Bookcases"/>
    <s v="Family Bookcases"/>
    <n v="3849.27"/>
    <n v="10"/>
    <n v="0.2"/>
    <n v="426.33"/>
    <s v="Profit"/>
  </r>
  <r>
    <s v="ORD-10475"/>
    <d v="2023-10-23T00:00:00"/>
    <d v="2023-11-02T00:00:00"/>
    <s v="Amanda French"/>
    <s v="Home Office"/>
    <x v="2"/>
    <s v="Office Supplies"/>
    <s v="Storage"/>
    <s v="See Storage"/>
    <n v="521.45000000000005"/>
    <n v="4"/>
    <n v="0.15"/>
    <n v="-5.13"/>
    <s v="Loss"/>
  </r>
  <r>
    <s v="ORD-10476"/>
    <d v="2024-12-01T00:00:00"/>
    <d v="2024-12-11T00:00:00"/>
    <s v="Raymond Merritt"/>
    <s v="Corporate"/>
    <x v="1"/>
    <s v="Furniture"/>
    <s v="Bookcases"/>
    <s v="Western Bookcases"/>
    <n v="320.10000000000002"/>
    <n v="3"/>
    <n v="0.2"/>
    <n v="85.42"/>
    <s v="Profit"/>
  </r>
  <r>
    <s v="ORD-10477"/>
    <d v="2024-02-26T00:00:00"/>
    <d v="2024-03-03T00:00:00"/>
    <s v="Paul Osborne"/>
    <s v="Home Office"/>
    <x v="2"/>
    <s v="Furniture"/>
    <s v="Tables"/>
    <s v="Forget Tables"/>
    <n v="1242.4100000000001"/>
    <n v="5"/>
    <n v="0"/>
    <n v="97.92"/>
    <s v="Profit"/>
  </r>
  <r>
    <s v="ORD-10478"/>
    <d v="2025-06-14T00:00:00"/>
    <d v="2025-06-16T00:00:00"/>
    <s v="Ian Webb"/>
    <s v="Corporate"/>
    <x v="2"/>
    <s v="Technology"/>
    <s v="Phones"/>
    <s v="Mother Phones"/>
    <n v="2322.52"/>
    <n v="10"/>
    <n v="0.15"/>
    <n v="-352.07"/>
    <s v="Loss"/>
  </r>
  <r>
    <s v="ORD-10479"/>
    <d v="2024-03-07T00:00:00"/>
    <d v="2024-03-15T00:00:00"/>
    <s v="Christine Martin"/>
    <s v="Consumer"/>
    <x v="0"/>
    <s v="Technology"/>
    <s v="Phones"/>
    <s v="Country Phones"/>
    <n v="3738.93"/>
    <n v="1"/>
    <n v="0"/>
    <n v="81.849999999999994"/>
    <s v="Profit"/>
  </r>
  <r>
    <s v="ORD-10480"/>
    <d v="2025-12-22T00:00:00"/>
    <d v="2026-01-01T00:00:00"/>
    <s v="Alicia Dawson"/>
    <s v="Home Office"/>
    <x v="2"/>
    <s v="Furniture"/>
    <s v="Bookcases"/>
    <s v="My Bookcases"/>
    <n v="3205.81"/>
    <n v="9"/>
    <n v="0.2"/>
    <n v="-276.44"/>
    <s v="Loss"/>
  </r>
  <r>
    <s v="ORD-10481"/>
    <d v="2026-04-12T00:00:00"/>
    <d v="2026-04-13T00:00:00"/>
    <s v="Danny Young"/>
    <s v="Home Office"/>
    <x v="2"/>
    <s v="Technology"/>
    <s v="Accessories"/>
    <s v="Six Accessories"/>
    <n v="4092.11"/>
    <n v="8"/>
    <n v="0.1"/>
    <n v="442.29"/>
    <s v="Profit"/>
  </r>
  <r>
    <s v="ORD-10482"/>
    <d v="2025-11-23T00:00:00"/>
    <d v="2025-11-29T00:00:00"/>
    <s v="Sharon Francis"/>
    <s v="Consumer"/>
    <x v="0"/>
    <s v="Office Supplies"/>
    <s v="Storage"/>
    <s v="Trouble Storage"/>
    <n v="3593.77"/>
    <n v="2"/>
    <n v="0"/>
    <n v="782.1"/>
    <s v="Profit"/>
  </r>
  <r>
    <s v="ORD-10483"/>
    <d v="2025-06-21T00:00:00"/>
    <d v="2025-06-26T00:00:00"/>
    <s v="Philip Singleton"/>
    <s v="Consumer"/>
    <x v="2"/>
    <s v="Technology"/>
    <s v="Accessories"/>
    <s v="Support Accessories"/>
    <n v="2761.07"/>
    <n v="6"/>
    <n v="0.2"/>
    <n v="-390.75"/>
    <s v="Loss"/>
  </r>
  <r>
    <s v="ORD-10484"/>
    <d v="2023-07-20T00:00:00"/>
    <d v="2023-07-27T00:00:00"/>
    <s v="Amy Lee"/>
    <s v="Corporate"/>
    <x v="1"/>
    <s v="Furniture"/>
    <s v="Bookcases"/>
    <s v="Direction Bookcases"/>
    <n v="579.46"/>
    <n v="10"/>
    <n v="0.05"/>
    <n v="-56.12"/>
    <s v="Loss"/>
  </r>
  <r>
    <s v="ORD-10485"/>
    <d v="2025-04-03T00:00:00"/>
    <d v="2025-04-09T00:00:00"/>
    <s v="Stephen Meyer"/>
    <s v="Home Office"/>
    <x v="0"/>
    <s v="Technology"/>
    <s v="Phones"/>
    <s v="Remember Phones"/>
    <n v="583.44000000000005"/>
    <n v="7"/>
    <n v="0"/>
    <n v="180.66"/>
    <s v="Profit"/>
  </r>
  <r>
    <s v="ORD-10486"/>
    <d v="2023-05-27T00:00:00"/>
    <d v="2023-06-06T00:00:00"/>
    <s v="Rachel Santos"/>
    <s v="Home Office"/>
    <x v="0"/>
    <s v="Technology"/>
    <s v="Accessories"/>
    <s v="Face Accessories"/>
    <n v="4783.1400000000003"/>
    <n v="3"/>
    <n v="0.15"/>
    <n v="-945.22"/>
    <s v="Loss"/>
  </r>
  <r>
    <s v="ORD-10487"/>
    <d v="2024-10-04T00:00:00"/>
    <d v="2024-10-14T00:00:00"/>
    <s v="Travis George"/>
    <s v="Consumer"/>
    <x v="1"/>
    <s v="Office Supplies"/>
    <s v="Paper"/>
    <s v="Its Paper"/>
    <n v="2440.5100000000002"/>
    <n v="9"/>
    <n v="0.05"/>
    <n v="440.51"/>
    <s v="Profit"/>
  </r>
  <r>
    <s v="ORD-10488"/>
    <d v="2025-12-01T00:00:00"/>
    <d v="2025-12-11T00:00:00"/>
    <s v="Steven Phillips"/>
    <s v="Corporate"/>
    <x v="1"/>
    <s v="Furniture"/>
    <s v="Tables"/>
    <s v="Make Tables"/>
    <n v="3050.5"/>
    <n v="6"/>
    <n v="0.2"/>
    <n v="868.68"/>
    <s v="Profit"/>
  </r>
  <r>
    <s v="ORD-10489"/>
    <d v="2025-10-02T00:00:00"/>
    <d v="2025-10-08T00:00:00"/>
    <s v="Karen Greene"/>
    <s v="Home Office"/>
    <x v="3"/>
    <s v="Technology"/>
    <s v="Accessories"/>
    <s v="Listen Accessories"/>
    <n v="4853.93"/>
    <n v="8"/>
    <n v="0.05"/>
    <n v="-601.89"/>
    <s v="Loss"/>
  </r>
  <r>
    <s v="ORD-10490"/>
    <d v="2026-02-01T00:00:00"/>
    <d v="2026-02-07T00:00:00"/>
    <s v="Lindsay Bell"/>
    <s v="Consumer"/>
    <x v="3"/>
    <s v="Office Supplies"/>
    <s v="Storage"/>
    <s v="Wall Storage"/>
    <n v="3573.78"/>
    <n v="9"/>
    <n v="0.2"/>
    <n v="-287.55"/>
    <s v="Loss"/>
  </r>
  <r>
    <s v="ORD-10491"/>
    <d v="2024-04-20T00:00:00"/>
    <d v="2024-04-23T00:00:00"/>
    <s v="Joel Johnson"/>
    <s v="Home Office"/>
    <x v="3"/>
    <s v="Office Supplies"/>
    <s v="Paper"/>
    <s v="Generation Paper"/>
    <n v="4907.6099999999997"/>
    <n v="3"/>
    <n v="0.2"/>
    <n v="482.76"/>
    <s v="Profit"/>
  </r>
  <r>
    <s v="ORD-10492"/>
    <d v="2024-06-09T00:00:00"/>
    <d v="2024-06-15T00:00:00"/>
    <s v="Devin Young"/>
    <s v="Home Office"/>
    <x v="2"/>
    <s v="Office Supplies"/>
    <s v="Binders"/>
    <s v="Music Binders"/>
    <n v="2833.29"/>
    <n v="10"/>
    <n v="0.2"/>
    <n v="902.32"/>
    <s v="Profit"/>
  </r>
  <r>
    <s v="ORD-10493"/>
    <d v="2023-07-02T00:00:00"/>
    <d v="2023-07-11T00:00:00"/>
    <s v="Jenna Walton"/>
    <s v="Consumer"/>
    <x v="2"/>
    <s v="Office Supplies"/>
    <s v="Storage"/>
    <s v="You Storage"/>
    <n v="1465.34"/>
    <n v="7"/>
    <n v="0"/>
    <n v="128.22"/>
    <s v="Profit"/>
  </r>
  <r>
    <s v="ORD-10494"/>
    <d v="2025-08-25T00:00:00"/>
    <d v="2025-08-26T00:00:00"/>
    <s v="Cody Robinson"/>
    <s v="Consumer"/>
    <x v="0"/>
    <s v="Furniture"/>
    <s v="Chairs"/>
    <s v="Child Chairs"/>
    <n v="1039.52"/>
    <n v="3"/>
    <n v="0.1"/>
    <n v="182.81"/>
    <s v="Profit"/>
  </r>
  <r>
    <s v="ORD-10495"/>
    <d v="2025-12-12T00:00:00"/>
    <d v="2025-12-16T00:00:00"/>
    <s v="Erin Moore"/>
    <s v="Consumer"/>
    <x v="1"/>
    <s v="Office Supplies"/>
    <s v="Paper"/>
    <s v="Run Paper"/>
    <n v="3780.29"/>
    <n v="1"/>
    <n v="0.1"/>
    <n v="936.43"/>
    <s v="Profit"/>
  </r>
  <r>
    <s v="ORD-10496"/>
    <d v="2023-08-17T00:00:00"/>
    <d v="2023-08-26T00:00:00"/>
    <s v="Lindsey Moore"/>
    <s v="Home Office"/>
    <x v="0"/>
    <s v="Office Supplies"/>
    <s v="Storage"/>
    <s v="Cost Storage"/>
    <n v="1974.99"/>
    <n v="9"/>
    <n v="0.2"/>
    <n v="-82.55"/>
    <s v="Loss"/>
  </r>
  <r>
    <s v="ORD-10497"/>
    <d v="2023-10-02T00:00:00"/>
    <d v="2023-10-09T00:00:00"/>
    <s v="Anne Cooper"/>
    <s v="Home Office"/>
    <x v="3"/>
    <s v="Technology"/>
    <s v="Accessories"/>
    <s v="Church Accessories"/>
    <n v="4785.67"/>
    <n v="6"/>
    <n v="0.2"/>
    <n v="-815.52"/>
    <s v="Loss"/>
  </r>
  <r>
    <s v="ORD-10498"/>
    <d v="2025-07-03T00:00:00"/>
    <d v="2025-07-11T00:00:00"/>
    <s v="Shawna Perez"/>
    <s v="Home Office"/>
    <x v="1"/>
    <s v="Furniture"/>
    <s v="Bookcases"/>
    <s v="Window Bookcases"/>
    <n v="4158.42"/>
    <n v="6"/>
    <n v="0.2"/>
    <n v="418.5"/>
    <s v="Profit"/>
  </r>
  <r>
    <s v="ORD-10499"/>
    <d v="2024-04-23T00:00:00"/>
    <d v="2024-04-28T00:00:00"/>
    <s v="Alyssa Martinez Dvm"/>
    <s v="Home Office"/>
    <x v="0"/>
    <s v="Office Supplies"/>
    <s v="Binders"/>
    <s v="College Binders"/>
    <n v="2271.63"/>
    <n v="2"/>
    <n v="0.05"/>
    <n v="748.19"/>
    <s v="Profit"/>
  </r>
  <r>
    <s v="ORD-10500"/>
    <d v="2023-08-16T00:00:00"/>
    <d v="2023-08-23T00:00:00"/>
    <s v="Brandy Vega"/>
    <s v="Corporate"/>
    <x v="0"/>
    <s v="Technology"/>
    <s v="Phones"/>
    <s v="Memory Phones"/>
    <n v="1431.61"/>
    <n v="5"/>
    <n v="0.05"/>
    <n v="-159.61000000000001"/>
    <s v="Loss"/>
  </r>
  <r>
    <s v="ORD-10501"/>
    <d v="2025-07-16T00:00:00"/>
    <d v="2025-07-19T00:00:00"/>
    <s v="David Thomas"/>
    <s v="Home Office"/>
    <x v="3"/>
    <s v="Technology"/>
    <s v="Accessories"/>
    <s v="Discuss Accessories"/>
    <n v="247.71"/>
    <n v="6"/>
    <n v="0.2"/>
    <n v="-42.61"/>
    <s v="Loss"/>
  </r>
  <r>
    <s v="ORD-10502"/>
    <d v="2023-11-29T00:00:00"/>
    <d v="2023-12-08T00:00:00"/>
    <s v="Erin Nelson"/>
    <s v="Consumer"/>
    <x v="0"/>
    <s v="Technology"/>
    <s v="Laptops"/>
    <s v="Civil Laptops"/>
    <n v="1822.52"/>
    <n v="6"/>
    <n v="0.2"/>
    <n v="-144.02000000000001"/>
    <s v="Loss"/>
  </r>
  <r>
    <s v="ORD-10503"/>
    <d v="2024-01-17T00:00:00"/>
    <d v="2024-01-24T00:00:00"/>
    <s v="Linda Gaines"/>
    <s v="Consumer"/>
    <x v="3"/>
    <s v="Office Supplies"/>
    <s v="Binders"/>
    <s v="News Binders"/>
    <n v="2738.25"/>
    <n v="7"/>
    <n v="0"/>
    <n v="-21.44"/>
    <s v="Loss"/>
  </r>
  <r>
    <s v="ORD-10504"/>
    <d v="2024-01-19T00:00:00"/>
    <d v="2024-01-24T00:00:00"/>
    <s v="Dustin Shaw"/>
    <s v="Home Office"/>
    <x v="0"/>
    <s v="Technology"/>
    <s v="Accessories"/>
    <s v="Country Accessories"/>
    <n v="1131.3"/>
    <n v="10"/>
    <n v="0.2"/>
    <n v="69.2"/>
    <s v="Profit"/>
  </r>
  <r>
    <s v="ORD-10505"/>
    <d v="2025-12-18T00:00:00"/>
    <d v="2025-12-24T00:00:00"/>
    <s v="Jessica Christian"/>
    <s v="Consumer"/>
    <x v="3"/>
    <s v="Furniture"/>
    <s v="Bookcases"/>
    <s v="Civil Bookcases"/>
    <n v="2256.0500000000002"/>
    <n v="10"/>
    <n v="0.2"/>
    <n v="-148.66"/>
    <s v="Loss"/>
  </r>
  <r>
    <s v="ORD-10506"/>
    <d v="2023-10-21T00:00:00"/>
    <d v="2023-10-28T00:00:00"/>
    <s v="Mary Stewart"/>
    <s v="Corporate"/>
    <x v="2"/>
    <s v="Technology"/>
    <s v="Phones"/>
    <s v="Relate Phones"/>
    <n v="1320.12"/>
    <n v="5"/>
    <n v="0"/>
    <n v="397.67"/>
    <s v="Profit"/>
  </r>
  <r>
    <s v="ORD-10507"/>
    <d v="2025-04-19T00:00:00"/>
    <d v="2025-04-24T00:00:00"/>
    <s v="Unknown"/>
    <s v="Consumer"/>
    <x v="1"/>
    <s v="Technology"/>
    <s v="Phones"/>
    <s v="Mrs Phones"/>
    <n v="4496.49"/>
    <n v="4"/>
    <n v="0.1"/>
    <n v="371.6"/>
    <s v="Profit"/>
  </r>
  <r>
    <s v="ORD-10508"/>
    <d v="2024-08-11T00:00:00"/>
    <d v="2024-08-12T00:00:00"/>
    <s v="James Hall"/>
    <s v="Consumer"/>
    <x v="2"/>
    <s v="Office Supplies"/>
    <s v="Storage"/>
    <s v="Scientist Storage"/>
    <n v="3153.32"/>
    <n v="4"/>
    <n v="0.2"/>
    <n v="461.12"/>
    <s v="Profit"/>
  </r>
  <r>
    <s v="ORD-10509"/>
    <d v="2023-09-26T00:00:00"/>
    <d v="2023-10-05T00:00:00"/>
    <s v="Stephanie Howard"/>
    <s v="Consumer"/>
    <x v="1"/>
    <s v="Furniture"/>
    <s v="Chairs"/>
    <s v="Fight Chairs"/>
    <n v="4152.3100000000004"/>
    <n v="7"/>
    <n v="0.2"/>
    <n v="1034.82"/>
    <s v="Profit"/>
  </r>
  <r>
    <s v="ORD-10510"/>
    <d v="2024-03-17T00:00:00"/>
    <d v="2024-03-23T00:00:00"/>
    <s v="Ian Martinez"/>
    <s v="Corporate"/>
    <x v="0"/>
    <s v="Furniture"/>
    <s v="Tables"/>
    <s v="Grow Tables"/>
    <n v="237.54"/>
    <n v="2"/>
    <n v="0"/>
    <n v="-24.25"/>
    <s v="Loss"/>
  </r>
  <r>
    <s v="ORD-10511"/>
    <d v="2024-01-06T00:00:00"/>
    <d v="2024-01-11T00:00:00"/>
    <s v="Ann Jones"/>
    <s v="Corporate"/>
    <x v="0"/>
    <s v="Office Supplies"/>
    <s v="Binders"/>
    <s v="Hold Binders"/>
    <n v="2067.7800000000002"/>
    <n v="8"/>
    <n v="0.2"/>
    <n v="46.41"/>
    <s v="Profit"/>
  </r>
  <r>
    <s v="ORD-10512"/>
    <d v="2026-03-06T00:00:00"/>
    <d v="2026-03-08T00:00:00"/>
    <s v="Dr. Colleen Nichols Dds"/>
    <s v="Home Office"/>
    <x v="0"/>
    <s v="Technology"/>
    <s v="Laptops"/>
    <s v="Seven Laptops"/>
    <n v="2697.43"/>
    <n v="10"/>
    <n v="0"/>
    <n v="582.04999999999995"/>
    <s v="Profit"/>
  </r>
  <r>
    <s v="ORD-10513"/>
    <s v="04-03-2026"/>
    <d v="2026-03-10T00:00:00"/>
    <s v="Brenda Brown"/>
    <s v="Corporate"/>
    <x v="0"/>
    <s v="Office Supplies"/>
    <s v="Binders"/>
    <s v="Stage Binders"/>
    <n v="4643.84"/>
    <n v="2"/>
    <n v="0.1"/>
    <n v="1081.04"/>
    <s v="Profit"/>
  </r>
  <r>
    <s v="ORD-10514"/>
    <d v="2025-10-20T00:00:00"/>
    <d v="2025-10-27T00:00:00"/>
    <s v="Tony Bentley"/>
    <s v="Consumer"/>
    <x v="1"/>
    <s v="Technology"/>
    <s v="Accessories"/>
    <s v="Can Accessories"/>
    <n v="2005.81"/>
    <n v="1"/>
    <n v="0.15"/>
    <n v="-228.71"/>
    <s v="Loss"/>
  </r>
  <r>
    <s v="ORD-10515"/>
    <d v="2026-03-26T00:00:00"/>
    <d v="2026-04-04T00:00:00"/>
    <s v="John Smith"/>
    <s v="Home Office"/>
    <x v="3"/>
    <s v="Office Supplies"/>
    <s v="Paper"/>
    <s v="Write Paper"/>
    <n v="1510.14"/>
    <n v="3"/>
    <n v="0.1"/>
    <n v="260.51"/>
    <s v="Profit"/>
  </r>
  <r>
    <s v="ORD-10516"/>
    <s v="05-02-2025"/>
    <d v="2025-02-14T00:00:00"/>
    <s v="Mandy Green"/>
    <s v="Corporate"/>
    <x v="0"/>
    <s v="Furniture"/>
    <s v="Bookcases"/>
    <s v="Eat Bookcases"/>
    <n v="749.8"/>
    <n v="1"/>
    <n v="0"/>
    <n v="86.22"/>
    <s v="Profit"/>
  </r>
  <r>
    <s v="ORD-10517"/>
    <d v="2026-05-17T00:00:00"/>
    <d v="2026-05-23T00:00:00"/>
    <s v="Karen Harrison"/>
    <s v="Consumer"/>
    <x v="3"/>
    <s v="Technology"/>
    <s v="Phones"/>
    <s v="Process Phones"/>
    <n v="1098.0999999999999"/>
    <n v="9"/>
    <n v="0.05"/>
    <n v="-122.41"/>
    <s v="Loss"/>
  </r>
  <r>
    <s v="ORD-10518"/>
    <d v="2025-09-20T00:00:00"/>
    <d v="2025-09-23T00:00:00"/>
    <s v="Jeffrey Edwards"/>
    <s v="Home Office"/>
    <x v="2"/>
    <s v="Furniture"/>
    <s v="Chairs"/>
    <s v="Analysis Chairs"/>
    <n v="3371.34"/>
    <n v="10"/>
    <n v="0"/>
    <n v="904.41"/>
    <s v="Profit"/>
  </r>
  <r>
    <s v="ORD-10519"/>
    <d v="2023-10-18T00:00:00"/>
    <d v="2023-10-20T00:00:00"/>
    <s v="Shelley Smith"/>
    <s v="Home Office"/>
    <x v="2"/>
    <s v="Office Supplies"/>
    <s v="Storage"/>
    <s v="Age Storage"/>
    <n v="1488.73"/>
    <n v="2"/>
    <n v="0.1"/>
    <n v="-217.34"/>
    <s v="Loss"/>
  </r>
  <r>
    <s v="ORD-10520"/>
    <d v="2025-04-02T00:00:00"/>
    <d v="2025-04-05T00:00:00"/>
    <s v="Stephen Fletcher"/>
    <s v="Consumer"/>
    <x v="1"/>
    <s v="Technology"/>
    <s v="Accessories"/>
    <s v="Agent Accessories"/>
    <n v="3372.91"/>
    <n v="4"/>
    <n v="0"/>
    <n v="-145.62"/>
    <s v="Loss"/>
  </r>
  <r>
    <s v="ORD-10521"/>
    <d v="2025-08-13T00:00:00"/>
    <d v="2025-08-21T00:00:00"/>
    <s v="Brenda Nelson"/>
    <s v="Home Office"/>
    <x v="2"/>
    <s v="Technology"/>
    <s v="Accessories"/>
    <s v="Major Accessories"/>
    <n v="1675.31"/>
    <n v="5"/>
    <n v="0.2"/>
    <n v="203.2"/>
    <s v="Profit"/>
  </r>
  <r>
    <s v="ORD-10522"/>
    <d v="2026-04-25T00:00:00"/>
    <d v="2026-04-28T00:00:00"/>
    <s v="Kathryn Holder"/>
    <s v="Home Office"/>
    <x v="2"/>
    <s v="Technology"/>
    <s v="Accessories"/>
    <s v="Measure Accessories"/>
    <n v="73.92"/>
    <n v="4"/>
    <n v="0.05"/>
    <n v="14.17"/>
    <s v="Profit"/>
  </r>
  <r>
    <s v="ORD-10523"/>
    <d v="2025-03-17T00:00:00"/>
    <d v="2025-03-20T00:00:00"/>
    <s v="Caroline Gardner"/>
    <s v="Corporate"/>
    <x v="3"/>
    <s v="Technology"/>
    <s v="Accessories"/>
    <s v="Can Accessories"/>
    <n v="3413.92"/>
    <n v="6"/>
    <n v="0.15"/>
    <n v="186.29"/>
    <s v="Profit"/>
  </r>
  <r>
    <s v="ORD-10524"/>
    <d v="2024-06-27T00:00:00"/>
    <d v="2024-06-29T00:00:00"/>
    <s v="Melissa Booth"/>
    <s v="Consumer"/>
    <x v="1"/>
    <s v="Technology"/>
    <s v="Laptops"/>
    <s v="Physical Laptops"/>
    <n v="920.06"/>
    <n v="10"/>
    <n v="0"/>
    <n v="241.96"/>
    <s v="Profit"/>
  </r>
  <r>
    <s v="ORD-10525"/>
    <d v="2024-12-07T00:00:00"/>
    <d v="2024-12-09T00:00:00"/>
    <s v="Megan Serrano"/>
    <s v="Home Office"/>
    <x v="2"/>
    <s v="Technology"/>
    <s v="Laptops"/>
    <s v="Experience Laptops"/>
    <n v="3650.76"/>
    <n v="1"/>
    <n v="0.2"/>
    <n v="538.1"/>
    <s v="Profit"/>
  </r>
  <r>
    <s v="ORD-10526"/>
    <d v="2024-04-19T00:00:00"/>
    <d v="2024-04-20T00:00:00"/>
    <s v="Steven Holloway"/>
    <s v="Consumer"/>
    <x v="3"/>
    <s v="Office Supplies"/>
    <s v="Binders"/>
    <s v="Character Binders"/>
    <n v="2780.39"/>
    <n v="9"/>
    <n v="0.2"/>
    <n v="165.87"/>
    <s v="Profit"/>
  </r>
  <r>
    <s v="ORD-10527"/>
    <d v="2025-02-14T00:00:00"/>
    <d v="2025-02-24T00:00:00"/>
    <s v="Angelica Taylor"/>
    <s v="Home Office"/>
    <x v="0"/>
    <s v="Technology"/>
    <s v="Phones"/>
    <s v="Site Phones"/>
    <n v="3679.47"/>
    <n v="5"/>
    <n v="0.05"/>
    <n v="204.53"/>
    <s v="Profit"/>
  </r>
  <r>
    <s v="ORD-10528"/>
    <d v="2024-01-05T00:00:00"/>
    <d v="2024-01-14T00:00:00"/>
    <s v="Robert Meyers"/>
    <s v="Home Office"/>
    <x v="1"/>
    <s v="Technology"/>
    <s v="Accessories"/>
    <s v="Teach Accessories"/>
    <n v="102.43"/>
    <n v="4"/>
    <n v="0.2"/>
    <n v="18.059999999999999"/>
    <s v="Profit"/>
  </r>
  <r>
    <s v="ORD-10529"/>
    <d v="2024-10-14T00:00:00"/>
    <d v="2024-10-17T00:00:00"/>
    <s v="Unknown"/>
    <s v="Consumer"/>
    <x v="2"/>
    <s v="Technology"/>
    <s v="Phones"/>
    <s v="Evening Phones"/>
    <n v="2853.47"/>
    <n v="10"/>
    <n v="0.2"/>
    <n v="798.14"/>
    <s v="Profit"/>
  </r>
  <r>
    <s v="ORD-10530"/>
    <d v="2026-01-09T00:00:00"/>
    <d v="2026-01-13T00:00:00"/>
    <s v="Jonathan Flores"/>
    <s v="Consumer"/>
    <x v="0"/>
    <s v="Technology"/>
    <s v="Phones"/>
    <s v="Tonight Phones"/>
    <n v="3819.29"/>
    <n v="4"/>
    <n v="0"/>
    <n v="-208.55"/>
    <s v="Loss"/>
  </r>
  <r>
    <s v="ORD-10531"/>
    <d v="2025-05-13T00:00:00"/>
    <d v="2025-05-22T00:00:00"/>
    <s v="Matthew Williams"/>
    <s v="Corporate"/>
    <x v="0"/>
    <s v="Office Supplies"/>
    <s v="Binders"/>
    <s v="Everybody Binders"/>
    <n v="4543.24"/>
    <n v="6"/>
    <n v="0.15"/>
    <n v="264.97000000000003"/>
    <s v="Profit"/>
  </r>
  <r>
    <s v="ORD-10532"/>
    <d v="2025-05-15T00:00:00"/>
    <d v="2025-05-21T00:00:00"/>
    <s v="Lindsay Gray"/>
    <s v="Home Office"/>
    <x v="3"/>
    <s v="Furniture"/>
    <s v="Bookcases"/>
    <s v="Such Bookcases"/>
    <n v="560.96"/>
    <n v="9"/>
    <n v="0.2"/>
    <n v="143.78"/>
    <s v="Profit"/>
  </r>
  <r>
    <s v="ORD-10533"/>
    <d v="2023-11-26T00:00:00"/>
    <d v="2023-12-06T00:00:00"/>
    <s v="Anna Wood"/>
    <s v="Consumer"/>
    <x v="3"/>
    <s v="Office Supplies"/>
    <s v="Storage"/>
    <s v="Nothing Storage"/>
    <n v="910.56"/>
    <n v="7"/>
    <n v="0.1"/>
    <n v="112.2"/>
    <s v="Profit"/>
  </r>
  <r>
    <s v="ORD-10534"/>
    <d v="2023-11-28T00:00:00"/>
    <d v="2023-12-07T00:00:00"/>
    <s v="Angela Mccoy"/>
    <s v="Home Office"/>
    <x v="0"/>
    <s v="Technology"/>
    <s v="Phones"/>
    <s v="Like Phones"/>
    <n v="2058.92"/>
    <n v="6"/>
    <n v="0.15"/>
    <n v="485.83"/>
    <s v="Profit"/>
  </r>
  <r>
    <s v="ORD-10535"/>
    <d v="2025-04-28T00:00:00"/>
    <d v="2025-05-06T00:00:00"/>
    <s v="Ashley Pittman"/>
    <s v="Consumer"/>
    <x v="1"/>
    <s v="Office Supplies"/>
    <s v="Binders"/>
    <s v="Either Binders"/>
    <n v="869.75"/>
    <n v="2"/>
    <n v="0.2"/>
    <n v="133.87"/>
    <s v="Profit"/>
  </r>
  <r>
    <s v="ORD-10536"/>
    <d v="2023-08-27T00:00:00"/>
    <d v="2023-09-02T00:00:00"/>
    <s v="Diana Martin"/>
    <s v="Corporate"/>
    <x v="0"/>
    <s v="Furniture"/>
    <s v="Chairs"/>
    <s v="Understand Chairs"/>
    <n v="3030"/>
    <n v="2"/>
    <n v="0.2"/>
    <n v="-222.13"/>
    <s v="Loss"/>
  </r>
  <r>
    <s v="ORD-10537"/>
    <d v="2025-09-20T00:00:00"/>
    <d v="2025-09-28T00:00:00"/>
    <s v="Roberto Vaughan"/>
    <s v="Corporate"/>
    <x v="0"/>
    <s v="Technology"/>
    <s v="Laptops"/>
    <s v="Because Laptops"/>
    <n v="2421.15"/>
    <n v="10"/>
    <n v="0.05"/>
    <n v="377.68"/>
    <s v="Profit"/>
  </r>
  <r>
    <s v="ORD-10538"/>
    <d v="2025-01-16T00:00:00"/>
    <d v="2025-01-19T00:00:00"/>
    <s v="Loretta Roberts"/>
    <s v="Consumer"/>
    <x v="1"/>
    <s v="Furniture"/>
    <s v="Chairs"/>
    <s v="Here Chairs"/>
    <n v="2888.76"/>
    <n v="3"/>
    <n v="0.05"/>
    <n v="422.47"/>
    <s v="Profit"/>
  </r>
  <r>
    <s v="ORD-10539"/>
    <d v="2023-12-18T00:00:00"/>
    <d v="2023-12-23T00:00:00"/>
    <s v="Casey Potts"/>
    <s v="Home Office"/>
    <x v="0"/>
    <s v="Furniture"/>
    <s v="Chairs"/>
    <s v="Information Chairs"/>
    <n v="4616.1099999999997"/>
    <n v="9"/>
    <n v="0.15"/>
    <n v="598.46"/>
    <s v="Profit"/>
  </r>
  <r>
    <s v="ORD-10540"/>
    <d v="2024-06-04T00:00:00"/>
    <d v="2024-06-09T00:00:00"/>
    <s v="Nichole Richardson"/>
    <s v="Corporate"/>
    <x v="2"/>
    <s v="Office Supplies"/>
    <s v="Storage"/>
    <s v="His Storage"/>
    <n v="4738.91"/>
    <n v="4"/>
    <n v="0.15"/>
    <n v="633.07000000000005"/>
    <s v="Profit"/>
  </r>
  <r>
    <s v="ORD-10541"/>
    <d v="2024-04-03T00:00:00"/>
    <d v="2024-04-10T00:00:00"/>
    <s v="David Cherry"/>
    <s v="Home Office"/>
    <x v="3"/>
    <s v="Furniture"/>
    <s v="Chairs"/>
    <s v="Spring Chairs"/>
    <n v="3024.15"/>
    <n v="10"/>
    <n v="0.05"/>
    <n v="431.75"/>
    <s v="Profit"/>
  </r>
  <r>
    <s v="ORD-10542"/>
    <d v="2023-12-06T00:00:00"/>
    <d v="2023-12-12T00:00:00"/>
    <s v="Ashley Roberts"/>
    <s v="Corporate"/>
    <x v="2"/>
    <s v="Furniture"/>
    <s v="Bookcases"/>
    <s v="Economy Bookcases"/>
    <n v="4615.6400000000003"/>
    <n v="10"/>
    <n v="0.2"/>
    <n v="-748.36"/>
    <s v="Loss"/>
  </r>
  <r>
    <s v="ORD-10543"/>
    <d v="2024-07-05T00:00:00"/>
    <d v="2024-07-06T00:00:00"/>
    <s v="Grace Black"/>
    <s v="Consumer"/>
    <x v="0"/>
    <s v="Furniture"/>
    <s v="Chairs"/>
    <s v="Foot Chairs"/>
    <n v="1051.6300000000001"/>
    <n v="9"/>
    <n v="0.2"/>
    <n v="32.479999999999997"/>
    <s v="Profit"/>
  </r>
  <r>
    <s v="ORD-10544"/>
    <d v="2023-09-30T00:00:00"/>
    <d v="2023-10-10T00:00:00"/>
    <s v="Ashley Warren"/>
    <s v="Consumer"/>
    <x v="2"/>
    <s v="Furniture"/>
    <s v="Tables"/>
    <s v="Impact Tables"/>
    <n v="3019.08"/>
    <n v="9"/>
    <n v="0.2"/>
    <n v="645.51"/>
    <s v="Profit"/>
  </r>
  <r>
    <s v="ORD-10545"/>
    <d v="2024-10-08T00:00:00"/>
    <d v="2024-10-18T00:00:00"/>
    <s v="Sarah Sloan"/>
    <s v="Home Office"/>
    <x v="2"/>
    <s v="Office Supplies"/>
    <s v="Binders"/>
    <s v="Forget Binders"/>
    <n v="2719.47"/>
    <n v="1"/>
    <n v="0.2"/>
    <n v="427.17"/>
    <s v="Profit"/>
  </r>
  <r>
    <s v="ORD-10546"/>
    <d v="2024-05-09T00:00:00"/>
    <d v="2024-05-18T00:00:00"/>
    <s v="Matthew Yang"/>
    <s v="Home Office"/>
    <x v="0"/>
    <s v="Technology"/>
    <s v="Phones"/>
    <s v="Partner Phones"/>
    <n v="2173.33"/>
    <n v="8"/>
    <n v="0.15"/>
    <n v="-15.68"/>
    <s v="Loss"/>
  </r>
  <r>
    <s v="ORD-10547"/>
    <d v="2024-10-30T00:00:00"/>
    <d v="2024-11-04T00:00:00"/>
    <s v="Kelly Moore"/>
    <s v="Home Office"/>
    <x v="2"/>
    <s v="Technology"/>
    <s v="Phones"/>
    <s v="Material Phones"/>
    <n v="2411.85"/>
    <n v="4"/>
    <n v="0"/>
    <n v="-106.61"/>
    <s v="Loss"/>
  </r>
  <r>
    <s v="ORD-10548"/>
    <d v="2024-11-26T00:00:00"/>
    <d v="2024-11-27T00:00:00"/>
    <s v="Jennifer Hudson"/>
    <s v="Home Office"/>
    <x v="0"/>
    <s v="Technology"/>
    <s v="Phones"/>
    <s v="Plant Phones"/>
    <n v="3560.29"/>
    <n v="1"/>
    <n v="0.2"/>
    <n v="311.16000000000003"/>
    <s v="Profit"/>
  </r>
  <r>
    <s v="ORD-10549"/>
    <d v="2024-01-12T00:00:00"/>
    <d v="2024-01-16T00:00:00"/>
    <s v="Erin Anderson"/>
    <s v="Consumer"/>
    <x v="2"/>
    <s v="Technology"/>
    <s v="Laptops"/>
    <s v="Area Laptops"/>
    <n v="3454.45"/>
    <n v="6"/>
    <n v="0.15"/>
    <n v="-2.6"/>
    <s v="Loss"/>
  </r>
  <r>
    <s v="ORD-10550"/>
    <d v="2023-11-05T00:00:00"/>
    <d v="2023-11-10T00:00:00"/>
    <s v="Angela Price"/>
    <s v="Home Office"/>
    <x v="3"/>
    <s v="Office Supplies"/>
    <s v="Storage"/>
    <s v="Great Storage"/>
    <n v="1343.45"/>
    <n v="9"/>
    <n v="0.15"/>
    <n v="148.54"/>
    <s v="Profit"/>
  </r>
  <r>
    <s v="ORD-10551"/>
    <d v="2025-08-27T00:00:00"/>
    <d v="2025-08-31T00:00:00"/>
    <s v="Brenda Ryan"/>
    <s v="Home Office"/>
    <x v="2"/>
    <s v="Office Supplies"/>
    <s v="Paper"/>
    <s v="Produce Paper"/>
    <n v="2095.48"/>
    <n v="9"/>
    <n v="0.15"/>
    <n v="-213.12"/>
    <s v="Loss"/>
  </r>
  <r>
    <s v="ORD-10552"/>
    <d v="2025-10-03T00:00:00"/>
    <d v="2025-10-13T00:00:00"/>
    <s v="Rebecca Christensen"/>
    <s v="Home Office"/>
    <x v="0"/>
    <s v="Technology"/>
    <s v="Accessories"/>
    <s v="Situation Accessories"/>
    <n v="1754.56"/>
    <n v="7"/>
    <n v="0.2"/>
    <n v="-217.67"/>
    <s v="Loss"/>
  </r>
  <r>
    <s v="ORD-10553"/>
    <d v="2024-06-14T00:00:00"/>
    <d v="2024-06-22T00:00:00"/>
    <s v="Amy Watson"/>
    <s v="Corporate"/>
    <x v="3"/>
    <s v="Office Supplies"/>
    <s v="Binders"/>
    <s v="Above Binders"/>
    <n v="3926.39"/>
    <n v="3"/>
    <n v="0"/>
    <n v="-322.14999999999998"/>
    <s v="Loss"/>
  </r>
  <r>
    <s v="ORD-10554"/>
    <d v="2025-07-22T00:00:00"/>
    <d v="2025-07-23T00:00:00"/>
    <s v="John Day"/>
    <s v="Corporate"/>
    <x v="2"/>
    <s v="Office Supplies"/>
    <s v="Storage"/>
    <s v="Ball Storage"/>
    <n v="845.65"/>
    <n v="1"/>
    <n v="0"/>
    <n v="213.77"/>
    <s v="Profit"/>
  </r>
  <r>
    <s v="ORD-10555"/>
    <d v="2025-07-28T00:00:00"/>
    <d v="2025-08-02T00:00:00"/>
    <s v="Gwendolyn Watson"/>
    <s v="Corporate"/>
    <x v="2"/>
    <s v="Furniture"/>
    <s v="Chairs"/>
    <s v="Size Chairs"/>
    <n v="1147.76"/>
    <n v="2"/>
    <n v="0.2"/>
    <n v="-205.72"/>
    <s v="Loss"/>
  </r>
  <r>
    <s v="ORD-10556"/>
    <d v="2025-02-04T00:00:00"/>
    <d v="2025-02-13T00:00:00"/>
    <s v="Don Pace"/>
    <s v="Consumer"/>
    <x v="2"/>
    <s v="Office Supplies"/>
    <s v="Storage"/>
    <s v="Over Storage"/>
    <n v="1468.02"/>
    <n v="10"/>
    <n v="0"/>
    <n v="469.98"/>
    <s v="Profit"/>
  </r>
  <r>
    <s v="ORD-10557"/>
    <d v="2026-01-04T00:00:00"/>
    <d v="2026-01-08T00:00:00"/>
    <s v="Monica Bennett"/>
    <s v="Home Office"/>
    <x v="1"/>
    <s v="Technology"/>
    <s v="Phones"/>
    <s v="Condition Phones"/>
    <n v="4260.3100000000004"/>
    <n v="9"/>
    <n v="0.1"/>
    <n v="-395.74"/>
    <s v="Loss"/>
  </r>
  <r>
    <s v="ORD-10558"/>
    <d v="2026-05-04T00:00:00"/>
    <d v="2026-05-05T00:00:00"/>
    <s v="Joseph Ramirez"/>
    <s v="Corporate"/>
    <x v="2"/>
    <s v="Office Supplies"/>
    <s v="Binders"/>
    <s v="White Binders"/>
    <n v="1830.71"/>
    <n v="1"/>
    <n v="0.05"/>
    <n v="-278.7"/>
    <s v="Loss"/>
  </r>
  <r>
    <s v="ORD-10559"/>
    <d v="2024-02-08T00:00:00"/>
    <d v="2024-02-15T00:00:00"/>
    <s v="Whitney Zimmerman"/>
    <s v="Home Office"/>
    <x v="0"/>
    <s v="Technology"/>
    <s v="Laptops"/>
    <s v="Into Laptops"/>
    <n v="2056.98"/>
    <n v="4"/>
    <n v="0.2"/>
    <n v="-394.01"/>
    <s v="Loss"/>
  </r>
  <r>
    <s v="ORD-10560"/>
    <d v="2023-10-02T00:00:00"/>
    <d v="2023-10-07T00:00:00"/>
    <s v="Thomas Nash"/>
    <s v="Corporate"/>
    <x v="1"/>
    <s v="Furniture"/>
    <s v="Bookcases"/>
    <s v="Later Bookcases"/>
    <n v="3644.39"/>
    <n v="9"/>
    <n v="0.2"/>
    <n v="-31.15"/>
    <s v="Loss"/>
  </r>
  <r>
    <s v="ORD-10561"/>
    <d v="2023-10-20T00:00:00"/>
    <d v="2023-10-28T00:00:00"/>
    <s v="Brenda Davis"/>
    <s v="Corporate"/>
    <x v="0"/>
    <s v="Office Supplies"/>
    <s v="Binders"/>
    <s v="Street Binders"/>
    <n v="4652.08"/>
    <n v="10"/>
    <n v="0"/>
    <n v="-262.33"/>
    <s v="Loss"/>
  </r>
  <r>
    <s v="ORD-10562"/>
    <d v="2025-08-12T00:00:00"/>
    <d v="2025-08-21T00:00:00"/>
    <s v="Logan Estrada"/>
    <s v="Home Office"/>
    <x v="3"/>
    <s v="Office Supplies"/>
    <s v="Binders"/>
    <s v="Western Binders"/>
    <n v="1506.55"/>
    <n v="2"/>
    <n v="0.2"/>
    <n v="491.42"/>
    <s v="Profit"/>
  </r>
  <r>
    <s v="ORD-10563"/>
    <d v="2024-10-03T00:00:00"/>
    <d v="2024-10-10T00:00:00"/>
    <s v="Brittany Sharp"/>
    <s v="Corporate"/>
    <x v="2"/>
    <s v="Office Supplies"/>
    <s v="Paper"/>
    <s v="Democrat Paper"/>
    <n v="2837.68"/>
    <n v="4"/>
    <n v="0.1"/>
    <n v="932.69"/>
    <s v="Profit"/>
  </r>
  <r>
    <s v="ORD-10564"/>
    <d v="2024-08-19T00:00:00"/>
    <d v="2024-08-27T00:00:00"/>
    <s v="Robert Livingston"/>
    <s v="Consumer"/>
    <x v="1"/>
    <s v="Office Supplies"/>
    <s v="Binders"/>
    <s v="Between Binders"/>
    <n v="625.53"/>
    <n v="2"/>
    <n v="0.15"/>
    <n v="92.9"/>
    <s v="Profit"/>
  </r>
  <r>
    <s v="ORD-10565"/>
    <d v="2025-08-23T00:00:00"/>
    <d v="2025-08-29T00:00:00"/>
    <s v="Tracy Johnson"/>
    <s v="Consumer"/>
    <x v="3"/>
    <s v="Technology"/>
    <s v="Accessories"/>
    <s v="College Accessories"/>
    <n v="2606.6999999999998"/>
    <n v="1"/>
    <n v="0.2"/>
    <n v="671.74"/>
    <s v="Profit"/>
  </r>
  <r>
    <s v="ORD-10566"/>
    <d v="2025-05-18T00:00:00"/>
    <d v="2025-05-24T00:00:00"/>
    <s v="James Richardson"/>
    <s v="Consumer"/>
    <x v="3"/>
    <s v="Furniture"/>
    <s v="Tables"/>
    <s v="Toward Tables"/>
    <n v="426.34"/>
    <n v="3"/>
    <n v="0.15"/>
    <n v="-11.67"/>
    <s v="Loss"/>
  </r>
  <r>
    <s v="ORD-10567"/>
    <d v="2025-11-15T00:00:00"/>
    <d v="2025-11-19T00:00:00"/>
    <s v="Eduardo Gomez"/>
    <s v="Corporate"/>
    <x v="1"/>
    <s v="Furniture"/>
    <s v="Bookcases"/>
    <s v="Smile Bookcases"/>
    <n v="2520.0500000000002"/>
    <n v="4"/>
    <n v="0.05"/>
    <n v="515.30999999999995"/>
    <s v="Profit"/>
  </r>
  <r>
    <s v="ORD-10568"/>
    <d v="2025-04-27T00:00:00"/>
    <d v="2025-05-01T00:00:00"/>
    <s v="Mr. Edward Lester"/>
    <s v="Consumer"/>
    <x v="0"/>
    <s v="Furniture"/>
    <s v="Chairs"/>
    <s v="Machine Chairs"/>
    <n v="4189.8599999999997"/>
    <n v="6"/>
    <n v="0.05"/>
    <n v="957.03"/>
    <s v="Profit"/>
  </r>
  <r>
    <s v="ORD-10569"/>
    <d v="2024-11-21T00:00:00"/>
    <d v="2024-11-29T00:00:00"/>
    <s v="Gregory Harding"/>
    <s v="Corporate"/>
    <x v="3"/>
    <s v="Office Supplies"/>
    <s v="Storage"/>
    <s v="Party Storage"/>
    <n v="3088.44"/>
    <n v="9"/>
    <n v="0"/>
    <n v="822.78"/>
    <s v="Profit"/>
  </r>
  <r>
    <s v="ORD-10570"/>
    <d v="2026-04-10T00:00:00"/>
    <d v="2026-04-15T00:00:00"/>
    <s v="Madeline Craig"/>
    <s v="Home Office"/>
    <x v="1"/>
    <s v="Technology"/>
    <s v="Laptops"/>
    <s v="Better Laptops"/>
    <n v="2479.4899999999998"/>
    <n v="9"/>
    <n v="0.1"/>
    <n v="46.7"/>
    <s v="Profit"/>
  </r>
  <r>
    <s v="ORD-10571"/>
    <d v="2023-07-19T00:00:00"/>
    <d v="2023-07-26T00:00:00"/>
    <s v="Kimberly Griffith"/>
    <s v="Corporate"/>
    <x v="1"/>
    <s v="Furniture"/>
    <s v="Bookcases"/>
    <s v="During Bookcases"/>
    <n v="2417.6799999999998"/>
    <n v="9"/>
    <n v="0"/>
    <n v="184.62"/>
    <s v="Profit"/>
  </r>
  <r>
    <s v="ORD-10572"/>
    <d v="2023-09-05T00:00:00"/>
    <d v="2023-09-14T00:00:00"/>
    <s v="Anthony Rose"/>
    <s v="Corporate"/>
    <x v="0"/>
    <s v="Technology"/>
    <s v="Phones"/>
    <s v="Early Phones"/>
    <n v="2327.35"/>
    <n v="1"/>
    <n v="0"/>
    <n v="397.41"/>
    <s v="Profit"/>
  </r>
  <r>
    <s v="ORD-10573"/>
    <d v="2024-07-03T00:00:00"/>
    <d v="2024-07-13T00:00:00"/>
    <s v="Kristina Salas"/>
    <s v="Corporate"/>
    <x v="2"/>
    <s v="Technology"/>
    <s v="Accessories"/>
    <s v="Bad Accessories"/>
    <n v="4316.12"/>
    <n v="3"/>
    <n v="0.2"/>
    <n v="-239.26"/>
    <s v="Loss"/>
  </r>
  <r>
    <s v="ORD-10574"/>
    <d v="2023-07-18T00:00:00"/>
    <d v="2023-07-24T00:00:00"/>
    <s v="Denise Romero"/>
    <s v="Corporate"/>
    <x v="3"/>
    <s v="Office Supplies"/>
    <s v="Paper"/>
    <s v="Us Paper"/>
    <n v="960.37"/>
    <n v="7"/>
    <n v="0.05"/>
    <n v="29.29"/>
    <s v="Profit"/>
  </r>
  <r>
    <s v="ORD-10575"/>
    <d v="2025-02-04T00:00:00"/>
    <d v="2025-02-12T00:00:00"/>
    <s v="Patricia Robinson"/>
    <s v="Consumer"/>
    <x v="3"/>
    <s v="Technology"/>
    <s v="Accessories"/>
    <s v="All Accessories"/>
    <n v="940.45"/>
    <n v="3"/>
    <n v="0.2"/>
    <n v="166.75"/>
    <s v="Profit"/>
  </r>
  <r>
    <s v="ORD-10576"/>
    <d v="2023-06-20T00:00:00"/>
    <d v="2023-06-27T00:00:00"/>
    <s v="Rachel Terry"/>
    <s v="Home Office"/>
    <x v="1"/>
    <s v="Furniture"/>
    <s v="Bookcases"/>
    <s v="Institution Bookcases"/>
    <n v="4288.7299999999996"/>
    <n v="4"/>
    <n v="0.05"/>
    <n v="1029.3800000000001"/>
    <s v="Profit"/>
  </r>
  <r>
    <s v="ORD-10577"/>
    <d v="2026-01-02T00:00:00"/>
    <d v="2026-01-05T00:00:00"/>
    <s v="Shawn Walker"/>
    <s v="Home Office"/>
    <x v="3"/>
    <s v="Technology"/>
    <s v="Phones"/>
    <s v="Political Phones"/>
    <n v="2136.5300000000002"/>
    <n v="3"/>
    <n v="0.2"/>
    <n v="180.22"/>
    <s v="Profit"/>
  </r>
  <r>
    <s v="ORD-10578"/>
    <d v="2025-09-26T00:00:00"/>
    <d v="2025-10-01T00:00:00"/>
    <s v="Samantha Macdonald"/>
    <s v="Home Office"/>
    <x v="1"/>
    <s v="Technology"/>
    <s v="Accessories"/>
    <s v="Eat Accessories"/>
    <n v="2832.59"/>
    <n v="10"/>
    <n v="0"/>
    <n v="54.16"/>
    <s v="Profit"/>
  </r>
  <r>
    <s v="ORD-10579"/>
    <d v="2024-11-08T00:00:00"/>
    <d v="2024-11-13T00:00:00"/>
    <s v="Leslie Gordon"/>
    <s v="Corporate"/>
    <x v="3"/>
    <s v="Furniture"/>
    <s v="Chairs"/>
    <s v="Power Chairs"/>
    <n v="2408.87"/>
    <n v="2"/>
    <n v="0.15"/>
    <n v="504.72"/>
    <s v="Profit"/>
  </r>
  <r>
    <s v="ORD-10580"/>
    <d v="2025-04-30T00:00:00"/>
    <d v="2025-05-09T00:00:00"/>
    <s v="Rachael Johnston"/>
    <s v="Consumer"/>
    <x v="3"/>
    <s v="Technology"/>
    <s v="Laptops"/>
    <s v="Experience Laptops"/>
    <n v="4662.63"/>
    <n v="5"/>
    <n v="0.1"/>
    <n v="-881.66"/>
    <s v="Loss"/>
  </r>
  <r>
    <s v="ORD-10581"/>
    <d v="2025-01-03T00:00:00"/>
    <d v="2025-01-07T00:00:00"/>
    <s v="Brandy Thomas"/>
    <s v="Corporate"/>
    <x v="3"/>
    <s v="Office Supplies"/>
    <s v="Storage"/>
    <s v="Season Storage"/>
    <n v="2905.43"/>
    <n v="9"/>
    <n v="0.05"/>
    <n v="983.94"/>
    <s v="Profit"/>
  </r>
  <r>
    <s v="ORD-10582"/>
    <s v="08-11-2023"/>
    <d v="2023-11-17T00:00:00"/>
    <s v="Daniel Bowman"/>
    <s v="Corporate"/>
    <x v="2"/>
    <s v="Technology"/>
    <s v="Laptops"/>
    <s v="Career Laptops"/>
    <n v="2463.09"/>
    <n v="8"/>
    <n v="0"/>
    <n v="23.62"/>
    <s v="Profit"/>
  </r>
  <r>
    <s v="ORD-10583"/>
    <d v="2025-01-05T00:00:00"/>
    <d v="2025-01-08T00:00:00"/>
    <s v="Andrew Bennett"/>
    <s v="Home Office"/>
    <x v="2"/>
    <s v="Office Supplies"/>
    <s v="Binders"/>
    <s v="Manage Binders"/>
    <n v="3220.87"/>
    <n v="6"/>
    <n v="0.15"/>
    <n v="474.11"/>
    <s v="Profit"/>
  </r>
  <r>
    <s v="ORD-10584"/>
    <d v="2024-10-06T00:00:00"/>
    <d v="2024-10-09T00:00:00"/>
    <s v="Brent Morris"/>
    <s v="Home Office"/>
    <x v="3"/>
    <s v="Furniture"/>
    <s v="Chairs"/>
    <s v="Product Chairs"/>
    <n v="1750.95"/>
    <n v="6"/>
    <n v="0.1"/>
    <n v="278.68"/>
    <s v="Profit"/>
  </r>
  <r>
    <s v="ORD-10585"/>
    <d v="2023-08-19T00:00:00"/>
    <d v="2023-08-26T00:00:00"/>
    <s v="Justin Pennington"/>
    <s v="Home Office"/>
    <x v="2"/>
    <s v="Office Supplies"/>
    <s v="Storage"/>
    <s v="Difficult Storage"/>
    <n v="1392.68"/>
    <n v="8"/>
    <n v="0.1"/>
    <n v="294.33"/>
    <s v="Profit"/>
  </r>
  <r>
    <s v="ORD-10586"/>
    <d v="2024-09-10T00:00:00"/>
    <d v="2024-09-13T00:00:00"/>
    <s v="Derek Dougherty"/>
    <s v="Corporate"/>
    <x v="0"/>
    <s v="Technology"/>
    <s v="Phones"/>
    <s v="Past Phones"/>
    <n v="4278.3500000000004"/>
    <n v="3"/>
    <n v="0.2"/>
    <n v="-303.57"/>
    <s v="Loss"/>
  </r>
  <r>
    <s v="ORD-10587"/>
    <d v="2023-09-04T00:00:00"/>
    <d v="2023-09-11T00:00:00"/>
    <s v="David Pace"/>
    <s v="Consumer"/>
    <x v="2"/>
    <s v="Furniture"/>
    <s v="Chairs"/>
    <s v="Executive Chairs"/>
    <n v="559.9"/>
    <n v="2"/>
    <n v="0.15"/>
    <n v="56.91"/>
    <s v="Profit"/>
  </r>
  <r>
    <s v="ORD-10588"/>
    <d v="2026-03-06T00:00:00"/>
    <d v="2026-03-08T00:00:00"/>
    <s v="Gina Kent"/>
    <s v="Corporate"/>
    <x v="3"/>
    <s v="Office Supplies"/>
    <s v="Binders"/>
    <s v="Second Binders"/>
    <n v="1349.14"/>
    <n v="3"/>
    <n v="0"/>
    <n v="216.08"/>
    <s v="Profit"/>
  </r>
  <r>
    <s v="ORD-10589"/>
    <d v="2025-01-19T00:00:00"/>
    <d v="2025-01-24T00:00:00"/>
    <s v="Kelly Wilson"/>
    <s v="Consumer"/>
    <x v="0"/>
    <s v="Furniture"/>
    <s v="Chairs"/>
    <s v="Sort Chairs"/>
    <n v="2243.64"/>
    <n v="3"/>
    <n v="0.05"/>
    <n v="201.27"/>
    <s v="Profit"/>
  </r>
  <r>
    <s v="ORD-10590"/>
    <d v="2023-05-28T00:00:00"/>
    <d v="2023-06-03T00:00:00"/>
    <s v="Jeremy Norris"/>
    <s v="Home Office"/>
    <x v="3"/>
    <s v="Furniture"/>
    <s v="Bookcases"/>
    <s v="Explain Bookcases"/>
    <n v="4308.83"/>
    <n v="6"/>
    <n v="0.15"/>
    <n v="245.42"/>
    <s v="Profit"/>
  </r>
  <r>
    <s v="ORD-10591"/>
    <d v="2024-02-14T00:00:00"/>
    <d v="2024-02-17T00:00:00"/>
    <s v="Lisa Nguyen"/>
    <s v="Corporate"/>
    <x v="2"/>
    <s v="Office Supplies"/>
    <s v="Paper"/>
    <s v="Heavy Paper"/>
    <n v="4849.2299999999996"/>
    <n v="9"/>
    <n v="0.05"/>
    <n v="605.95000000000005"/>
    <s v="Profit"/>
  </r>
  <r>
    <s v="ORD-10592"/>
    <d v="2025-07-20T00:00:00"/>
    <d v="2025-07-29T00:00:00"/>
    <s v="Angela Rivas Dvm"/>
    <s v="Consumer"/>
    <x v="2"/>
    <s v="Office Supplies"/>
    <s v="Storage"/>
    <s v="Not Storage"/>
    <n v="1582.82"/>
    <n v="6"/>
    <n v="0.15"/>
    <n v="153.24"/>
    <s v="Profit"/>
  </r>
  <r>
    <s v="ORD-10593"/>
    <d v="2026-01-17T00:00:00"/>
    <d v="2026-01-24T00:00:00"/>
    <s v="Alexander Patterson"/>
    <s v="Consumer"/>
    <x v="3"/>
    <s v="Technology"/>
    <s v="Accessories"/>
    <s v="Thank Accessories"/>
    <n v="1336.04"/>
    <n v="5"/>
    <n v="0"/>
    <n v="-267.14"/>
    <s v="Loss"/>
  </r>
  <r>
    <s v="ORD-10594"/>
    <d v="2025-05-17T00:00:00"/>
    <d v="2025-05-26T00:00:00"/>
    <s v="Emily Davis"/>
    <s v="Corporate"/>
    <x v="3"/>
    <s v="Technology"/>
    <s v="Accessories"/>
    <s v="Head Accessories"/>
    <n v="91.17"/>
    <n v="8"/>
    <n v="0.15"/>
    <n v="-3.21"/>
    <s v="Loss"/>
  </r>
  <r>
    <s v="ORD-10595"/>
    <d v="2023-06-10T00:00:00"/>
    <d v="2023-06-11T00:00:00"/>
    <s v="Felicia Jones"/>
    <s v="Corporate"/>
    <x v="2"/>
    <s v="Office Supplies"/>
    <s v="Binders"/>
    <s v="Quite Binders"/>
    <n v="2763.65"/>
    <n v="4"/>
    <n v="0.15"/>
    <n v="788.16"/>
    <s v="Profit"/>
  </r>
  <r>
    <s v="ORD-10596"/>
    <d v="2023-07-06T00:00:00"/>
    <d v="2023-07-13T00:00:00"/>
    <s v="Robert Davis"/>
    <s v="Home Office"/>
    <x v="1"/>
    <s v="Furniture"/>
    <s v="Chairs"/>
    <s v="Turn Chairs"/>
    <n v="4150.71"/>
    <n v="4"/>
    <n v="0.1"/>
    <n v="-649.30999999999995"/>
    <s v="Loss"/>
  </r>
  <r>
    <s v="ORD-10597"/>
    <d v="2024-03-24T00:00:00"/>
    <d v="2024-03-29T00:00:00"/>
    <s v="Jose Johnson"/>
    <s v="Consumer"/>
    <x v="1"/>
    <s v="Office Supplies"/>
    <s v="Storage"/>
    <s v="True Storage"/>
    <n v="1459.15"/>
    <n v="9"/>
    <n v="0.1"/>
    <n v="39.54"/>
    <s v="Profit"/>
  </r>
  <r>
    <s v="ORD-10598"/>
    <d v="2026-02-08T00:00:00"/>
    <d v="2026-02-10T00:00:00"/>
    <s v="Tony Conrad"/>
    <s v="Home Office"/>
    <x v="2"/>
    <s v="Furniture"/>
    <s v="Tables"/>
    <s v="Of Tables"/>
    <n v="3202.62"/>
    <n v="10"/>
    <n v="0.15"/>
    <n v="-161.18"/>
    <s v="Loss"/>
  </r>
  <r>
    <s v="ORD-10599"/>
    <d v="2023-09-05T00:00:00"/>
    <d v="2023-09-06T00:00:00"/>
    <s v="Raymond Jenkins"/>
    <s v="Consumer"/>
    <x v="3"/>
    <s v="Furniture"/>
    <s v="Tables"/>
    <s v="Above Tables"/>
    <n v="803.14"/>
    <n v="9"/>
    <n v="0"/>
    <n v="-78.489999999999995"/>
    <s v="Loss"/>
  </r>
  <r>
    <s v="ORD-10600"/>
    <d v="2026-02-17T00:00:00"/>
    <d v="2026-02-25T00:00:00"/>
    <s v="Penny Cobb"/>
    <s v="Corporate"/>
    <x v="1"/>
    <s v="Technology"/>
    <s v="Phones"/>
    <s v="Yes Phones"/>
    <n v="3649.18"/>
    <n v="4"/>
    <n v="0"/>
    <n v="-427.41"/>
    <s v="Loss"/>
  </r>
  <r>
    <s v="ORD-10601"/>
    <d v="2023-09-26T00:00:00"/>
    <d v="2023-10-01T00:00:00"/>
    <s v="Andrea Sandoval"/>
    <s v="Consumer"/>
    <x v="3"/>
    <s v="Technology"/>
    <s v="Accessories"/>
    <s v="Rock Accessories"/>
    <n v="3939.34"/>
    <n v="8"/>
    <n v="0.1"/>
    <n v="216.77"/>
    <s v="Profit"/>
  </r>
  <r>
    <s v="ORD-10602"/>
    <d v="2025-09-11T00:00:00"/>
    <d v="2025-09-12T00:00:00"/>
    <s v="Cindy Rogers"/>
    <s v="Consumer"/>
    <x v="1"/>
    <s v="Furniture"/>
    <s v="Chairs"/>
    <s v="Law Chairs"/>
    <n v="1369.19"/>
    <n v="7"/>
    <n v="0"/>
    <n v="135.22"/>
    <s v="Profit"/>
  </r>
  <r>
    <s v="ORD-10603"/>
    <d v="2023-06-02T00:00:00"/>
    <d v="2023-06-03T00:00:00"/>
    <s v="Tina Santos"/>
    <s v="Corporate"/>
    <x v="1"/>
    <s v="Technology"/>
    <s v="Accessories"/>
    <s v="Consumer Accessories"/>
    <n v="653.71"/>
    <n v="4"/>
    <n v="0.15"/>
    <n v="146.54"/>
    <s v="Profit"/>
  </r>
  <r>
    <s v="ORD-10604"/>
    <d v="2025-08-13T00:00:00"/>
    <d v="2025-08-17T00:00:00"/>
    <s v="Trevor Hubbard"/>
    <s v="Consumer"/>
    <x v="2"/>
    <s v="Office Supplies"/>
    <s v="Binders"/>
    <s v="News Binders"/>
    <n v="2331.13"/>
    <n v="2"/>
    <n v="0.2"/>
    <n v="387.68"/>
    <s v="Profit"/>
  </r>
  <r>
    <s v="ORD-10605"/>
    <d v="2025-06-05T00:00:00"/>
    <d v="2025-06-10T00:00:00"/>
    <s v="Richard White"/>
    <s v="Home Office"/>
    <x v="0"/>
    <s v="Technology"/>
    <s v="Laptops"/>
    <s v="Require Laptops"/>
    <n v="4684.2700000000004"/>
    <n v="3"/>
    <n v="0.2"/>
    <n v="939.34"/>
    <s v="Profit"/>
  </r>
  <r>
    <s v="ORD-10606"/>
    <d v="2024-08-08T00:00:00"/>
    <d v="2024-08-13T00:00:00"/>
    <s v="John Roy"/>
    <s v="Consumer"/>
    <x v="1"/>
    <s v="Technology"/>
    <s v="Accessories"/>
    <s v="Entire Accessories"/>
    <n v="1033.68"/>
    <n v="1"/>
    <n v="0.2"/>
    <n v="-82.92"/>
    <s v="Loss"/>
  </r>
  <r>
    <s v="ORD-10607"/>
    <d v="2025-03-09T00:00:00"/>
    <d v="2025-03-15T00:00:00"/>
    <s v="Megan Collins"/>
    <s v="Consumer"/>
    <x v="0"/>
    <s v="Office Supplies"/>
    <s v="Paper"/>
    <s v="Word Paper"/>
    <n v="124.59"/>
    <n v="5"/>
    <n v="0.2"/>
    <n v="-16.72"/>
    <s v="Loss"/>
  </r>
  <r>
    <s v="ORD-10608"/>
    <d v="2026-02-28T00:00:00"/>
    <d v="2026-03-08T00:00:00"/>
    <s v="Robert Cummings"/>
    <s v="Consumer"/>
    <x v="1"/>
    <s v="Furniture"/>
    <s v="Bookcases"/>
    <s v="Tend Bookcases"/>
    <n v="3457.61"/>
    <n v="3"/>
    <n v="0.1"/>
    <n v="774.29"/>
    <s v="Profit"/>
  </r>
  <r>
    <s v="ORD-10609"/>
    <d v="2025-09-23T00:00:00"/>
    <d v="2025-10-03T00:00:00"/>
    <s v="Carlos Estrada"/>
    <s v="Consumer"/>
    <x v="0"/>
    <s v="Technology"/>
    <s v="Phones"/>
    <s v="Quite Phones"/>
    <n v="1725.19"/>
    <n v="1"/>
    <n v="0"/>
    <n v="-7.7"/>
    <s v="Loss"/>
  </r>
  <r>
    <s v="ORD-10610"/>
    <d v="2024-09-02T00:00:00"/>
    <d v="2024-09-06T00:00:00"/>
    <s v="Jennifer Peterson"/>
    <s v="Corporate"/>
    <x v="1"/>
    <s v="Furniture"/>
    <s v="Tables"/>
    <s v="Choose Tables"/>
    <n v="1617.86"/>
    <n v="9"/>
    <n v="0.2"/>
    <n v="349.75"/>
    <s v="Profit"/>
  </r>
  <r>
    <s v="ORD-10611"/>
    <d v="2025-01-29T00:00:00"/>
    <d v="2025-02-05T00:00:00"/>
    <s v="Louis Foster"/>
    <s v="Corporate"/>
    <x v="2"/>
    <s v="Furniture"/>
    <s v="Bookcases"/>
    <s v="Tree Bookcases"/>
    <n v="1822.93"/>
    <n v="3"/>
    <n v="0.1"/>
    <n v="536.41999999999996"/>
    <s v="Profit"/>
  </r>
  <r>
    <s v="ORD-10612"/>
    <d v="2024-07-09T00:00:00"/>
    <d v="2024-07-18T00:00:00"/>
    <s v="Matthew Allen"/>
    <s v="Corporate"/>
    <x v="3"/>
    <s v="Office Supplies"/>
    <s v="Paper"/>
    <s v="Begin Paper"/>
    <n v="3500.34"/>
    <n v="4"/>
    <n v="0.2"/>
    <n v="-340.78"/>
    <s v="Loss"/>
  </r>
  <r>
    <s v="ORD-10613"/>
    <s v="24-06-2025"/>
    <d v="2025-06-29T00:00:00"/>
    <s v="Jeffrey Smith"/>
    <s v="Home Office"/>
    <x v="1"/>
    <s v="Office Supplies"/>
    <s v="Paper"/>
    <s v="Risk Paper"/>
    <n v="4344.93"/>
    <n v="10"/>
    <n v="0.2"/>
    <n v="-485.81"/>
    <s v="Loss"/>
  </r>
  <r>
    <s v="ORD-10614"/>
    <d v="2023-10-02T00:00:00"/>
    <d v="2023-10-07T00:00:00"/>
    <s v="Mr. Michael Blake"/>
    <s v="Home Office"/>
    <x v="2"/>
    <s v="Technology"/>
    <s v="Accessories"/>
    <s v="Focus Accessories"/>
    <n v="2730.95"/>
    <n v="8"/>
    <n v="0"/>
    <n v="619.26"/>
    <s v="Profit"/>
  </r>
  <r>
    <s v="ORD-10615"/>
    <d v="2025-02-01T00:00:00"/>
    <d v="2025-02-02T00:00:00"/>
    <s v="Julia Jones"/>
    <s v="Home Office"/>
    <x v="0"/>
    <s v="Office Supplies"/>
    <s v="Binders"/>
    <s v="Phone Binders"/>
    <n v="3117.69"/>
    <n v="6"/>
    <n v="0.2"/>
    <n v="-214.08"/>
    <s v="Loss"/>
  </r>
  <r>
    <s v="ORD-10616"/>
    <d v="2024-09-16T00:00:00"/>
    <d v="2024-09-23T00:00:00"/>
    <s v="Cynthia Roberts"/>
    <s v="Corporate"/>
    <x v="3"/>
    <s v="Office Supplies"/>
    <s v="Storage"/>
    <s v="Argue Storage"/>
    <n v="989.85"/>
    <n v="8"/>
    <n v="0.2"/>
    <n v="-114.06"/>
    <s v="Loss"/>
  </r>
  <r>
    <s v="ORD-10617"/>
    <d v="2023-11-24T00:00:00"/>
    <d v="2023-11-30T00:00:00"/>
    <s v="Andrew Schneider"/>
    <s v="Consumer"/>
    <x v="1"/>
    <s v="Technology"/>
    <s v="Laptops"/>
    <s v="When Laptops"/>
    <n v="596.79999999999995"/>
    <n v="9"/>
    <n v="0.2"/>
    <n v="-97.47"/>
    <s v="Loss"/>
  </r>
  <r>
    <s v="ORD-10618"/>
    <s v="01-12-2025"/>
    <d v="2025-12-03T00:00:00"/>
    <s v="Jennifer Jacobs"/>
    <s v="Corporate"/>
    <x v="2"/>
    <s v="Furniture"/>
    <s v="Chairs"/>
    <s v="Buy Chairs"/>
    <n v="2452.58"/>
    <n v="2"/>
    <n v="0"/>
    <n v="279.73"/>
    <s v="Profit"/>
  </r>
  <r>
    <s v="ORD-10619"/>
    <d v="2023-07-16T00:00:00"/>
    <d v="2023-07-26T00:00:00"/>
    <s v="Derek Alvarado"/>
    <s v="Consumer"/>
    <x v="0"/>
    <s v="Office Supplies"/>
    <s v="Storage"/>
    <s v="Anything Storage"/>
    <n v="1316.9"/>
    <n v="6"/>
    <n v="0.05"/>
    <n v="175.51"/>
    <s v="Profit"/>
  </r>
  <r>
    <s v="ORD-10620"/>
    <d v="2023-12-01T00:00:00"/>
    <d v="2023-12-09T00:00:00"/>
    <s v="Pamela Taylor"/>
    <s v="Consumer"/>
    <x v="3"/>
    <s v="Furniture"/>
    <s v="Bookcases"/>
    <s v="Outside Bookcases"/>
    <n v="4645.6000000000004"/>
    <n v="2"/>
    <n v="0.15"/>
    <n v="1117.55"/>
    <s v="Profit"/>
  </r>
  <r>
    <s v="ORD-10621"/>
    <d v="2024-08-22T00:00:00"/>
    <d v="2024-08-29T00:00:00"/>
    <s v="Kristina Kennedy"/>
    <s v="Consumer"/>
    <x v="0"/>
    <s v="Office Supplies"/>
    <s v="Storage"/>
    <s v="Minute Storage"/>
    <n v="4119.03"/>
    <n v="1"/>
    <n v="0.2"/>
    <n v="-221.61"/>
    <s v="Loss"/>
  </r>
  <r>
    <s v="ORD-10622"/>
    <d v="2023-08-30T00:00:00"/>
    <d v="2023-09-03T00:00:00"/>
    <s v="Jillian Lawrence"/>
    <s v="Home Office"/>
    <x v="2"/>
    <s v="Technology"/>
    <s v="Phones"/>
    <s v="Couple Phones"/>
    <n v="4804.8999999999996"/>
    <n v="2"/>
    <n v="0"/>
    <n v="955.43"/>
    <s v="Profit"/>
  </r>
  <r>
    <s v="ORD-10623"/>
    <d v="2023-11-27T00:00:00"/>
    <d v="2023-12-06T00:00:00"/>
    <s v="Daniel Campbell"/>
    <s v="Home Office"/>
    <x v="2"/>
    <s v="Furniture"/>
    <s v="Chairs"/>
    <s v="Carry Chairs"/>
    <n v="3301.54"/>
    <n v="10"/>
    <n v="0.2"/>
    <n v="1060.21"/>
    <s v="Profit"/>
  </r>
  <r>
    <s v="ORD-10624"/>
    <d v="2026-05-12T00:00:00"/>
    <d v="2026-05-22T00:00:00"/>
    <s v="Andre Fox"/>
    <s v="Consumer"/>
    <x v="1"/>
    <s v="Office Supplies"/>
    <s v="Binders"/>
    <s v="Source Binders"/>
    <n v="1821.92"/>
    <n v="8"/>
    <n v="0.2"/>
    <n v="302.23"/>
    <s v="Profit"/>
  </r>
  <r>
    <s v="ORD-10625"/>
    <d v="2025-04-18T00:00:00"/>
    <d v="2025-04-25T00:00:00"/>
    <s v="Debra Peterson"/>
    <s v="Corporate"/>
    <x v="3"/>
    <s v="Furniture"/>
    <s v="Bookcases"/>
    <s v="Space Bookcases"/>
    <n v="2548.23"/>
    <n v="3"/>
    <n v="0.2"/>
    <n v="889.69"/>
    <s v="Profit"/>
  </r>
  <r>
    <s v="ORD-10626"/>
    <d v="2026-02-28T00:00:00"/>
    <d v="2026-03-06T00:00:00"/>
    <s v="Allison Hess"/>
    <s v="Home Office"/>
    <x v="3"/>
    <s v="Technology"/>
    <s v="Laptops"/>
    <s v="Hit Laptops"/>
    <n v="4232.03"/>
    <n v="7"/>
    <n v="0.2"/>
    <n v="155.84"/>
    <s v="Profit"/>
  </r>
  <r>
    <s v="ORD-10627"/>
    <d v="2026-05-03T00:00:00"/>
    <d v="2026-05-13T00:00:00"/>
    <s v="Johnny Flores"/>
    <s v="Corporate"/>
    <x v="3"/>
    <s v="Office Supplies"/>
    <s v="Binders"/>
    <s v="High Binders"/>
    <n v="2750.85"/>
    <n v="7"/>
    <n v="0.2"/>
    <n v="851.06"/>
    <s v="Profit"/>
  </r>
  <r>
    <s v="ORD-10628"/>
    <d v="2025-11-22T00:00:00"/>
    <d v="2025-11-29T00:00:00"/>
    <s v="Jason Gregory"/>
    <s v="Home Office"/>
    <x v="1"/>
    <s v="Technology"/>
    <s v="Accessories"/>
    <s v="Left Accessories"/>
    <n v="50.97"/>
    <n v="1"/>
    <n v="0.1"/>
    <n v="6.51"/>
    <s v="Profit"/>
  </r>
  <r>
    <s v="ORD-10629"/>
    <d v="2023-12-06T00:00:00"/>
    <d v="2023-12-11T00:00:00"/>
    <s v="Douglas Anderson"/>
    <s v="Home Office"/>
    <x v="3"/>
    <s v="Technology"/>
    <s v="Phones"/>
    <s v="Real Phones"/>
    <n v="4922.75"/>
    <n v="4"/>
    <n v="0.1"/>
    <n v="-925.79"/>
    <s v="Loss"/>
  </r>
  <r>
    <s v="ORD-10630"/>
    <d v="2026-04-05T00:00:00"/>
    <d v="2026-04-14T00:00:00"/>
    <s v="Antonio Vargas"/>
    <s v="Corporate"/>
    <x v="3"/>
    <s v="Office Supplies"/>
    <s v="Storage"/>
    <s v="Individual Storage"/>
    <n v="2874.81"/>
    <n v="10"/>
    <n v="0.05"/>
    <n v="-425.88"/>
    <s v="Loss"/>
  </r>
  <r>
    <s v="ORD-10631"/>
    <d v="2025-10-13T00:00:00"/>
    <d v="2025-10-18T00:00:00"/>
    <s v="Michael Martin"/>
    <s v="Corporate"/>
    <x v="0"/>
    <s v="Furniture"/>
    <s v="Chairs"/>
    <s v="Son Chairs"/>
    <n v="1867.06"/>
    <n v="10"/>
    <n v="0.05"/>
    <n v="-134.15"/>
    <s v="Loss"/>
  </r>
  <r>
    <s v="ORD-10632"/>
    <d v="2024-08-14T00:00:00"/>
    <d v="2024-08-24T00:00:00"/>
    <s v="Paul Chavez"/>
    <s v="Corporate"/>
    <x v="1"/>
    <s v="Office Supplies"/>
    <s v="Paper"/>
    <s v="Operation Paper"/>
    <n v="4593.51"/>
    <n v="2"/>
    <n v="0.2"/>
    <n v="-98.39"/>
    <s v="Loss"/>
  </r>
  <r>
    <s v="ORD-10633"/>
    <d v="2025-05-14T00:00:00"/>
    <d v="2025-05-24T00:00:00"/>
    <s v="Adam Coleman"/>
    <s v="Consumer"/>
    <x v="2"/>
    <s v="Technology"/>
    <s v="Laptops"/>
    <s v="Forward Laptops"/>
    <n v="4106.6000000000004"/>
    <n v="2"/>
    <n v="0.2"/>
    <n v="629.29999999999995"/>
    <s v="Profit"/>
  </r>
  <r>
    <s v="ORD-10634"/>
    <d v="2023-11-27T00:00:00"/>
    <d v="2023-12-03T00:00:00"/>
    <s v="Keith Pham"/>
    <s v="Consumer"/>
    <x v="1"/>
    <s v="Furniture"/>
    <s v="Chairs"/>
    <s v="Contain Chairs"/>
    <n v="1772.25"/>
    <n v="7"/>
    <n v="0.15"/>
    <n v="552.29999999999995"/>
    <s v="Profit"/>
  </r>
  <r>
    <s v="ORD-10635"/>
    <d v="2024-06-09T00:00:00"/>
    <d v="2024-06-19T00:00:00"/>
    <s v="Eduardo West"/>
    <s v="Consumer"/>
    <x v="3"/>
    <s v="Office Supplies"/>
    <s v="Storage"/>
    <s v="Simply Storage"/>
    <n v="4646.83"/>
    <n v="7"/>
    <n v="0"/>
    <n v="-150.41"/>
    <s v="Loss"/>
  </r>
  <r>
    <s v="ORD-10636"/>
    <d v="2024-12-21T00:00:00"/>
    <d v="2024-12-24T00:00:00"/>
    <s v="Steven Levy"/>
    <s v="Home Office"/>
    <x v="2"/>
    <s v="Office Supplies"/>
    <s v="Storage"/>
    <s v="Hope Storage"/>
    <n v="1667.82"/>
    <n v="4"/>
    <n v="0.05"/>
    <n v="-287.22000000000003"/>
    <s v="Loss"/>
  </r>
  <r>
    <s v="ORD-10637"/>
    <d v="2024-06-09T00:00:00"/>
    <d v="2024-06-19T00:00:00"/>
    <s v="Dean Alvarez"/>
    <s v="Corporate"/>
    <x v="1"/>
    <s v="Technology"/>
    <s v="Laptops"/>
    <s v="Concern Laptops"/>
    <n v="2548.41"/>
    <n v="4"/>
    <n v="0.15"/>
    <n v="-103.51"/>
    <s v="Loss"/>
  </r>
  <r>
    <s v="ORD-10638"/>
    <d v="2024-12-15T00:00:00"/>
    <d v="2024-12-17T00:00:00"/>
    <s v="Michael Martin"/>
    <s v="Consumer"/>
    <x v="2"/>
    <s v="Furniture"/>
    <s v="Tables"/>
    <s v="We Tables"/>
    <n v="2405.48"/>
    <n v="1"/>
    <n v="0.2"/>
    <n v="47.04"/>
    <s v="Profit"/>
  </r>
  <r>
    <s v="ORD-10639"/>
    <d v="2023-08-30T00:00:00"/>
    <d v="2023-09-02T00:00:00"/>
    <s v="Kayla Cook"/>
    <s v="Corporate"/>
    <x v="1"/>
    <s v="Office Supplies"/>
    <s v="Paper"/>
    <s v="Throw Paper"/>
    <n v="3822.06"/>
    <n v="8"/>
    <n v="0.2"/>
    <n v="-347.96"/>
    <s v="Loss"/>
  </r>
  <r>
    <s v="ORD-10640"/>
    <d v="2023-06-22T00:00:00"/>
    <d v="2023-07-01T00:00:00"/>
    <s v="Sarah Walker"/>
    <s v="Corporate"/>
    <x v="0"/>
    <s v="Office Supplies"/>
    <s v="Storage"/>
    <s v="Different Storage"/>
    <n v="1268.92"/>
    <n v="2"/>
    <n v="0.1"/>
    <n v="288.33"/>
    <s v="Profit"/>
  </r>
  <r>
    <s v="ORD-10641"/>
    <d v="2025-12-18T00:00:00"/>
    <d v="2025-12-25T00:00:00"/>
    <s v="Jason Velasquez"/>
    <s v="Home Office"/>
    <x v="0"/>
    <s v="Furniture"/>
    <s v="Bookcases"/>
    <s v="Record Bookcases"/>
    <n v="2146.5300000000002"/>
    <n v="6"/>
    <n v="0.05"/>
    <n v="-50.65"/>
    <s v="Loss"/>
  </r>
  <r>
    <s v="ORD-10642"/>
    <d v="2026-01-09T00:00:00"/>
    <d v="2026-01-15T00:00:00"/>
    <s v="Rebecca Ray"/>
    <s v="Consumer"/>
    <x v="1"/>
    <s v="Technology"/>
    <s v="Phones"/>
    <s v="Themselves Phones"/>
    <n v="3100.29"/>
    <n v="8"/>
    <n v="0.2"/>
    <n v="-371.41"/>
    <s v="Loss"/>
  </r>
  <r>
    <s v="ORD-10643"/>
    <d v="2023-07-27T00:00:00"/>
    <d v="2023-08-02T00:00:00"/>
    <s v="Jason Williams"/>
    <s v="Home Office"/>
    <x v="1"/>
    <s v="Furniture"/>
    <s v="Bookcases"/>
    <s v="Such Bookcases"/>
    <n v="822.16"/>
    <n v="2"/>
    <n v="0"/>
    <n v="170"/>
    <s v="Profit"/>
  </r>
  <r>
    <s v="ORD-10644"/>
    <d v="2024-03-18T00:00:00"/>
    <d v="2024-03-24T00:00:00"/>
    <s v="Lucas Kelley"/>
    <s v="Consumer"/>
    <x v="3"/>
    <s v="Technology"/>
    <s v="Phones"/>
    <s v="Organization Phones"/>
    <n v="3484.29"/>
    <n v="2"/>
    <n v="0.1"/>
    <n v="165.62"/>
    <s v="Profit"/>
  </r>
  <r>
    <s v="ORD-10645"/>
    <d v="2024-12-18T00:00:00"/>
    <d v="2024-12-27T00:00:00"/>
    <s v="Melissa White"/>
    <s v="Home Office"/>
    <x v="2"/>
    <s v="Furniture"/>
    <s v="Bookcases"/>
    <s v="Either Bookcases"/>
    <n v="1098.78"/>
    <n v="9"/>
    <n v="0.2"/>
    <n v="233.71"/>
    <s v="Profit"/>
  </r>
  <r>
    <s v="ORD-10646"/>
    <s v="10-01-2025"/>
    <d v="2025-01-13T00:00:00"/>
    <s v="Shawn Sloan"/>
    <s v="Home Office"/>
    <x v="0"/>
    <s v="Office Supplies"/>
    <s v="Storage"/>
    <s v="Provide Storage"/>
    <n v="3490.6"/>
    <n v="1"/>
    <n v="0.15"/>
    <n v="421.15"/>
    <s v="Profit"/>
  </r>
  <r>
    <s v="ORD-10647"/>
    <d v="2024-01-17T00:00:00"/>
    <d v="2024-01-18T00:00:00"/>
    <s v="Douglas Perez"/>
    <s v="Home Office"/>
    <x v="0"/>
    <s v="Technology"/>
    <s v="Phones"/>
    <s v="Lead Phones"/>
    <n v="1455.87"/>
    <n v="10"/>
    <n v="0.1"/>
    <n v="-248.67"/>
    <s v="Loss"/>
  </r>
  <r>
    <s v="ORD-10648"/>
    <d v="2026-05-02T00:00:00"/>
    <d v="2026-05-07T00:00:00"/>
    <s v="Amanda Carrillo"/>
    <s v="Home Office"/>
    <x v="2"/>
    <s v="Furniture"/>
    <s v="Tables"/>
    <s v="Music Tables"/>
    <n v="3331.76"/>
    <n v="6"/>
    <n v="0"/>
    <n v="-631.39"/>
    <s v="Loss"/>
  </r>
  <r>
    <s v="ORD-10649"/>
    <d v="2025-02-21T00:00:00"/>
    <d v="2025-03-02T00:00:00"/>
    <s v="Amanda Bauer"/>
    <s v="Home Office"/>
    <x v="0"/>
    <s v="Furniture"/>
    <s v="Tables"/>
    <s v="Sometimes Tables"/>
    <n v="4884.2299999999996"/>
    <n v="2"/>
    <n v="0.1"/>
    <n v="325.11"/>
    <s v="Profit"/>
  </r>
  <r>
    <s v="ORD-10650"/>
    <d v="2025-01-03T00:00:00"/>
    <d v="2025-01-12T00:00:00"/>
    <s v="Joseph Campbell"/>
    <s v="Consumer"/>
    <x v="3"/>
    <s v="Furniture"/>
    <s v="Chairs"/>
    <s v="Whether Chairs"/>
    <n v="4835.62"/>
    <n v="9"/>
    <n v="0.2"/>
    <n v="-909.97"/>
    <s v="Loss"/>
  </r>
  <r>
    <s v="ORD-10651"/>
    <s v="15-02-2025"/>
    <d v="2025-02-22T00:00:00"/>
    <s v="Steven Morrison"/>
    <s v="Corporate"/>
    <x v="3"/>
    <s v="Technology"/>
    <s v="Accessories"/>
    <s v="Thus Accessories"/>
    <n v="3734.73"/>
    <n v="1"/>
    <n v="0.1"/>
    <n v="658.7"/>
    <s v="Profit"/>
  </r>
  <r>
    <s v="ORD-10652"/>
    <d v="2024-09-25T00:00:00"/>
    <d v="2024-09-30T00:00:00"/>
    <s v="Alicia Perez"/>
    <s v="Consumer"/>
    <x v="3"/>
    <s v="Furniture"/>
    <s v="Bookcases"/>
    <s v="Tend Bookcases"/>
    <n v="4068.87"/>
    <n v="5"/>
    <n v="0.15"/>
    <n v="1178.8399999999999"/>
    <s v="Profit"/>
  </r>
  <r>
    <s v="ORD-10653"/>
    <d v="2026-05-07T00:00:00"/>
    <d v="2026-05-13T00:00:00"/>
    <s v="Timothy Gibbs"/>
    <s v="Home Office"/>
    <x v="1"/>
    <s v="Furniture"/>
    <s v="Chairs"/>
    <s v="Week Chairs"/>
    <n v="4491.0200000000004"/>
    <n v="3"/>
    <n v="0"/>
    <n v="904.67"/>
    <s v="Profit"/>
  </r>
  <r>
    <s v="ORD-10654"/>
    <d v="2025-09-02T00:00:00"/>
    <d v="2025-09-12T00:00:00"/>
    <s v="James Malone"/>
    <s v="Home Office"/>
    <x v="1"/>
    <s v="Technology"/>
    <s v="Phones"/>
    <s v="Including Phones"/>
    <n v="806.11"/>
    <n v="5"/>
    <n v="0.2"/>
    <n v="-15.23"/>
    <s v="Loss"/>
  </r>
  <r>
    <s v="ORD-10655"/>
    <d v="2025-09-17T00:00:00"/>
    <d v="2025-09-20T00:00:00"/>
    <s v="Kevin Christian"/>
    <s v="Home Office"/>
    <x v="1"/>
    <s v="Furniture"/>
    <s v="Bookcases"/>
    <s v="Firm Bookcases"/>
    <n v="2926.1"/>
    <n v="4"/>
    <n v="0.05"/>
    <n v="-87.93"/>
    <s v="Loss"/>
  </r>
  <r>
    <s v="ORD-10656"/>
    <d v="2023-11-16T00:00:00"/>
    <d v="2023-11-26T00:00:00"/>
    <s v="Jake Middleton"/>
    <s v="Home Office"/>
    <x v="0"/>
    <s v="Technology"/>
    <s v="Phones"/>
    <s v="Choose Phones"/>
    <n v="4589.7"/>
    <n v="6"/>
    <n v="0"/>
    <n v="488.97"/>
    <s v="Profit"/>
  </r>
  <r>
    <s v="ORD-10657"/>
    <d v="2025-09-17T00:00:00"/>
    <d v="2025-09-20T00:00:00"/>
    <s v="Karen Ponce"/>
    <s v="Corporate"/>
    <x v="2"/>
    <s v="Furniture"/>
    <s v="Tables"/>
    <s v="Country Tables"/>
    <n v="3649.04"/>
    <n v="6"/>
    <n v="0.15"/>
    <n v="1199.29"/>
    <s v="Profit"/>
  </r>
  <r>
    <s v="ORD-10658"/>
    <d v="2025-03-24T00:00:00"/>
    <d v="2025-03-29T00:00:00"/>
    <s v="Angel Peterson"/>
    <s v="Consumer"/>
    <x v="3"/>
    <s v="Office Supplies"/>
    <s v="Storage"/>
    <s v="Away Storage"/>
    <n v="802.19"/>
    <n v="4"/>
    <n v="0"/>
    <n v="-102.4"/>
    <s v="Loss"/>
  </r>
  <r>
    <s v="ORD-10659"/>
    <d v="2024-01-03T00:00:00"/>
    <d v="2024-01-13T00:00:00"/>
    <s v="Amber Foster"/>
    <s v="Corporate"/>
    <x v="0"/>
    <s v="Office Supplies"/>
    <s v="Storage"/>
    <s v="Current Storage"/>
    <n v="1193.01"/>
    <n v="4"/>
    <n v="0.05"/>
    <n v="212.42"/>
    <s v="Profit"/>
  </r>
  <r>
    <s v="ORD-10660"/>
    <d v="2025-11-30T00:00:00"/>
    <d v="2025-12-03T00:00:00"/>
    <s v="David Reese"/>
    <s v="Corporate"/>
    <x v="1"/>
    <s v="Office Supplies"/>
    <s v="Paper"/>
    <s v="Citizen Paper"/>
    <n v="2536.5100000000002"/>
    <n v="10"/>
    <n v="0.15"/>
    <n v="486.02"/>
    <s v="Profit"/>
  </r>
  <r>
    <s v="ORD-10661"/>
    <d v="2025-09-30T00:00:00"/>
    <d v="2025-10-08T00:00:00"/>
    <s v="Patricia Reid"/>
    <s v="Consumer"/>
    <x v="3"/>
    <s v="Technology"/>
    <s v="Accessories"/>
    <s v="Real Accessories"/>
    <n v="730.69"/>
    <n v="4"/>
    <n v="0.05"/>
    <n v="-133.19"/>
    <s v="Loss"/>
  </r>
  <r>
    <s v="ORD-10662"/>
    <d v="2026-03-13T00:00:00"/>
    <d v="2026-03-17T00:00:00"/>
    <s v="Ashley Ho"/>
    <s v="Corporate"/>
    <x v="2"/>
    <s v="Technology"/>
    <s v="Phones"/>
    <s v="Market Phones"/>
    <n v="3800.99"/>
    <n v="2"/>
    <n v="0.05"/>
    <n v="1177.95"/>
    <s v="Profit"/>
  </r>
  <r>
    <s v="ORD-10663"/>
    <d v="2025-08-09T00:00:00"/>
    <d v="2025-08-17T00:00:00"/>
    <s v="Sarah Lopez"/>
    <s v="Home Office"/>
    <x v="2"/>
    <s v="Office Supplies"/>
    <s v="Paper"/>
    <s v="Whose Paper"/>
    <n v="4443.5600000000004"/>
    <n v="7"/>
    <n v="0.15"/>
    <n v="1008.32"/>
    <s v="Profit"/>
  </r>
  <r>
    <s v="ORD-10664"/>
    <d v="2024-06-01T00:00:00"/>
    <d v="2024-06-08T00:00:00"/>
    <s v="David Friedman"/>
    <s v="Home Office"/>
    <x v="0"/>
    <s v="Office Supplies"/>
    <s v="Paper"/>
    <s v="Method Paper"/>
    <n v="3076.95"/>
    <n v="10"/>
    <n v="0.2"/>
    <n v="291.95999999999998"/>
    <s v="Profit"/>
  </r>
  <r>
    <s v="ORD-10665"/>
    <d v="2026-04-21T00:00:00"/>
    <d v="2026-04-29T00:00:00"/>
    <s v="Margaret Adams"/>
    <s v="Corporate"/>
    <x v="0"/>
    <s v="Office Supplies"/>
    <s v="Binders"/>
    <s v="Game Binders"/>
    <n v="2311.66"/>
    <n v="1"/>
    <n v="0.05"/>
    <n v="197.15"/>
    <s v="Profit"/>
  </r>
  <r>
    <s v="ORD-10666"/>
    <d v="2025-12-09T00:00:00"/>
    <d v="2025-12-18T00:00:00"/>
    <s v="Erin Howell"/>
    <s v="Corporate"/>
    <x v="3"/>
    <s v="Office Supplies"/>
    <s v="Paper"/>
    <s v="Local Paper"/>
    <n v="3837.54"/>
    <n v="1"/>
    <n v="0.05"/>
    <n v="-152.93"/>
    <s v="Loss"/>
  </r>
  <r>
    <s v="ORD-10667"/>
    <d v="2025-09-13T00:00:00"/>
    <d v="2025-09-16T00:00:00"/>
    <s v="Jordan Martinez"/>
    <s v="Consumer"/>
    <x v="2"/>
    <s v="Technology"/>
    <s v="Accessories"/>
    <s v="Forget Accessories"/>
    <n v="2141.19"/>
    <n v="10"/>
    <n v="0"/>
    <n v="384.29"/>
    <s v="Profit"/>
  </r>
  <r>
    <s v="ORD-10668"/>
    <s v="24-01-2024"/>
    <d v="2024-01-26T00:00:00"/>
    <s v="Victor Allen"/>
    <s v="Home Office"/>
    <x v="1"/>
    <s v="Office Supplies"/>
    <s v="Paper"/>
    <s v="Though Paper"/>
    <n v="3627.1"/>
    <n v="2"/>
    <n v="0.05"/>
    <n v="828.07"/>
    <s v="Profit"/>
  </r>
  <r>
    <s v="ORD-10669"/>
    <d v="2023-06-21T00:00:00"/>
    <d v="2023-06-27T00:00:00"/>
    <s v="Jessica Ferguson"/>
    <s v="Home Office"/>
    <x v="1"/>
    <s v="Technology"/>
    <s v="Accessories"/>
    <s v="Until Accessories"/>
    <n v="2281.88"/>
    <n v="3"/>
    <n v="0.15"/>
    <n v="284.49"/>
    <s v="Profit"/>
  </r>
  <r>
    <s v="ORD-10670"/>
    <d v="2024-06-17T00:00:00"/>
    <d v="2024-06-22T00:00:00"/>
    <s v="Joshua Dalton"/>
    <s v="Consumer"/>
    <x v="0"/>
    <s v="Technology"/>
    <s v="Phones"/>
    <s v="Candidate Phones"/>
    <n v="1654.17"/>
    <n v="3"/>
    <n v="0.2"/>
    <n v="336.28"/>
    <s v="Profit"/>
  </r>
  <r>
    <s v="ORD-10671"/>
    <d v="2025-01-07T00:00:00"/>
    <d v="2025-01-13T00:00:00"/>
    <s v="Karen Curtis"/>
    <s v="Home Office"/>
    <x v="1"/>
    <s v="Office Supplies"/>
    <s v="Paper"/>
    <s v="Cost Paper"/>
    <n v="472.27"/>
    <n v="7"/>
    <n v="0.2"/>
    <n v="111.02"/>
    <s v="Profit"/>
  </r>
  <r>
    <s v="ORD-10672"/>
    <d v="2024-12-03T00:00:00"/>
    <d v="2024-12-10T00:00:00"/>
    <s v="Kathleen Matthews"/>
    <s v="Home Office"/>
    <x v="1"/>
    <s v="Technology"/>
    <s v="Laptops"/>
    <s v="Bill Laptops"/>
    <n v="267.33999999999997"/>
    <n v="3"/>
    <n v="0.1"/>
    <n v="29.68"/>
    <s v="Profit"/>
  </r>
  <r>
    <s v="ORD-10673"/>
    <d v="2023-07-24T00:00:00"/>
    <d v="2023-07-27T00:00:00"/>
    <s v="Lauren Bentley"/>
    <s v="Home Office"/>
    <x v="2"/>
    <s v="Furniture"/>
    <s v="Chairs"/>
    <s v="Forget Chairs"/>
    <n v="3857.33"/>
    <n v="1"/>
    <n v="0.15"/>
    <n v="-117.9"/>
    <s v="Loss"/>
  </r>
  <r>
    <s v="ORD-10674"/>
    <d v="2025-02-22T00:00:00"/>
    <d v="2025-02-25T00:00:00"/>
    <s v="Jerry Russell"/>
    <s v="Corporate"/>
    <x v="0"/>
    <s v="Technology"/>
    <s v="Laptops"/>
    <s v="Scene Laptops"/>
    <n v="631.89"/>
    <n v="3"/>
    <n v="0.05"/>
    <n v="-125.15"/>
    <s v="Loss"/>
  </r>
  <r>
    <s v="ORD-10675"/>
    <d v="2025-10-01T00:00:00"/>
    <d v="2025-10-09T00:00:00"/>
    <s v="Joann Maldonado"/>
    <s v="Consumer"/>
    <x v="1"/>
    <s v="Technology"/>
    <s v="Accessories"/>
    <s v="Police Accessories"/>
    <n v="2740.33"/>
    <n v="1"/>
    <n v="0.2"/>
    <n v="782.33"/>
    <s v="Profit"/>
  </r>
  <r>
    <s v="ORD-10676"/>
    <d v="2024-02-14T00:00:00"/>
    <d v="2024-02-22T00:00:00"/>
    <s v="Ashley Best"/>
    <s v="Consumer"/>
    <x v="1"/>
    <s v="Office Supplies"/>
    <s v="Storage"/>
    <s v="Imagine Storage"/>
    <n v="2296.0100000000002"/>
    <n v="8"/>
    <n v="0"/>
    <n v="300.02"/>
    <s v="Profit"/>
  </r>
  <r>
    <s v="ORD-10677"/>
    <d v="2023-10-14T00:00:00"/>
    <d v="2023-10-24T00:00:00"/>
    <s v="Brenda Hebert"/>
    <s v="Consumer"/>
    <x v="3"/>
    <s v="Office Supplies"/>
    <s v="Paper"/>
    <s v="Even Paper"/>
    <n v="3161.75"/>
    <n v="4"/>
    <n v="0"/>
    <n v="-310.92"/>
    <s v="Loss"/>
  </r>
  <r>
    <s v="ORD-10678"/>
    <d v="2025-04-07T00:00:00"/>
    <d v="2025-04-08T00:00:00"/>
    <s v="Karen Smith"/>
    <s v="Consumer"/>
    <x v="0"/>
    <s v="Furniture"/>
    <s v="Chairs"/>
    <s v="Win Chairs"/>
    <n v="3351.63"/>
    <n v="10"/>
    <n v="0.1"/>
    <n v="-59.96"/>
    <s v="Loss"/>
  </r>
  <r>
    <s v="ORD-10679"/>
    <d v="2026-03-13T00:00:00"/>
    <d v="2026-03-16T00:00:00"/>
    <s v="Franklin Davis"/>
    <s v="Home Office"/>
    <x v="1"/>
    <s v="Furniture"/>
    <s v="Tables"/>
    <s v="Knowledge Tables"/>
    <n v="848.61"/>
    <n v="5"/>
    <n v="0.2"/>
    <n v="138.75"/>
    <s v="Profit"/>
  </r>
  <r>
    <s v="ORD-10680"/>
    <d v="2024-03-17T00:00:00"/>
    <d v="2024-03-27T00:00:00"/>
    <s v="Christine Ray"/>
    <s v="Corporate"/>
    <x v="3"/>
    <s v="Technology"/>
    <s v="Laptops"/>
    <s v="Western Laptops"/>
    <n v="1832.93"/>
    <n v="1"/>
    <n v="0"/>
    <n v="408.16"/>
    <s v="Profit"/>
  </r>
  <r>
    <s v="ORD-10681"/>
    <d v="2024-03-03T00:00:00"/>
    <d v="2024-03-10T00:00:00"/>
    <s v="Unknown"/>
    <s v="Consumer"/>
    <x v="3"/>
    <s v="Technology"/>
    <s v="Phones"/>
    <s v="Truth Phones"/>
    <n v="4224.38"/>
    <n v="2"/>
    <n v="0.1"/>
    <n v="249.02"/>
    <s v="Profit"/>
  </r>
  <r>
    <s v="ORD-10682"/>
    <d v="2023-06-08T00:00:00"/>
    <d v="2023-06-15T00:00:00"/>
    <s v="David Logan"/>
    <s v="Home Office"/>
    <x v="0"/>
    <s v="Technology"/>
    <s v="Laptops"/>
    <s v="Yourself Laptops"/>
    <n v="2647"/>
    <n v="4"/>
    <n v="0.2"/>
    <n v="-444.69"/>
    <s v="Loss"/>
  </r>
  <r>
    <s v="ORD-10683"/>
    <d v="2025-09-04T00:00:00"/>
    <d v="2025-09-14T00:00:00"/>
    <s v="Breanna Palmer"/>
    <s v="Corporate"/>
    <x v="3"/>
    <s v="Technology"/>
    <s v="Laptops"/>
    <s v="Inside Laptops"/>
    <n v="4672.76"/>
    <n v="5"/>
    <n v="0.15"/>
    <n v="630.19000000000005"/>
    <s v="Profit"/>
  </r>
  <r>
    <s v="ORD-10684"/>
    <d v="2026-01-13T00:00:00"/>
    <d v="2026-01-23T00:00:00"/>
    <s v="Jason Butler"/>
    <s v="Home Office"/>
    <x v="2"/>
    <s v="Office Supplies"/>
    <s v="Storage"/>
    <s v="Wear Storage"/>
    <n v="1801.57"/>
    <n v="3"/>
    <n v="0.2"/>
    <n v="197.18"/>
    <s v="Profit"/>
  </r>
  <r>
    <s v="ORD-10685"/>
    <d v="2024-08-30T00:00:00"/>
    <d v="2024-09-09T00:00:00"/>
    <s v="Laura Morrow"/>
    <s v="Consumer"/>
    <x v="2"/>
    <s v="Technology"/>
    <s v="Phones"/>
    <s v="Affect Phones"/>
    <n v="1201.97"/>
    <n v="5"/>
    <n v="0.05"/>
    <n v="-239.35"/>
    <s v="Loss"/>
  </r>
  <r>
    <s v="ORD-10686"/>
    <d v="2024-09-13T00:00:00"/>
    <d v="2024-09-17T00:00:00"/>
    <s v="Jennifer Baker"/>
    <s v="Corporate"/>
    <x v="2"/>
    <s v="Office Supplies"/>
    <s v="Binders"/>
    <s v="Design Binders"/>
    <n v="4007.84"/>
    <n v="7"/>
    <n v="0.15"/>
    <n v="-701.29"/>
    <s v="Loss"/>
  </r>
  <r>
    <s v="ORD-10687"/>
    <d v="2025-01-09T00:00:00"/>
    <d v="2025-01-13T00:00:00"/>
    <s v="Gabriel House"/>
    <s v="Home Office"/>
    <x v="2"/>
    <s v="Furniture"/>
    <s v="Bookcases"/>
    <s v="Summer Bookcases"/>
    <n v="3465.58"/>
    <n v="5"/>
    <n v="0"/>
    <n v="-106.48"/>
    <s v="Loss"/>
  </r>
  <r>
    <s v="ORD-10688"/>
    <d v="2026-02-22T00:00:00"/>
    <d v="2026-02-28T00:00:00"/>
    <s v="Jeffrey Vaughn"/>
    <s v="Consumer"/>
    <x v="1"/>
    <s v="Furniture"/>
    <s v="Chairs"/>
    <s v="How Chairs"/>
    <n v="1739.74"/>
    <n v="10"/>
    <n v="0.2"/>
    <n v="570.74"/>
    <s v="Profit"/>
  </r>
  <r>
    <s v="ORD-10689"/>
    <d v="2024-12-12T00:00:00"/>
    <d v="2024-12-20T00:00:00"/>
    <s v="Michael Hernandez"/>
    <s v="Consumer"/>
    <x v="2"/>
    <s v="Technology"/>
    <s v="Accessories"/>
    <s v="Tend Accessories"/>
    <n v="4585.01"/>
    <n v="1"/>
    <n v="0.2"/>
    <n v="-574.66"/>
    <s v="Loss"/>
  </r>
  <r>
    <s v="ORD-10690"/>
    <d v="2024-04-08T00:00:00"/>
    <d v="2024-04-16T00:00:00"/>
    <s v="Stephanie Cabrera Dvm"/>
    <s v="Home Office"/>
    <x v="3"/>
    <s v="Office Supplies"/>
    <s v="Paper"/>
    <s v="Deep Paper"/>
    <n v="3930.75"/>
    <n v="7"/>
    <n v="0.2"/>
    <n v="-665.03"/>
    <s v="Loss"/>
  </r>
  <r>
    <s v="ORD-10691"/>
    <d v="2025-10-25T00:00:00"/>
    <d v="2025-10-31T00:00:00"/>
    <s v="Brian Gonzalez"/>
    <s v="Corporate"/>
    <x v="2"/>
    <s v="Office Supplies"/>
    <s v="Storage"/>
    <s v="Develop Storage"/>
    <n v="2798.13"/>
    <n v="1"/>
    <n v="0.05"/>
    <n v="328.97"/>
    <s v="Profit"/>
  </r>
  <r>
    <s v="ORD-10692"/>
    <d v="2024-12-24T00:00:00"/>
    <d v="2024-12-29T00:00:00"/>
    <s v="Jennifer Parks"/>
    <s v="Consumer"/>
    <x v="2"/>
    <s v="Furniture"/>
    <s v="Chairs"/>
    <s v="Environment Chairs"/>
    <n v="4211.66"/>
    <n v="6"/>
    <n v="0.15"/>
    <n v="608.92999999999995"/>
    <s v="Profit"/>
  </r>
  <r>
    <s v="ORD-10693"/>
    <d v="2024-08-02T00:00:00"/>
    <d v="2024-08-04T00:00:00"/>
    <s v="Joseph White"/>
    <s v="Home Office"/>
    <x v="0"/>
    <s v="Furniture"/>
    <s v="Bookcases"/>
    <s v="Morning Bookcases"/>
    <n v="4329.74"/>
    <n v="5"/>
    <n v="0.2"/>
    <n v="1176.83"/>
    <s v="Profit"/>
  </r>
  <r>
    <s v="ORD-10694"/>
    <d v="2025-03-19T00:00:00"/>
    <d v="2025-03-21T00:00:00"/>
    <s v="Holly Phillips"/>
    <s v="Corporate"/>
    <x v="1"/>
    <s v="Technology"/>
    <s v="Accessories"/>
    <s v="Join Accessories"/>
    <n v="2510.42"/>
    <n v="4"/>
    <n v="0.1"/>
    <n v="121.88"/>
    <s v="Profit"/>
  </r>
  <r>
    <s v="ORD-10695"/>
    <d v="2025-08-25T00:00:00"/>
    <d v="2025-08-28T00:00:00"/>
    <s v="Valerie Smith"/>
    <s v="Corporate"/>
    <x v="0"/>
    <s v="Office Supplies"/>
    <s v="Paper"/>
    <s v="Forward Paper"/>
    <n v="605.54"/>
    <n v="1"/>
    <n v="0.05"/>
    <n v="183.08"/>
    <s v="Profit"/>
  </r>
  <r>
    <s v="ORD-10696"/>
    <d v="2026-02-16T00:00:00"/>
    <d v="2026-02-19T00:00:00"/>
    <s v="Elizabeth Harris"/>
    <s v="Corporate"/>
    <x v="3"/>
    <s v="Technology"/>
    <s v="Laptops"/>
    <s v="Way Laptops"/>
    <n v="991.55"/>
    <n v="8"/>
    <n v="0.2"/>
    <n v="278.26"/>
    <s v="Profit"/>
  </r>
  <r>
    <s v="ORD-10697"/>
    <d v="2024-06-16T00:00:00"/>
    <d v="2024-06-25T00:00:00"/>
    <s v="Alexis Murillo"/>
    <s v="Corporate"/>
    <x v="2"/>
    <s v="Furniture"/>
    <s v="Chairs"/>
    <s v="Make Chairs"/>
    <n v="3399.75"/>
    <n v="3"/>
    <n v="0.05"/>
    <n v="674.9"/>
    <s v="Profit"/>
  </r>
  <r>
    <s v="ORD-10698"/>
    <d v="2025-07-18T00:00:00"/>
    <d v="2025-07-20T00:00:00"/>
    <s v="Angela Wilkins"/>
    <s v="Consumer"/>
    <x v="3"/>
    <s v="Office Supplies"/>
    <s v="Storage"/>
    <s v="Exist Storage"/>
    <n v="70.34"/>
    <n v="1"/>
    <n v="0.2"/>
    <n v="18.739999999999998"/>
    <s v="Profit"/>
  </r>
  <r>
    <s v="ORD-10699"/>
    <d v="2024-06-28T00:00:00"/>
    <d v="2024-06-30T00:00:00"/>
    <s v="John Roberts"/>
    <s v="Corporate"/>
    <x v="1"/>
    <s v="Technology"/>
    <s v="Phones"/>
    <s v="Language Phones"/>
    <n v="2626.86"/>
    <n v="5"/>
    <n v="0"/>
    <n v="309.07"/>
    <s v="Profit"/>
  </r>
  <r>
    <s v="ORD-10700"/>
    <d v="2026-01-14T00:00:00"/>
    <d v="2026-01-18T00:00:00"/>
    <s v="Stacy Austin"/>
    <s v="Home Office"/>
    <x v="0"/>
    <s v="Technology"/>
    <s v="Phones"/>
    <s v="Cultural Phones"/>
    <n v="1468.51"/>
    <n v="9"/>
    <n v="0.1"/>
    <n v="330.46"/>
    <s v="Profit"/>
  </r>
  <r>
    <s v="ORD-10701"/>
    <d v="2025-09-22T00:00:00"/>
    <d v="2025-09-25T00:00:00"/>
    <s v="Anthony Garcia"/>
    <s v="Consumer"/>
    <x v="1"/>
    <s v="Technology"/>
    <s v="Phones"/>
    <s v="West Phones"/>
    <n v="1404.5"/>
    <n v="1"/>
    <n v="0.2"/>
    <n v="151.4"/>
    <s v="Profit"/>
  </r>
  <r>
    <s v="ORD-10702"/>
    <d v="2024-01-19T00:00:00"/>
    <d v="2024-01-28T00:00:00"/>
    <s v="Kimberly Dixon"/>
    <s v="Home Office"/>
    <x v="1"/>
    <s v="Office Supplies"/>
    <s v="Paper"/>
    <s v="Paper Paper"/>
    <n v="1626.5"/>
    <n v="3"/>
    <n v="0.2"/>
    <n v="393.94"/>
    <s v="Profit"/>
  </r>
  <r>
    <s v="ORD-10703"/>
    <d v="2024-11-18T00:00:00"/>
    <d v="2024-11-23T00:00:00"/>
    <s v="Terri Lopez"/>
    <s v="Consumer"/>
    <x v="0"/>
    <s v="Furniture"/>
    <s v="Chairs"/>
    <s v="Week Chairs"/>
    <n v="3085.65"/>
    <n v="6"/>
    <n v="0.2"/>
    <n v="135.79"/>
    <s v="Profit"/>
  </r>
  <r>
    <s v="ORD-10704"/>
    <d v="2026-04-23T00:00:00"/>
    <d v="2026-04-24T00:00:00"/>
    <s v="Jeffery Adams"/>
    <s v="Consumer"/>
    <x v="2"/>
    <s v="Technology"/>
    <s v="Laptops"/>
    <s v="Garden Laptops"/>
    <n v="574.34"/>
    <n v="1"/>
    <n v="0"/>
    <n v="19.850000000000001"/>
    <s v="Profit"/>
  </r>
  <r>
    <s v="ORD-10705"/>
    <d v="2026-01-04T00:00:00"/>
    <d v="2026-01-09T00:00:00"/>
    <s v="Ralph Walls"/>
    <s v="Home Office"/>
    <x v="0"/>
    <s v="Office Supplies"/>
    <s v="Paper"/>
    <s v="Away Paper"/>
    <n v="1695.04"/>
    <n v="4"/>
    <n v="0.2"/>
    <n v="368.03"/>
    <s v="Profit"/>
  </r>
  <r>
    <s v="ORD-10706"/>
    <d v="2025-03-03T00:00:00"/>
    <d v="2025-03-06T00:00:00"/>
    <s v="David Lambert"/>
    <s v="Home Office"/>
    <x v="2"/>
    <s v="Technology"/>
    <s v="Laptops"/>
    <s v="Night Laptops"/>
    <n v="509.94"/>
    <n v="8"/>
    <n v="0"/>
    <n v="25.79"/>
    <s v="Profit"/>
  </r>
  <r>
    <s v="ORD-10707"/>
    <d v="2025-05-20T00:00:00"/>
    <d v="2025-05-24T00:00:00"/>
    <s v="David Hernandez"/>
    <s v="Corporate"/>
    <x v="1"/>
    <s v="Technology"/>
    <s v="Phones"/>
    <s v="Significant Phones"/>
    <n v="761.42"/>
    <n v="10"/>
    <n v="0.1"/>
    <n v="230.01"/>
    <s v="Profit"/>
  </r>
  <r>
    <s v="ORD-10708"/>
    <d v="2023-11-27T00:00:00"/>
    <d v="2023-12-03T00:00:00"/>
    <s v="Jacob Hammond"/>
    <s v="Consumer"/>
    <x v="2"/>
    <s v="Office Supplies"/>
    <s v="Storage"/>
    <s v="My Storage"/>
    <n v="3954.45"/>
    <n v="6"/>
    <n v="0.15"/>
    <n v="269.41000000000003"/>
    <s v="Profit"/>
  </r>
  <r>
    <s v="ORD-10709"/>
    <d v="2025-10-02T00:00:00"/>
    <d v="2025-10-10T00:00:00"/>
    <s v="Joseph Davis"/>
    <s v="Home Office"/>
    <x v="1"/>
    <s v="Furniture"/>
    <s v="Tables"/>
    <s v="Computer Tables"/>
    <n v="2333.15"/>
    <n v="3"/>
    <n v="0.1"/>
    <n v="518.82000000000005"/>
    <s v="Profit"/>
  </r>
  <r>
    <s v="ORD-10710"/>
    <d v="2025-01-13T00:00:00"/>
    <d v="2025-01-20T00:00:00"/>
    <s v="Margaret Dennis"/>
    <s v="Consumer"/>
    <x v="3"/>
    <s v="Office Supplies"/>
    <s v="Binders"/>
    <s v="Score Binders"/>
    <n v="4096.8900000000003"/>
    <n v="2"/>
    <n v="0.1"/>
    <n v="433.79"/>
    <s v="Profit"/>
  </r>
  <r>
    <s v="ORD-10711"/>
    <d v="2024-04-24T00:00:00"/>
    <d v="2024-05-01T00:00:00"/>
    <s v="Tara Mcdonald"/>
    <s v="Consumer"/>
    <x v="2"/>
    <s v="Office Supplies"/>
    <s v="Paper"/>
    <s v="Last Paper"/>
    <n v="2973.15"/>
    <n v="4"/>
    <n v="0.2"/>
    <n v="-196.14"/>
    <s v="Loss"/>
  </r>
  <r>
    <s v="ORD-10712"/>
    <d v="2024-06-09T00:00:00"/>
    <d v="2024-06-15T00:00:00"/>
    <s v="Daniel Kelly"/>
    <s v="Corporate"/>
    <x v="3"/>
    <s v="Technology"/>
    <s v="Phones"/>
    <s v="Meeting Phones"/>
    <n v="1080.78"/>
    <n v="10"/>
    <n v="0.15"/>
    <n v="250.06"/>
    <s v="Profit"/>
  </r>
  <r>
    <s v="ORD-10713"/>
    <d v="2023-12-11T00:00:00"/>
    <d v="2023-12-15T00:00:00"/>
    <s v="Roberta Acevedo"/>
    <s v="Home Office"/>
    <x v="2"/>
    <s v="Office Supplies"/>
    <s v="Storage"/>
    <s v="Senior Storage"/>
    <n v="906.77"/>
    <n v="2"/>
    <n v="0.2"/>
    <n v="282.89"/>
    <s v="Profit"/>
  </r>
  <r>
    <s v="ORD-10714"/>
    <d v="2025-09-26T00:00:00"/>
    <d v="2025-10-06T00:00:00"/>
    <s v="Victoria Watkins"/>
    <s v="Consumer"/>
    <x v="3"/>
    <s v="Furniture"/>
    <s v="Bookcases"/>
    <s v="Anyone Bookcases"/>
    <n v="2341.4"/>
    <n v="9"/>
    <n v="0"/>
    <n v="590.29999999999995"/>
    <s v="Profit"/>
  </r>
  <r>
    <s v="ORD-10715"/>
    <d v="2025-05-21T00:00:00"/>
    <d v="2025-05-31T00:00:00"/>
    <s v="Jeffrey Brown"/>
    <s v="Home Office"/>
    <x v="0"/>
    <s v="Technology"/>
    <s v="Phones"/>
    <s v="Office Phones"/>
    <n v="588.29"/>
    <n v="10"/>
    <n v="0.15"/>
    <n v="-11.72"/>
    <s v="Loss"/>
  </r>
  <r>
    <s v="ORD-10716"/>
    <d v="2025-12-07T00:00:00"/>
    <d v="2025-12-10T00:00:00"/>
    <s v="David Richards"/>
    <s v="Corporate"/>
    <x v="3"/>
    <s v="Furniture"/>
    <s v="Chairs"/>
    <s v="Consumer Chairs"/>
    <n v="4441.9399999999996"/>
    <n v="1"/>
    <n v="0.05"/>
    <n v="726.19"/>
    <s v="Profit"/>
  </r>
  <r>
    <s v="ORD-10717"/>
    <d v="2024-06-15T00:00:00"/>
    <d v="2024-06-25T00:00:00"/>
    <s v="Aaron Smith"/>
    <s v="Corporate"/>
    <x v="3"/>
    <s v="Technology"/>
    <s v="Laptops"/>
    <s v="About Laptops"/>
    <n v="2263.44"/>
    <n v="4"/>
    <n v="0.2"/>
    <n v="639.61"/>
    <s v="Profit"/>
  </r>
  <r>
    <s v="ORD-10718"/>
    <d v="2025-08-10T00:00:00"/>
    <d v="2025-08-16T00:00:00"/>
    <s v="Danielle Miller"/>
    <s v="Home Office"/>
    <x v="2"/>
    <s v="Technology"/>
    <s v="Laptops"/>
    <s v="Story Laptops"/>
    <n v="4951.93"/>
    <n v="10"/>
    <n v="0"/>
    <n v="675.05"/>
    <s v="Profit"/>
  </r>
  <r>
    <s v="ORD-10719"/>
    <d v="2025-01-19T00:00:00"/>
    <d v="2025-01-20T00:00:00"/>
    <s v="Jeff Lowe"/>
    <s v="Home Office"/>
    <x v="3"/>
    <s v="Furniture"/>
    <s v="Tables"/>
    <s v="According Tables"/>
    <n v="1877.65"/>
    <n v="9"/>
    <n v="0"/>
    <n v="-374.66"/>
    <s v="Loss"/>
  </r>
  <r>
    <s v="ORD-10720"/>
    <d v="2025-08-21T00:00:00"/>
    <d v="2025-08-22T00:00:00"/>
    <s v="James Garcia"/>
    <s v="Home Office"/>
    <x v="2"/>
    <s v="Furniture"/>
    <s v="Tables"/>
    <s v="Newspaper Tables"/>
    <n v="1214.44"/>
    <n v="10"/>
    <n v="0.15"/>
    <n v="174.72"/>
    <s v="Profit"/>
  </r>
  <r>
    <s v="ORD-10721"/>
    <d v="2024-11-10T00:00:00"/>
    <d v="2024-11-17T00:00:00"/>
    <s v="Ernest Wang"/>
    <s v="Home Office"/>
    <x v="2"/>
    <s v="Technology"/>
    <s v="Accessories"/>
    <s v="Win Accessories"/>
    <n v="2748.34"/>
    <n v="3"/>
    <n v="0.15"/>
    <n v="-339.45"/>
    <s v="Loss"/>
  </r>
  <r>
    <s v="ORD-10722"/>
    <d v="2026-01-20T00:00:00"/>
    <d v="2026-01-23T00:00:00"/>
    <s v="James Shaw"/>
    <s v="Home Office"/>
    <x v="0"/>
    <s v="Technology"/>
    <s v="Accessories"/>
    <s v="Personal Accessories"/>
    <n v="1477.93"/>
    <n v="3"/>
    <n v="0.05"/>
    <n v="-286.14999999999998"/>
    <s v="Loss"/>
  </r>
  <r>
    <s v="ORD-10723"/>
    <d v="2024-02-07T00:00:00"/>
    <d v="2024-02-15T00:00:00"/>
    <s v="Derrick Weber"/>
    <s v="Corporate"/>
    <x v="2"/>
    <s v="Furniture"/>
    <s v="Bookcases"/>
    <s v="Agent Bookcases"/>
    <n v="3306.74"/>
    <n v="3"/>
    <n v="0"/>
    <n v="-411.78"/>
    <s v="Loss"/>
  </r>
  <r>
    <s v="ORD-10724"/>
    <d v="2026-04-18T00:00:00"/>
    <d v="2026-04-25T00:00:00"/>
    <s v="Tracie Davenport"/>
    <s v="Corporate"/>
    <x v="2"/>
    <s v="Office Supplies"/>
    <s v="Storage"/>
    <s v="Teacher Storage"/>
    <n v="3135.08"/>
    <n v="8"/>
    <n v="0.2"/>
    <n v="104.3"/>
    <s v="Profit"/>
  </r>
  <r>
    <s v="ORD-10725"/>
    <d v="2026-03-28T00:00:00"/>
    <d v="2026-03-31T00:00:00"/>
    <s v="Jennifer Bishop"/>
    <s v="Home Office"/>
    <x v="1"/>
    <s v="Technology"/>
    <s v="Phones"/>
    <s v="Institution Phones"/>
    <n v="2152.62"/>
    <n v="1"/>
    <n v="0.2"/>
    <n v="159.26"/>
    <s v="Profit"/>
  </r>
  <r>
    <s v="ORD-10726"/>
    <d v="2024-06-13T00:00:00"/>
    <d v="2024-06-18T00:00:00"/>
    <s v="Rebecca Daniel"/>
    <s v="Consumer"/>
    <x v="2"/>
    <s v="Office Supplies"/>
    <s v="Storage"/>
    <s v="Director Storage"/>
    <n v="2083.65"/>
    <n v="9"/>
    <n v="0.2"/>
    <n v="3.82"/>
    <s v="Profit"/>
  </r>
  <r>
    <s v="ORD-10727"/>
    <d v="2026-02-13T00:00:00"/>
    <d v="2026-02-15T00:00:00"/>
    <s v="Dr. Ryan Bailey"/>
    <s v="Home Office"/>
    <x v="3"/>
    <s v="Office Supplies"/>
    <s v="Paper"/>
    <s v="Generation Paper"/>
    <n v="2922.33"/>
    <n v="2"/>
    <n v="0.05"/>
    <n v="589.15"/>
    <s v="Profit"/>
  </r>
  <r>
    <s v="ORD-10728"/>
    <d v="2024-12-04T00:00:00"/>
    <d v="2024-12-06T00:00:00"/>
    <s v="Mr. Andrew Anderson"/>
    <s v="Home Office"/>
    <x v="0"/>
    <s v="Technology"/>
    <s v="Laptops"/>
    <s v="Fire Laptops"/>
    <n v="2640.62"/>
    <n v="10"/>
    <n v="0"/>
    <n v="-171.96"/>
    <s v="Loss"/>
  </r>
  <r>
    <s v="ORD-10729"/>
    <d v="2026-02-04T00:00:00"/>
    <d v="2026-02-13T00:00:00"/>
    <s v="Juan Norman"/>
    <s v="Corporate"/>
    <x v="0"/>
    <s v="Office Supplies"/>
    <s v="Storage"/>
    <s v="Player Storage"/>
    <n v="4000.59"/>
    <n v="5"/>
    <n v="0.2"/>
    <n v="-684"/>
    <s v="Loss"/>
  </r>
  <r>
    <s v="ORD-10730"/>
    <d v="2026-01-07T00:00:00"/>
    <d v="2026-01-16T00:00:00"/>
    <s v="Duane Johnston"/>
    <s v="Corporate"/>
    <x v="3"/>
    <s v="Technology"/>
    <s v="Accessories"/>
    <s v="Explain Accessories"/>
    <n v="4534.97"/>
    <n v="10"/>
    <n v="0.2"/>
    <n v="-80.12"/>
    <s v="Loss"/>
  </r>
  <r>
    <s v="ORD-10731"/>
    <d v="2024-01-17T00:00:00"/>
    <d v="2024-01-18T00:00:00"/>
    <s v="Michael Miller"/>
    <s v="Home Office"/>
    <x v="3"/>
    <s v="Technology"/>
    <s v="Phones"/>
    <s v="Ask Phones"/>
    <n v="3490.5"/>
    <n v="10"/>
    <n v="0.2"/>
    <n v="-114.35"/>
    <s v="Loss"/>
  </r>
  <r>
    <s v="ORD-10732"/>
    <d v="2026-05-17T00:00:00"/>
    <d v="2026-05-25T00:00:00"/>
    <s v="Christopher Gonzalez"/>
    <s v="Corporate"/>
    <x v="0"/>
    <s v="Furniture"/>
    <s v="Bookcases"/>
    <s v="Position Bookcases"/>
    <n v="2911.8"/>
    <n v="10"/>
    <n v="0"/>
    <n v="468.73"/>
    <s v="Profit"/>
  </r>
  <r>
    <s v="ORD-10733"/>
    <d v="2024-09-25T00:00:00"/>
    <d v="2024-09-27T00:00:00"/>
    <s v="Mark Chen"/>
    <s v="Home Office"/>
    <x v="3"/>
    <s v="Technology"/>
    <s v="Accessories"/>
    <s v="Material Accessories"/>
    <n v="677.77"/>
    <n v="2"/>
    <n v="0.1"/>
    <n v="-41.6"/>
    <s v="Loss"/>
  </r>
  <r>
    <s v="ORD-10734"/>
    <d v="2023-06-16T00:00:00"/>
    <d v="2023-06-17T00:00:00"/>
    <s v="Pamela Baxter"/>
    <s v="Home Office"/>
    <x v="1"/>
    <s v="Technology"/>
    <s v="Accessories"/>
    <s v="Director Accessories"/>
    <n v="3720.07"/>
    <n v="10"/>
    <n v="0.05"/>
    <n v="1118.1500000000001"/>
    <s v="Profit"/>
  </r>
  <r>
    <s v="ORD-10735"/>
    <d v="2025-02-02T00:00:00"/>
    <d v="2025-02-08T00:00:00"/>
    <s v="Shannon Morgan"/>
    <s v="Consumer"/>
    <x v="0"/>
    <s v="Office Supplies"/>
    <s v="Paper"/>
    <s v="There Paper"/>
    <n v="4048.81"/>
    <n v="5"/>
    <n v="0.2"/>
    <n v="-283.79000000000002"/>
    <s v="Loss"/>
  </r>
  <r>
    <s v="ORD-10736"/>
    <d v="2023-11-22T00:00:00"/>
    <d v="2023-11-25T00:00:00"/>
    <s v="Joanna Weiss"/>
    <s v="Corporate"/>
    <x v="2"/>
    <s v="Technology"/>
    <s v="Phones"/>
    <s v="New Phones"/>
    <n v="2997.94"/>
    <n v="3"/>
    <n v="0.15"/>
    <n v="641.62"/>
    <s v="Profit"/>
  </r>
  <r>
    <s v="ORD-10737"/>
    <d v="2023-11-26T00:00:00"/>
    <d v="2023-12-04T00:00:00"/>
    <s v="Unknown"/>
    <s v="Corporate"/>
    <x v="0"/>
    <s v="Furniture"/>
    <s v="Bookcases"/>
    <s v="Raise Bookcases"/>
    <n v="3643.7"/>
    <n v="3"/>
    <n v="0.05"/>
    <n v="429.11"/>
    <s v="Profit"/>
  </r>
  <r>
    <s v="ORD-10738"/>
    <d v="2024-08-02T00:00:00"/>
    <d v="2024-08-04T00:00:00"/>
    <s v="Jody Martinez"/>
    <s v="Corporate"/>
    <x v="1"/>
    <s v="Office Supplies"/>
    <s v="Paper"/>
    <s v="Will Paper"/>
    <n v="309.99"/>
    <n v="8"/>
    <n v="0.15"/>
    <n v="19.2"/>
    <s v="Profit"/>
  </r>
  <r>
    <s v="ORD-10739"/>
    <d v="2023-11-26T00:00:00"/>
    <d v="2023-12-03T00:00:00"/>
    <s v="Jason Moss"/>
    <s v="Consumer"/>
    <x v="3"/>
    <s v="Technology"/>
    <s v="Laptops"/>
    <s v="Couple Laptops"/>
    <n v="2399.2199999999998"/>
    <n v="3"/>
    <n v="0.2"/>
    <n v="668.55"/>
    <s v="Profit"/>
  </r>
  <r>
    <s v="ORD-10740"/>
    <d v="2025-04-28T00:00:00"/>
    <d v="2025-05-04T00:00:00"/>
    <s v="Gregory Mills"/>
    <s v="Home Office"/>
    <x v="3"/>
    <s v="Technology"/>
    <s v="Accessories"/>
    <s v="During Accessories"/>
    <n v="4810.7299999999996"/>
    <n v="1"/>
    <n v="0"/>
    <n v="1466.03"/>
    <s v="Profit"/>
  </r>
  <r>
    <s v="ORD-10741"/>
    <d v="2026-03-22T00:00:00"/>
    <d v="2026-03-27T00:00:00"/>
    <s v="Edward Carlson"/>
    <s v="Home Office"/>
    <x v="2"/>
    <s v="Technology"/>
    <s v="Laptops"/>
    <s v="History Laptops"/>
    <n v="1708.09"/>
    <n v="5"/>
    <n v="0"/>
    <n v="-101.74"/>
    <s v="Loss"/>
  </r>
  <r>
    <s v="ORD-10742"/>
    <d v="2024-03-13T00:00:00"/>
    <d v="2024-03-17T00:00:00"/>
    <s v="Justin Tate"/>
    <s v="Home Office"/>
    <x v="1"/>
    <s v="Technology"/>
    <s v="Laptops"/>
    <s v="Career Laptops"/>
    <n v="3684.85"/>
    <n v="10"/>
    <n v="0.05"/>
    <n v="316.8"/>
    <s v="Profit"/>
  </r>
  <r>
    <s v="ORD-10743"/>
    <d v="2025-11-21T00:00:00"/>
    <d v="2025-11-22T00:00:00"/>
    <s v="Benjamin Hughes"/>
    <s v="Home Office"/>
    <x v="2"/>
    <s v="Technology"/>
    <s v="Laptops"/>
    <s v="Assume Laptops"/>
    <n v="3380.37"/>
    <n v="2"/>
    <n v="0"/>
    <n v="88.52"/>
    <s v="Profit"/>
  </r>
  <r>
    <s v="ORD-10744"/>
    <d v="2024-10-01T00:00:00"/>
    <d v="2024-10-07T00:00:00"/>
    <s v="Eric Fernandez"/>
    <s v="Consumer"/>
    <x v="0"/>
    <s v="Office Supplies"/>
    <s v="Paper"/>
    <s v="Garden Paper"/>
    <n v="1136.1099999999999"/>
    <n v="5"/>
    <n v="0.1"/>
    <n v="-106.57"/>
    <s v="Loss"/>
  </r>
  <r>
    <s v="ORD-10745"/>
    <d v="2025-04-21T00:00:00"/>
    <d v="2025-04-25T00:00:00"/>
    <s v="Tamara Williams"/>
    <s v="Consumer"/>
    <x v="1"/>
    <s v="Furniture"/>
    <s v="Bookcases"/>
    <s v="His Bookcases"/>
    <n v="4754.92"/>
    <n v="2"/>
    <n v="0.2"/>
    <n v="1553.85"/>
    <s v="Profit"/>
  </r>
  <r>
    <s v="ORD-10746"/>
    <d v="2025-07-14T00:00:00"/>
    <d v="2025-07-24T00:00:00"/>
    <s v="Austin Charles"/>
    <s v="Corporate"/>
    <x v="3"/>
    <s v="Technology"/>
    <s v="Laptops"/>
    <s v="Raise Laptops"/>
    <n v="4025.84"/>
    <n v="3"/>
    <n v="0"/>
    <n v="735.16"/>
    <s v="Profit"/>
  </r>
  <r>
    <s v="ORD-10747"/>
    <d v="2026-02-11T00:00:00"/>
    <d v="2026-02-13T00:00:00"/>
    <s v="Unknown"/>
    <s v="Home Office"/>
    <x v="3"/>
    <s v="Technology"/>
    <s v="Laptops"/>
    <s v="For Laptops"/>
    <n v="3211.96"/>
    <n v="5"/>
    <n v="0.15"/>
    <n v="580.47"/>
    <s v="Profit"/>
  </r>
  <r>
    <s v="ORD-10748"/>
    <d v="2024-02-23T00:00:00"/>
    <d v="2024-02-25T00:00:00"/>
    <s v="Melissa Cox"/>
    <s v="Consumer"/>
    <x v="3"/>
    <s v="Technology"/>
    <s v="Phones"/>
    <s v="Fall Phones"/>
    <n v="1422.57"/>
    <n v="1"/>
    <n v="0.15"/>
    <n v="19.52"/>
    <s v="Profit"/>
  </r>
  <r>
    <s v="ORD-10749"/>
    <d v="2024-10-05T00:00:00"/>
    <d v="2024-10-13T00:00:00"/>
    <s v="Dr. Jason Jackson"/>
    <s v="Home Office"/>
    <x v="2"/>
    <s v="Technology"/>
    <s v="Phones"/>
    <s v="Society Phones"/>
    <n v="393.52"/>
    <n v="4"/>
    <n v="0.2"/>
    <n v="6.28"/>
    <s v="Profit"/>
  </r>
  <r>
    <s v="ORD-10750"/>
    <d v="2026-03-23T00:00:00"/>
    <d v="2026-04-01T00:00:00"/>
    <s v="Dylan Whitehead"/>
    <s v="Corporate"/>
    <x v="3"/>
    <s v="Furniture"/>
    <s v="Chairs"/>
    <s v="Five Chairs"/>
    <n v="3855.1"/>
    <n v="4"/>
    <n v="0.2"/>
    <n v="593.04999999999995"/>
    <s v="Prof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x v="0"/>
    <d v="2023-09-08T00:00:00"/>
    <d v="2023-09-09T00:00:00"/>
    <s v="Traci Sanchez"/>
    <x v="0"/>
    <s v="North"/>
    <s v="Office Supplies"/>
    <s v="Binders"/>
    <s v="Happy Binders"/>
    <n v="3720.67"/>
    <n v="4"/>
    <n v="0.05"/>
    <n v="-458.59"/>
    <s v="Loss"/>
  </r>
  <r>
    <x v="1"/>
    <d v="2026-03-05T00:00:00"/>
    <d v="2026-03-06T00:00:00"/>
    <s v="Norman Jordan"/>
    <x v="0"/>
    <s v="South"/>
    <s v="Office Supplies"/>
    <s v="Paper"/>
    <s v="Fight Paper"/>
    <n v="197.5"/>
    <n v="4"/>
    <n v="0.05"/>
    <n v="15.39"/>
    <s v="Profit"/>
  </r>
  <r>
    <x v="2"/>
    <d v="2023-11-05T00:00:00"/>
    <d v="2023-11-14T00:00:00"/>
    <s v="Thomas Scott"/>
    <x v="0"/>
    <s v="South"/>
    <s v="Office Supplies"/>
    <s v="Storage"/>
    <s v="Process Storage"/>
    <n v="2126.62"/>
    <n v="8"/>
    <n v="0.2"/>
    <n v="-99.94"/>
    <s v="Loss"/>
  </r>
  <r>
    <x v="3"/>
    <d v="2024-08-19T00:00:00"/>
    <d v="2024-08-25T00:00:00"/>
    <s v="Samuel Diaz"/>
    <x v="1"/>
    <s v="North"/>
    <s v="Office Supplies"/>
    <s v="Paper"/>
    <s v="Prepare Paper"/>
    <n v="1425.46"/>
    <n v="4"/>
    <n v="0.1"/>
    <n v="-204.96"/>
    <s v="Loss"/>
  </r>
  <r>
    <x v="4"/>
    <d v="2025-07-22T00:00:00"/>
    <d v="2025-08-01T00:00:00"/>
    <s v="Tiffany Ruiz"/>
    <x v="0"/>
    <s v="West"/>
    <s v="Technology"/>
    <s v="Accessories"/>
    <s v="Coach Accessories"/>
    <n v="1359.38"/>
    <n v="1"/>
    <n v="0.2"/>
    <n v="71.62"/>
    <s v="Profit"/>
  </r>
  <r>
    <x v="5"/>
    <d v="2024-02-13T00:00:00"/>
    <d v="2024-02-18T00:00:00"/>
    <s v="Stephanie Rodriguez"/>
    <x v="2"/>
    <s v="North"/>
    <s v="Furniture"/>
    <s v="Bookcases"/>
    <s v="Task Bookcases"/>
    <n v="4155.55"/>
    <n v="10"/>
    <n v="0.1"/>
    <n v="488.46"/>
    <s v="Profit"/>
  </r>
  <r>
    <x v="6"/>
    <d v="2025-12-27T00:00:00"/>
    <d v="2025-12-31T00:00:00"/>
    <s v="Barbara Mora"/>
    <x v="1"/>
    <s v="East"/>
    <s v="Furniture"/>
    <s v="Bookcases"/>
    <s v="Available Bookcases"/>
    <n v="3876.69"/>
    <n v="2"/>
    <n v="0.05"/>
    <n v="1072.1600000000001"/>
    <s v="Profit"/>
  </r>
  <r>
    <x v="7"/>
    <d v="2023-12-28T00:00:00"/>
    <d v="2024-01-03T00:00:00"/>
    <s v="Gloria Brown"/>
    <x v="2"/>
    <s v="North"/>
    <s v="Technology"/>
    <s v="Laptops"/>
    <s v="Beautiful Laptops"/>
    <n v="855.14"/>
    <n v="6"/>
    <n v="0.05"/>
    <n v="144.16999999999999"/>
    <s v="Profit"/>
  </r>
  <r>
    <x v="8"/>
    <d v="2024-03-23T00:00:00"/>
    <d v="2024-03-26T00:00:00"/>
    <s v="Stephen Adkins"/>
    <x v="1"/>
    <s v="South"/>
    <s v="Office Supplies"/>
    <s v="Storage"/>
    <s v="Purpose Storage"/>
    <n v="2693.99"/>
    <n v="4"/>
    <n v="0.05"/>
    <n v="146.13"/>
    <s v="Profit"/>
  </r>
  <r>
    <x v="9"/>
    <d v="2026-02-27T00:00:00"/>
    <d v="2026-02-28T00:00:00"/>
    <s v="Rachel Mathews"/>
    <x v="0"/>
    <s v="South"/>
    <s v="Office Supplies"/>
    <s v="Paper"/>
    <s v="Last Paper"/>
    <n v="1183.79"/>
    <n v="1"/>
    <n v="0.1"/>
    <n v="24.43"/>
    <s v="Profit"/>
  </r>
  <r>
    <x v="10"/>
    <d v="2024-08-20T00:00:00"/>
    <d v="2024-08-26T00:00:00"/>
    <s v="Jacqueline Johnson"/>
    <x v="2"/>
    <s v="West"/>
    <s v="Office Supplies"/>
    <s v="Storage"/>
    <s v="Prepare Storage"/>
    <n v="1102.5"/>
    <n v="8"/>
    <n v="0.15"/>
    <n v="315.95"/>
    <s v="Profit"/>
  </r>
  <r>
    <x v="11"/>
    <d v="2024-10-09T00:00:00"/>
    <d v="2024-10-12T00:00:00"/>
    <s v="Kevin Anderson"/>
    <x v="2"/>
    <s v="West"/>
    <s v="Furniture"/>
    <s v="Tables"/>
    <s v="Live Tables"/>
    <n v="1270.81"/>
    <n v="9"/>
    <n v="0.2"/>
    <n v="-70.52"/>
    <s v="Loss"/>
  </r>
  <r>
    <x v="12"/>
    <d v="2024-08-20T00:00:00"/>
    <d v="2024-08-26T00:00:00"/>
    <s v="Kenneth Sullivan"/>
    <x v="0"/>
    <s v="North"/>
    <s v="Office Supplies"/>
    <s v="Paper"/>
    <s v="Example Paper"/>
    <n v="1135.6400000000001"/>
    <n v="3"/>
    <n v="0.2"/>
    <n v="81.12"/>
    <s v="Profit"/>
  </r>
  <r>
    <x v="13"/>
    <d v="2024-02-16T00:00:00"/>
    <d v="2024-02-19T00:00:00"/>
    <s v="John Bates"/>
    <x v="1"/>
    <s v="West"/>
    <s v="Furniture"/>
    <s v="Bookcases"/>
    <s v="Individual Bookcases"/>
    <n v="3970.79"/>
    <n v="7"/>
    <n v="0.2"/>
    <n v="-655.42"/>
    <s v="Loss"/>
  </r>
  <r>
    <x v="14"/>
    <d v="2023-10-15T00:00:00"/>
    <d v="2023-10-24T00:00:00"/>
    <s v="Patrick Horn"/>
    <x v="2"/>
    <s v="East"/>
    <s v="Office Supplies"/>
    <s v="Paper"/>
    <s v="Tough Paper"/>
    <n v="4310.8599999999997"/>
    <n v="1"/>
    <n v="0.2"/>
    <n v="846.64"/>
    <s v="Profit"/>
  </r>
  <r>
    <x v="15"/>
    <d v="2024-01-06T00:00:00"/>
    <d v="2024-01-08T00:00:00"/>
    <s v="Danny Clark"/>
    <x v="2"/>
    <s v="East"/>
    <s v="Office Supplies"/>
    <s v="Paper"/>
    <s v="Cover Paper"/>
    <n v="1502.83"/>
    <n v="3"/>
    <n v="0.15"/>
    <n v="-297.88"/>
    <s v="Loss"/>
  </r>
  <r>
    <x v="16"/>
    <d v="2023-11-03T00:00:00"/>
    <d v="2023-11-12T00:00:00"/>
    <s v="Thomas Olson"/>
    <x v="0"/>
    <s v="South"/>
    <s v="Office Supplies"/>
    <s v="Binders"/>
    <s v="Thousand Binders"/>
    <n v="4567.51"/>
    <n v="5"/>
    <n v="0.2"/>
    <n v="361.81"/>
    <s v="Profit"/>
  </r>
  <r>
    <x v="17"/>
    <d v="2025-01-12T00:00:00"/>
    <d v="2025-01-21T00:00:00"/>
    <s v="Jeffrey Levy"/>
    <x v="1"/>
    <s v="North"/>
    <s v="Technology"/>
    <s v="Phones"/>
    <s v="Ahead Phones"/>
    <n v="4769.82"/>
    <n v="9"/>
    <n v="0"/>
    <n v="617.30999999999995"/>
    <s v="Profit"/>
  </r>
  <r>
    <x v="18"/>
    <d v="2023-12-02T00:00:00"/>
    <d v="2023-12-07T00:00:00"/>
    <s v="James Hamilton"/>
    <x v="0"/>
    <s v="West"/>
    <s v="Furniture"/>
    <s v="Tables"/>
    <s v="Build Tables"/>
    <n v="1235.29"/>
    <n v="4"/>
    <n v="0.2"/>
    <n v="396.31"/>
    <s v="Profit"/>
  </r>
  <r>
    <x v="19"/>
    <d v="2025-01-05T00:00:00"/>
    <d v="2025-01-08T00:00:00"/>
    <s v="Joshua Smith"/>
    <x v="2"/>
    <s v="West"/>
    <s v="Furniture"/>
    <s v="Bookcases"/>
    <s v="Cell Bookcases"/>
    <n v="685.54"/>
    <n v="8"/>
    <n v="0.2"/>
    <n v="-74.849999999999994"/>
    <s v="Loss"/>
  </r>
  <r>
    <x v="20"/>
    <d v="2026-05-12T00:00:00"/>
    <d v="2026-05-16T00:00:00"/>
    <s v="Lorraine Ruiz"/>
    <x v="1"/>
    <s v="West"/>
    <s v="Furniture"/>
    <s v="Bookcases"/>
    <s v="Suddenly Bookcases"/>
    <n v="3579.1"/>
    <n v="7"/>
    <n v="0.2"/>
    <n v="563.47"/>
    <s v="Profit"/>
  </r>
  <r>
    <x v="21"/>
    <d v="2025-11-28T00:00:00"/>
    <d v="2025-12-02T00:00:00"/>
    <s v="Terri Miller"/>
    <x v="2"/>
    <s v="South"/>
    <s v="Furniture"/>
    <s v="Chairs"/>
    <s v="Forget Chairs"/>
    <n v="366.93"/>
    <n v="1"/>
    <n v="0.2"/>
    <n v="38.4"/>
    <s v="Profit"/>
  </r>
  <r>
    <x v="22"/>
    <d v="2024-04-01T00:00:00"/>
    <d v="2024-04-02T00:00:00"/>
    <s v="Stacey Lewis"/>
    <x v="0"/>
    <s v="East"/>
    <s v="Furniture"/>
    <s v="Chairs"/>
    <s v="Than Chairs"/>
    <n v="1183.26"/>
    <n v="1"/>
    <n v="0.1"/>
    <n v="-190.54"/>
    <s v="Loss"/>
  </r>
  <r>
    <x v="23"/>
    <d v="2025-05-19T00:00:00"/>
    <d v="2025-05-23T00:00:00"/>
    <s v="Amanda Roberts"/>
    <x v="1"/>
    <s v="West"/>
    <s v="Office Supplies"/>
    <s v="Paper"/>
    <s v="Culture Paper"/>
    <n v="2719.21"/>
    <n v="10"/>
    <n v="0.2"/>
    <n v="163.07"/>
    <s v="Profit"/>
  </r>
  <r>
    <x v="24"/>
    <d v="2024-09-29T00:00:00"/>
    <d v="2024-10-01T00:00:00"/>
    <s v="William Fernandez"/>
    <x v="2"/>
    <s v="North"/>
    <s v="Furniture"/>
    <s v="Chairs"/>
    <s v="Cultural Chairs"/>
    <n v="3311.96"/>
    <n v="6"/>
    <n v="0.15"/>
    <n v="86.46"/>
    <s v="Profit"/>
  </r>
  <r>
    <x v="25"/>
    <d v="2024-12-21T00:00:00"/>
    <d v="2024-12-23T00:00:00"/>
    <s v="Nicholas Taylor"/>
    <x v="0"/>
    <s v="West"/>
    <s v="Office Supplies"/>
    <s v="Storage"/>
    <s v="Make Storage"/>
    <n v="350.03"/>
    <n v="6"/>
    <n v="0"/>
    <n v="-22.14"/>
    <s v="Loss"/>
  </r>
  <r>
    <x v="26"/>
    <d v="2024-05-29T00:00:00"/>
    <d v="2024-06-01T00:00:00"/>
    <s v="Amanda Roy"/>
    <x v="2"/>
    <s v="North"/>
    <s v="Furniture"/>
    <s v="Tables"/>
    <s v="His Tables"/>
    <n v="1428.8"/>
    <n v="4"/>
    <n v="0"/>
    <n v="62.47"/>
    <s v="Profit"/>
  </r>
  <r>
    <x v="27"/>
    <d v="2025-01-26T00:00:00"/>
    <d v="2025-02-04T00:00:00"/>
    <s v="Charles Moore"/>
    <x v="1"/>
    <s v="West"/>
    <s v="Furniture"/>
    <s v="Bookcases"/>
    <s v="Yeah Bookcases"/>
    <n v="4188.34"/>
    <n v="2"/>
    <n v="0.05"/>
    <n v="-454.56"/>
    <s v="Loss"/>
  </r>
  <r>
    <x v="28"/>
    <d v="2024-03-01T00:00:00"/>
    <d v="2024-03-02T00:00:00"/>
    <s v="Linda Wells"/>
    <x v="1"/>
    <s v="East"/>
    <s v="Furniture"/>
    <s v="Tables"/>
    <s v="Important Tables"/>
    <n v="864.95"/>
    <n v="1"/>
    <n v="0.15"/>
    <n v="-46.83"/>
    <s v="Loss"/>
  </r>
  <r>
    <x v="29"/>
    <d v="2023-06-11T00:00:00"/>
    <d v="2023-06-20T00:00:00"/>
    <s v="Daniel King"/>
    <x v="0"/>
    <s v="North"/>
    <s v="Technology"/>
    <s v="Laptops"/>
    <s v="Themselves Laptops"/>
    <n v="3326.26"/>
    <n v="8"/>
    <n v="0.05"/>
    <n v="-317.83999999999997"/>
    <s v="Loss"/>
  </r>
  <r>
    <x v="30"/>
    <d v="2026-05-03T00:00:00"/>
    <d v="2026-05-12T00:00:00"/>
    <s v="Ricardo Ramirez"/>
    <x v="1"/>
    <s v="South"/>
    <s v="Office Supplies"/>
    <s v="Storage"/>
    <s v="Growth Storage"/>
    <n v="351.74"/>
    <n v="6"/>
    <n v="0"/>
    <n v="-60.65"/>
    <s v="Loss"/>
  </r>
  <r>
    <x v="31"/>
    <d v="2025-10-31T00:00:00"/>
    <d v="2025-11-02T00:00:00"/>
    <s v="Erika Ellis"/>
    <x v="0"/>
    <s v="West"/>
    <s v="Furniture"/>
    <s v="Bookcases"/>
    <s v="One Bookcases"/>
    <n v="4264.1499999999996"/>
    <n v="2"/>
    <n v="0.2"/>
    <n v="-693.44"/>
    <s v="Loss"/>
  </r>
  <r>
    <x v="32"/>
    <d v="2025-12-17T00:00:00"/>
    <d v="2025-12-21T00:00:00"/>
    <s v="Pamela Norman"/>
    <x v="2"/>
    <s v="East"/>
    <s v="Furniture"/>
    <s v="Bookcases"/>
    <s v="Wait Bookcases"/>
    <n v="2915.65"/>
    <n v="1"/>
    <n v="0.2"/>
    <n v="-451.66"/>
    <s v="Loss"/>
  </r>
  <r>
    <x v="33"/>
    <d v="2024-03-17T00:00:00"/>
    <d v="2024-03-23T00:00:00"/>
    <s v="Dennis Stewart"/>
    <x v="1"/>
    <s v="West"/>
    <s v="Technology"/>
    <s v="Phones"/>
    <s v="Stay Phones"/>
    <n v="1231.5"/>
    <n v="7"/>
    <n v="0.05"/>
    <n v="208.65"/>
    <s v="Profit"/>
  </r>
  <r>
    <x v="34"/>
    <d v="2025-05-05T00:00:00"/>
    <d v="2025-05-06T00:00:00"/>
    <s v="Ms. Colleen Smith Dds"/>
    <x v="0"/>
    <s v="East"/>
    <s v="Technology"/>
    <s v="Phones"/>
    <s v="Available Phones"/>
    <n v="2318.5100000000002"/>
    <n v="10"/>
    <n v="0"/>
    <n v="-370.28"/>
    <s v="Loss"/>
  </r>
  <r>
    <x v="35"/>
    <d v="2025-03-08T00:00:00"/>
    <d v="2025-03-10T00:00:00"/>
    <s v="Katelyn Williams"/>
    <x v="2"/>
    <s v="East"/>
    <s v="Furniture"/>
    <s v="Tables"/>
    <s v="Son Tables"/>
    <n v="4402.3900000000003"/>
    <n v="6"/>
    <n v="0.1"/>
    <n v="-498.52"/>
    <s v="Loss"/>
  </r>
  <r>
    <x v="36"/>
    <s v="07-11-2023"/>
    <d v="2023-11-16T00:00:00"/>
    <s v="Shannon Wagner"/>
    <x v="0"/>
    <s v="South"/>
    <s v="Office Supplies"/>
    <s v="Storage"/>
    <s v="With Storage"/>
    <n v="88.72"/>
    <n v="9"/>
    <n v="0.1"/>
    <n v="27.72"/>
    <s v="Profit"/>
  </r>
  <r>
    <x v="37"/>
    <d v="2025-06-07T00:00:00"/>
    <d v="2025-06-09T00:00:00"/>
    <s v="Kelli Johnson"/>
    <x v="0"/>
    <s v="East"/>
    <s v="Technology"/>
    <s v="Phones"/>
    <s v="This Phones"/>
    <n v="3724.96"/>
    <n v="3"/>
    <n v="0.1"/>
    <n v="-167.75"/>
    <s v="Loss"/>
  </r>
  <r>
    <x v="38"/>
    <d v="2023-06-10T00:00:00"/>
    <d v="2023-06-15T00:00:00"/>
    <s v="Rebecca Blake"/>
    <x v="1"/>
    <s v="East"/>
    <s v="Furniture"/>
    <s v="Bookcases"/>
    <s v="Throughout Bookcases"/>
    <n v="2551.77"/>
    <n v="5"/>
    <n v="0"/>
    <n v="-380.82"/>
    <s v="Loss"/>
  </r>
  <r>
    <x v="39"/>
    <d v="2026-03-08T00:00:00"/>
    <d v="2026-03-14T00:00:00"/>
    <s v="Brian Gallagher"/>
    <x v="2"/>
    <s v="West"/>
    <s v="Furniture"/>
    <s v="Chairs"/>
    <s v="According Chairs"/>
    <n v="3867.04"/>
    <n v="5"/>
    <n v="0.05"/>
    <n v="803.1"/>
    <s v="Profit"/>
  </r>
  <r>
    <x v="40"/>
    <d v="2025-07-08T00:00:00"/>
    <d v="2025-07-10T00:00:00"/>
    <s v="Melissa Burgess"/>
    <x v="1"/>
    <s v="South"/>
    <s v="Office Supplies"/>
    <s v="Binders"/>
    <s v="Three Binders"/>
    <n v="422.46"/>
    <n v="3"/>
    <n v="0.2"/>
    <n v="-76.12"/>
    <s v="Loss"/>
  </r>
  <r>
    <x v="41"/>
    <d v="2026-05-16T00:00:00"/>
    <d v="2026-05-17T00:00:00"/>
    <s v="Jenna Hill"/>
    <x v="0"/>
    <s v="North"/>
    <s v="Technology"/>
    <s v="Phones"/>
    <s v="Employee Phones"/>
    <n v="1575.88"/>
    <n v="1"/>
    <n v="0.1"/>
    <n v="-133.1"/>
    <s v="Loss"/>
  </r>
  <r>
    <x v="42"/>
    <d v="2026-02-04T00:00:00"/>
    <d v="2026-02-11T00:00:00"/>
    <s v="Steven Moody"/>
    <x v="0"/>
    <s v="West"/>
    <s v="Technology"/>
    <s v="Laptops"/>
    <s v="Writer Laptops"/>
    <n v="4870.49"/>
    <n v="3"/>
    <n v="0.05"/>
    <n v="1341.98"/>
    <s v="Profit"/>
  </r>
  <r>
    <x v="43"/>
    <d v="2025-07-01T00:00:00"/>
    <d v="2025-07-07T00:00:00"/>
    <s v="Donald Prince"/>
    <x v="0"/>
    <s v="East"/>
    <s v="Furniture"/>
    <s v="Chairs"/>
    <s v="Development Chairs"/>
    <n v="3922.81"/>
    <n v="7"/>
    <n v="0.2"/>
    <n v="1079.7"/>
    <s v="Profit"/>
  </r>
  <r>
    <x v="44"/>
    <d v="2024-09-14T00:00:00"/>
    <d v="2024-09-16T00:00:00"/>
    <s v="Michael Robinson"/>
    <x v="1"/>
    <s v="East"/>
    <s v="Furniture"/>
    <s v="Bookcases"/>
    <s v="These Bookcases"/>
    <n v="1943.58"/>
    <n v="1"/>
    <n v="0.15"/>
    <n v="-150.94"/>
    <s v="Loss"/>
  </r>
  <r>
    <x v="45"/>
    <d v="2023-10-31T00:00:00"/>
    <d v="2023-11-04T00:00:00"/>
    <s v="Christina Cooper"/>
    <x v="0"/>
    <s v="East"/>
    <s v="Technology"/>
    <s v="Phones"/>
    <s v="Live Phones"/>
    <n v="167.14"/>
    <n v="4"/>
    <n v="0.15"/>
    <n v="-3.25"/>
    <s v="Loss"/>
  </r>
  <r>
    <x v="46"/>
    <d v="2025-04-10T00:00:00"/>
    <d v="2025-04-19T00:00:00"/>
    <s v="David Anderson"/>
    <x v="0"/>
    <s v="East"/>
    <s v="Technology"/>
    <s v="Laptops"/>
    <s v="Interesting Laptops"/>
    <n v="2028.41"/>
    <n v="9"/>
    <n v="0.1"/>
    <n v="642.15"/>
    <s v="Profit"/>
  </r>
  <r>
    <x v="47"/>
    <d v="2024-04-27T00:00:00"/>
    <d v="2024-05-02T00:00:00"/>
    <s v="Ann Conner"/>
    <x v="1"/>
    <s v="West"/>
    <s v="Furniture"/>
    <s v="Bookcases"/>
    <s v="Effort Bookcases"/>
    <n v="239.37"/>
    <n v="10"/>
    <n v="0.15"/>
    <n v="-2.36"/>
    <s v="Loss"/>
  </r>
  <r>
    <x v="48"/>
    <d v="2025-12-16T00:00:00"/>
    <d v="2025-12-18T00:00:00"/>
    <s v="David Morgan"/>
    <x v="2"/>
    <s v="West"/>
    <s v="Office Supplies"/>
    <s v="Storage"/>
    <s v="Man Storage"/>
    <n v="1956.72"/>
    <n v="10"/>
    <n v="0.05"/>
    <n v="-117.21"/>
    <s v="Loss"/>
  </r>
  <r>
    <x v="49"/>
    <d v="2025-02-27T00:00:00"/>
    <d v="2025-03-08T00:00:00"/>
    <s v="Andrea Carrillo"/>
    <x v="2"/>
    <s v="East"/>
    <s v="Furniture"/>
    <s v="Bookcases"/>
    <s v="Chair Bookcases"/>
    <n v="3449.94"/>
    <n v="4"/>
    <n v="0.1"/>
    <n v="128.38"/>
    <s v="Profit"/>
  </r>
  <r>
    <x v="50"/>
    <d v="2024-04-03T00:00:00"/>
    <d v="2024-04-05T00:00:00"/>
    <s v="Laura James"/>
    <x v="1"/>
    <s v="East"/>
    <s v="Office Supplies"/>
    <s v="Paper"/>
    <s v="News Paper"/>
    <n v="3612.78"/>
    <n v="5"/>
    <n v="0.2"/>
    <n v="-108"/>
    <s v="Loss"/>
  </r>
  <r>
    <x v="51"/>
    <d v="2025-06-22T00:00:00"/>
    <d v="2025-06-27T00:00:00"/>
    <s v="Charles Torres"/>
    <x v="1"/>
    <s v="South"/>
    <s v="Technology"/>
    <s v="Laptops"/>
    <s v="Open Laptops"/>
    <n v="2794.34"/>
    <n v="4"/>
    <n v="0.15"/>
    <n v="463.05"/>
    <s v="Profit"/>
  </r>
  <r>
    <x v="52"/>
    <s v="24-01-2024"/>
    <d v="2024-01-29T00:00:00"/>
    <s v="Alexander Taylor"/>
    <x v="1"/>
    <s v="East"/>
    <s v="Office Supplies"/>
    <s v="Storage"/>
    <s v="History Storage"/>
    <n v="2060.0700000000002"/>
    <n v="1"/>
    <n v="0.1"/>
    <n v="-86.93"/>
    <s v="Loss"/>
  </r>
  <r>
    <x v="53"/>
    <d v="2025-10-09T00:00:00"/>
    <d v="2025-10-17T00:00:00"/>
    <s v="Walter Lindsey"/>
    <x v="2"/>
    <s v="South"/>
    <s v="Technology"/>
    <s v="Accessories"/>
    <s v="Stay Accessories"/>
    <n v="3394.35"/>
    <n v="9"/>
    <n v="0.15"/>
    <n v="802.95"/>
    <s v="Profit"/>
  </r>
  <r>
    <x v="54"/>
    <d v="2025-03-04T00:00:00"/>
    <d v="2025-03-09T00:00:00"/>
    <s v="Jennifer Downs"/>
    <x v="0"/>
    <s v="East"/>
    <s v="Office Supplies"/>
    <s v="Binders"/>
    <s v="Support Binders"/>
    <n v="2601.4899999999998"/>
    <n v="10"/>
    <n v="0.1"/>
    <n v="-386.68"/>
    <s v="Loss"/>
  </r>
  <r>
    <x v="55"/>
    <d v="2024-05-12T00:00:00"/>
    <d v="2024-05-15T00:00:00"/>
    <s v="Tara Ferguson"/>
    <x v="0"/>
    <s v="West"/>
    <s v="Furniture"/>
    <s v="Chairs"/>
    <s v="Just Chairs"/>
    <n v="170.91"/>
    <n v="4"/>
    <n v="0.15"/>
    <n v="23.28"/>
    <s v="Profit"/>
  </r>
  <r>
    <x v="56"/>
    <d v="2025-04-26T00:00:00"/>
    <d v="2025-05-06T00:00:00"/>
    <s v="Brittany Woodward"/>
    <x v="0"/>
    <s v="North"/>
    <s v="Technology"/>
    <s v="Laptops"/>
    <s v="Laugh Laptops"/>
    <n v="1012.45"/>
    <n v="7"/>
    <n v="0.15"/>
    <n v="20.059999999999999"/>
    <s v="Profit"/>
  </r>
  <r>
    <x v="57"/>
    <d v="2024-03-15T00:00:00"/>
    <d v="2024-03-19T00:00:00"/>
    <s v="Johnathan Logan"/>
    <x v="0"/>
    <s v="North"/>
    <s v="Furniture"/>
    <s v="Tables"/>
    <s v="Baby Tables"/>
    <n v="920.64"/>
    <n v="9"/>
    <n v="0.15"/>
    <n v="-158.69999999999999"/>
    <s v="Loss"/>
  </r>
  <r>
    <x v="58"/>
    <d v="2024-03-13T00:00:00"/>
    <d v="2024-03-21T00:00:00"/>
    <s v="Maria Walker"/>
    <x v="1"/>
    <s v="West"/>
    <s v="Technology"/>
    <s v="Phones"/>
    <s v="Memory Phones"/>
    <n v="3354.51"/>
    <n v="9"/>
    <n v="0.2"/>
    <n v="-85.49"/>
    <s v="Loss"/>
  </r>
  <r>
    <x v="59"/>
    <d v="2025-07-23T00:00:00"/>
    <d v="2025-07-26T00:00:00"/>
    <s v="Robert Willis"/>
    <x v="0"/>
    <s v="East"/>
    <s v="Office Supplies"/>
    <s v="Paper"/>
    <s v="Different Paper"/>
    <n v="3731.09"/>
    <n v="8"/>
    <n v="0.15"/>
    <n v="-214.33"/>
    <s v="Loss"/>
  </r>
  <r>
    <x v="60"/>
    <d v="2025-02-03T00:00:00"/>
    <d v="2025-02-07T00:00:00"/>
    <s v="Wanda Byrd"/>
    <x v="1"/>
    <s v="East"/>
    <s v="Office Supplies"/>
    <s v="Paper"/>
    <s v="Fact Paper"/>
    <n v="1409.26"/>
    <n v="2"/>
    <n v="0.2"/>
    <n v="-60.39"/>
    <s v="Loss"/>
  </r>
  <r>
    <x v="61"/>
    <d v="2023-09-21T00:00:00"/>
    <d v="2023-09-23T00:00:00"/>
    <s v="John Potts"/>
    <x v="2"/>
    <s v="South"/>
    <s v="Technology"/>
    <s v="Laptops"/>
    <s v="Shake Laptops"/>
    <n v="734.95"/>
    <n v="4"/>
    <n v="0.15"/>
    <n v="133.52000000000001"/>
    <s v="Profit"/>
  </r>
  <r>
    <x v="62"/>
    <d v="2024-04-08T00:00:00"/>
    <d v="2024-04-15T00:00:00"/>
    <s v="Monica Kelley"/>
    <x v="1"/>
    <s v="West"/>
    <s v="Furniture"/>
    <s v="Tables"/>
    <s v="Power Tables"/>
    <n v="1687.86"/>
    <n v="8"/>
    <n v="0.15"/>
    <n v="-279.77"/>
    <s v="Loss"/>
  </r>
  <r>
    <x v="63"/>
    <d v="2024-03-22T00:00:00"/>
    <d v="2024-03-23T00:00:00"/>
    <s v="Justin Farrell"/>
    <x v="1"/>
    <s v="East"/>
    <s v="Office Supplies"/>
    <s v="Storage"/>
    <s v="These Storage"/>
    <n v="4290.82"/>
    <n v="10"/>
    <n v="0.15"/>
    <n v="267.48"/>
    <s v="Profit"/>
  </r>
  <r>
    <x v="64"/>
    <d v="2026-04-10T00:00:00"/>
    <d v="2026-04-19T00:00:00"/>
    <s v="Joseph Sanchez"/>
    <x v="1"/>
    <s v="South"/>
    <s v="Technology"/>
    <s v="Accessories"/>
    <s v="Still Accessories"/>
    <n v="3750.2"/>
    <n v="9"/>
    <n v="0.2"/>
    <n v="1101.79"/>
    <s v="Profit"/>
  </r>
  <r>
    <x v="65"/>
    <d v="2024-07-09T00:00:00"/>
    <d v="2024-07-17T00:00:00"/>
    <s v="Kenneth Dunn"/>
    <x v="1"/>
    <s v="South"/>
    <s v="Technology"/>
    <s v="Accessories"/>
    <s v="Interest Accessories"/>
    <n v="193.67"/>
    <n v="6"/>
    <n v="0.2"/>
    <n v="33.61"/>
    <s v="Profit"/>
  </r>
  <r>
    <x v="66"/>
    <d v="2023-07-27T00:00:00"/>
    <d v="2023-08-06T00:00:00"/>
    <s v="Christina Henry"/>
    <x v="0"/>
    <s v="North"/>
    <s v="Technology"/>
    <s v="Phones"/>
    <s v="Moment Phones"/>
    <n v="2693.91"/>
    <n v="7"/>
    <n v="0.2"/>
    <n v="297.45"/>
    <s v="Profit"/>
  </r>
  <r>
    <x v="67"/>
    <d v="2026-04-11T00:00:00"/>
    <d v="2026-04-14T00:00:00"/>
    <s v="Jessica Smith"/>
    <x v="1"/>
    <s v="South"/>
    <s v="Office Supplies"/>
    <s v="Paper"/>
    <s v="Write Paper"/>
    <n v="4340.91"/>
    <n v="3"/>
    <n v="0"/>
    <n v="-247.06"/>
    <s v="Loss"/>
  </r>
  <r>
    <x v="68"/>
    <d v="2023-08-10T00:00:00"/>
    <d v="2023-08-16T00:00:00"/>
    <s v="Daniel Williamson"/>
    <x v="1"/>
    <s v="East"/>
    <s v="Technology"/>
    <s v="Accessories"/>
    <s v="By Accessories"/>
    <n v="3818.09"/>
    <n v="7"/>
    <n v="0.1"/>
    <n v="815.56"/>
    <s v="Profit"/>
  </r>
  <r>
    <x v="69"/>
    <d v="2025-12-02T00:00:00"/>
    <d v="2025-12-03T00:00:00"/>
    <s v="Sean Miranda"/>
    <x v="0"/>
    <s v="North"/>
    <s v="Furniture"/>
    <s v="Tables"/>
    <s v="Number Tables"/>
    <n v="3757.67"/>
    <n v="1"/>
    <n v="0.1"/>
    <n v="-288.13"/>
    <s v="Loss"/>
  </r>
  <r>
    <x v="70"/>
    <d v="2023-12-04T00:00:00"/>
    <d v="2023-12-08T00:00:00"/>
    <s v="Kelly Yoder"/>
    <x v="1"/>
    <s v="North"/>
    <s v="Furniture"/>
    <s v="Chairs"/>
    <s v="Next Chairs"/>
    <n v="4204.18"/>
    <n v="10"/>
    <n v="0.05"/>
    <n v="-289.25"/>
    <s v="Loss"/>
  </r>
  <r>
    <x v="71"/>
    <d v="2023-06-25T00:00:00"/>
    <d v="2023-07-03T00:00:00"/>
    <s v="Cristian Graham"/>
    <x v="2"/>
    <s v="North"/>
    <s v="Office Supplies"/>
    <s v="Binders"/>
    <s v="Back Binders"/>
    <n v="3512.35"/>
    <n v="6"/>
    <n v="0.05"/>
    <n v="467.99"/>
    <s v="Profit"/>
  </r>
  <r>
    <x v="72"/>
    <d v="2023-06-04T00:00:00"/>
    <d v="2023-06-06T00:00:00"/>
    <s v="Patricia Rojas"/>
    <x v="1"/>
    <s v="West"/>
    <s v="Furniture"/>
    <s v="Tables"/>
    <s v="Despite Tables"/>
    <n v="2914.49"/>
    <n v="5"/>
    <n v="0.2"/>
    <n v="502.87"/>
    <s v="Profit"/>
  </r>
  <r>
    <x v="73"/>
    <d v="2025-12-01T00:00:00"/>
    <d v="2025-12-03T00:00:00"/>
    <s v="Elizabeth Martin"/>
    <x v="1"/>
    <s v="North"/>
    <s v="Office Supplies"/>
    <s v="Binders"/>
    <s v="Generation Binders"/>
    <n v="2980.88"/>
    <n v="4"/>
    <n v="0"/>
    <n v="546.86"/>
    <s v="Profit"/>
  </r>
  <r>
    <x v="74"/>
    <d v="2023-05-25T00:00:00"/>
    <d v="2023-05-31T00:00:00"/>
    <s v="Mr. Nicholas Fischer Iii"/>
    <x v="1"/>
    <s v="North"/>
    <s v="Office Supplies"/>
    <s v="Binders"/>
    <s v="Whose Binders"/>
    <n v="2687.09"/>
    <n v="6"/>
    <n v="0"/>
    <n v="210.34"/>
    <s v="Profit"/>
  </r>
  <r>
    <x v="75"/>
    <d v="2024-03-19T00:00:00"/>
    <d v="2024-03-21T00:00:00"/>
    <s v="Michael Whitney"/>
    <x v="1"/>
    <s v="South"/>
    <s v="Technology"/>
    <s v="Accessories"/>
    <s v="Give Accessories"/>
    <n v="2195.94"/>
    <n v="6"/>
    <n v="0.2"/>
    <n v="637.63"/>
    <s v="Profit"/>
  </r>
  <r>
    <x v="76"/>
    <s v="17-09-2023"/>
    <d v="2023-09-26T00:00:00"/>
    <s v="William Gonzalez"/>
    <x v="2"/>
    <s v="West"/>
    <s v="Technology"/>
    <s v="Phones"/>
    <s v="Type Phones"/>
    <n v="4829.09"/>
    <n v="5"/>
    <n v="0.2"/>
    <n v="1180.76"/>
    <s v="Profit"/>
  </r>
  <r>
    <x v="77"/>
    <d v="2024-11-18T00:00:00"/>
    <d v="2024-11-28T00:00:00"/>
    <s v="Gabriel Daniels"/>
    <x v="1"/>
    <s v="South"/>
    <s v="Technology"/>
    <s v="Accessories"/>
    <s v="Theory Accessories"/>
    <n v="1378.56"/>
    <n v="4"/>
    <n v="0"/>
    <n v="-64.23"/>
    <s v="Loss"/>
  </r>
  <r>
    <x v="78"/>
    <d v="2024-09-16T00:00:00"/>
    <d v="2024-09-26T00:00:00"/>
    <s v="Monica Price"/>
    <x v="1"/>
    <s v="South"/>
    <s v="Technology"/>
    <s v="Laptops"/>
    <s v="While Laptops"/>
    <n v="3357.53"/>
    <n v="6"/>
    <n v="0"/>
    <n v="241.3"/>
    <s v="Profit"/>
  </r>
  <r>
    <x v="79"/>
    <d v="2024-07-12T00:00:00"/>
    <d v="2024-07-18T00:00:00"/>
    <s v="Christine Wood"/>
    <x v="2"/>
    <s v="East"/>
    <s v="Technology"/>
    <s v="Phones"/>
    <s v="Wrong Phones"/>
    <n v="3999.27"/>
    <n v="6"/>
    <n v="0.1"/>
    <n v="1136.5"/>
    <s v="Profit"/>
  </r>
  <r>
    <x v="80"/>
    <d v="2024-07-20T00:00:00"/>
    <d v="2024-07-29T00:00:00"/>
    <s v="Christopher Becker"/>
    <x v="1"/>
    <s v="South"/>
    <s v="Office Supplies"/>
    <s v="Binders"/>
    <s v="It Binders"/>
    <n v="4742.91"/>
    <n v="2"/>
    <n v="0.05"/>
    <n v="929.81"/>
    <s v="Profit"/>
  </r>
  <r>
    <x v="81"/>
    <d v="2024-04-29T00:00:00"/>
    <d v="2024-05-07T00:00:00"/>
    <s v="Brandon Barker"/>
    <x v="1"/>
    <s v="South"/>
    <s v="Office Supplies"/>
    <s v="Paper"/>
    <s v="Everybody Paper"/>
    <n v="2268.46"/>
    <n v="1"/>
    <n v="0"/>
    <n v="-86.59"/>
    <s v="Loss"/>
  </r>
  <r>
    <x v="82"/>
    <d v="2025-06-19T00:00:00"/>
    <d v="2025-06-29T00:00:00"/>
    <s v="Teresa Velazquez"/>
    <x v="2"/>
    <s v="East"/>
    <s v="Technology"/>
    <s v="Laptops"/>
    <s v="Power Laptops"/>
    <n v="1876.65"/>
    <n v="9"/>
    <n v="0.2"/>
    <n v="-20.52"/>
    <s v="Loss"/>
  </r>
  <r>
    <x v="83"/>
    <d v="2025-01-19T00:00:00"/>
    <d v="2025-01-27T00:00:00"/>
    <s v="Kristen Payne"/>
    <x v="0"/>
    <s v="East"/>
    <s v="Technology"/>
    <s v="Laptops"/>
    <s v="Small Laptops"/>
    <n v="1391.04"/>
    <n v="5"/>
    <n v="0.05"/>
    <n v="-185.9"/>
    <s v="Loss"/>
  </r>
  <r>
    <x v="84"/>
    <d v="2023-07-31T00:00:00"/>
    <d v="2023-08-09T00:00:00"/>
    <s v="Brittany Bradley"/>
    <x v="1"/>
    <s v="East"/>
    <s v="Furniture"/>
    <s v="Bookcases"/>
    <s v="Adult Bookcases"/>
    <n v="4756.84"/>
    <n v="3"/>
    <n v="0.05"/>
    <n v="-385.25"/>
    <s v="Loss"/>
  </r>
  <r>
    <x v="85"/>
    <d v="2025-04-13T00:00:00"/>
    <d v="2025-04-22T00:00:00"/>
    <s v="Christy Harris"/>
    <x v="1"/>
    <s v="South"/>
    <s v="Office Supplies"/>
    <s v="Storage"/>
    <s v="Fear Storage"/>
    <n v="3004.11"/>
    <n v="2"/>
    <n v="0.05"/>
    <n v="-111.35"/>
    <s v="Loss"/>
  </r>
  <r>
    <x v="86"/>
    <d v="2025-05-19T00:00:00"/>
    <d v="2025-05-28T00:00:00"/>
    <s v="Jeremy Hood"/>
    <x v="2"/>
    <s v="South"/>
    <s v="Technology"/>
    <s v="Phones"/>
    <s v="Drug Phones"/>
    <n v="676.59"/>
    <n v="1"/>
    <n v="0"/>
    <n v="70.599999999999994"/>
    <s v="Profit"/>
  </r>
  <r>
    <x v="87"/>
    <d v="2025-12-30T00:00:00"/>
    <d v="2026-01-01T00:00:00"/>
    <s v="Daniel Clark"/>
    <x v="1"/>
    <s v="East"/>
    <s v="Office Supplies"/>
    <s v="Paper"/>
    <s v="Since Paper"/>
    <n v="4369.96"/>
    <n v="10"/>
    <n v="0.1"/>
    <n v="254.19"/>
    <s v="Profit"/>
  </r>
  <r>
    <x v="88"/>
    <d v="2025-08-09T00:00:00"/>
    <d v="2025-08-14T00:00:00"/>
    <s v="Jill Ayers"/>
    <x v="1"/>
    <s v="West"/>
    <s v="Furniture"/>
    <s v="Chairs"/>
    <s v="Third Chairs"/>
    <n v="4708.26"/>
    <n v="8"/>
    <n v="0"/>
    <n v="1187.25"/>
    <s v="Profit"/>
  </r>
  <r>
    <x v="89"/>
    <d v="2024-05-11T00:00:00"/>
    <d v="2024-05-12T00:00:00"/>
    <s v="Ryan Moss"/>
    <x v="0"/>
    <s v="North"/>
    <s v="Furniture"/>
    <s v="Bookcases"/>
    <s v="Else Bookcases"/>
    <n v="801.05"/>
    <n v="10"/>
    <n v="0.1"/>
    <n v="-122.68"/>
    <s v="Loss"/>
  </r>
  <r>
    <x v="90"/>
    <d v="2026-02-01T00:00:00"/>
    <d v="2026-02-11T00:00:00"/>
    <s v="Douglas Becker"/>
    <x v="1"/>
    <s v="West"/>
    <s v="Office Supplies"/>
    <s v="Paper"/>
    <s v="Decide Paper"/>
    <n v="3000.83"/>
    <n v="10"/>
    <n v="0.05"/>
    <n v="680.08"/>
    <s v="Profit"/>
  </r>
  <r>
    <x v="91"/>
    <d v="2026-02-13T00:00:00"/>
    <d v="2026-02-23T00:00:00"/>
    <s v="Elizabeth Woods"/>
    <x v="2"/>
    <s v="North"/>
    <s v="Technology"/>
    <s v="Accessories"/>
    <s v="Young Accessories"/>
    <n v="4950.6499999999996"/>
    <n v="5"/>
    <n v="0.2"/>
    <n v="700.84"/>
    <s v="Profit"/>
  </r>
  <r>
    <x v="92"/>
    <d v="2025-06-07T00:00:00"/>
    <d v="2025-06-11T00:00:00"/>
    <s v="Daniel Adams"/>
    <x v="2"/>
    <s v="North"/>
    <s v="Furniture"/>
    <s v="Bookcases"/>
    <s v="Soldier Bookcases"/>
    <n v="1360"/>
    <n v="2"/>
    <n v="0.05"/>
    <n v="-92.58"/>
    <s v="Loss"/>
  </r>
  <r>
    <x v="93"/>
    <d v="2023-12-11T00:00:00"/>
    <d v="2023-12-18T00:00:00"/>
    <s v="Rhonda Perez"/>
    <x v="0"/>
    <s v="East"/>
    <s v="Furniture"/>
    <s v="Chairs"/>
    <s v="Forget Chairs"/>
    <n v="2279.9899999999998"/>
    <n v="10"/>
    <n v="0.15"/>
    <n v="-90.76"/>
    <s v="Loss"/>
  </r>
  <r>
    <x v="94"/>
    <d v="2025-08-02T00:00:00"/>
    <d v="2025-08-10T00:00:00"/>
    <s v="Amanda Watkins"/>
    <x v="2"/>
    <s v="South"/>
    <s v="Office Supplies"/>
    <s v="Paper"/>
    <s v="What Paper"/>
    <n v="402.34"/>
    <n v="4"/>
    <n v="0.1"/>
    <n v="93.87"/>
    <s v="Profit"/>
  </r>
  <r>
    <x v="95"/>
    <s v="17-08-2024"/>
    <d v="2024-08-26T00:00:00"/>
    <s v="Kimberly Wood"/>
    <x v="0"/>
    <s v="North"/>
    <s v="Technology"/>
    <s v="Phones"/>
    <s v="Admit Phones"/>
    <n v="1162.81"/>
    <n v="3"/>
    <n v="0.1"/>
    <n v="296.11"/>
    <s v="Profit"/>
  </r>
  <r>
    <x v="96"/>
    <d v="2024-01-07T00:00:00"/>
    <d v="2024-01-17T00:00:00"/>
    <s v="Eric Collins"/>
    <x v="1"/>
    <s v="East"/>
    <s v="Furniture"/>
    <s v="Tables"/>
    <s v="Year Tables"/>
    <n v="3757.34"/>
    <n v="10"/>
    <n v="0.1"/>
    <n v="156.06"/>
    <s v="Profit"/>
  </r>
  <r>
    <x v="97"/>
    <d v="2024-01-08T00:00:00"/>
    <d v="2024-01-13T00:00:00"/>
    <s v="Unknown"/>
    <x v="0"/>
    <s v="West"/>
    <s v="Office Supplies"/>
    <s v="Paper"/>
    <s v="Chance Paper"/>
    <n v="2527.34"/>
    <n v="8"/>
    <n v="0.15"/>
    <n v="-393.65"/>
    <s v="Loss"/>
  </r>
  <r>
    <x v="98"/>
    <d v="2025-10-06T00:00:00"/>
    <d v="2025-10-16T00:00:00"/>
    <s v="Yolanda Burke"/>
    <x v="2"/>
    <s v="North"/>
    <s v="Office Supplies"/>
    <s v="Paper"/>
    <s v="Fall Paper"/>
    <n v="1289.32"/>
    <n v="2"/>
    <n v="0.05"/>
    <n v="424.25"/>
    <s v="Profit"/>
  </r>
  <r>
    <x v="99"/>
    <d v="2026-03-27T00:00:00"/>
    <d v="2026-04-06T00:00:00"/>
    <s v="Sara Miller"/>
    <x v="1"/>
    <s v="East"/>
    <s v="Office Supplies"/>
    <s v="Paper"/>
    <s v="Song Paper"/>
    <n v="249.15"/>
    <n v="3"/>
    <n v="0.15"/>
    <n v="21.28"/>
    <s v="Profit"/>
  </r>
  <r>
    <x v="100"/>
    <d v="2024-06-06T00:00:00"/>
    <d v="2024-06-13T00:00:00"/>
    <s v="Jacqueline Hernandez"/>
    <x v="1"/>
    <s v="East"/>
    <s v="Furniture"/>
    <s v="Bookcases"/>
    <s v="End Bookcases"/>
    <n v="3192.18"/>
    <n v="8"/>
    <n v="0"/>
    <n v="186.76"/>
    <s v="Profit"/>
  </r>
  <r>
    <x v="101"/>
    <d v="2024-11-29T00:00:00"/>
    <d v="2024-12-01T00:00:00"/>
    <s v="Frederick Norris"/>
    <x v="1"/>
    <s v="West"/>
    <s v="Technology"/>
    <s v="Laptops"/>
    <s v="Role Laptops"/>
    <n v="4295.78"/>
    <n v="6"/>
    <n v="0.15"/>
    <n v="779.77"/>
    <s v="Profit"/>
  </r>
  <r>
    <x v="102"/>
    <d v="2024-12-10T00:00:00"/>
    <d v="2024-12-18T00:00:00"/>
    <s v="Richard Day"/>
    <x v="1"/>
    <s v="North"/>
    <s v="Office Supplies"/>
    <s v="Binders"/>
    <s v="Money Binders"/>
    <n v="485.9"/>
    <n v="5"/>
    <n v="0.1"/>
    <n v="-66.2"/>
    <s v="Loss"/>
  </r>
  <r>
    <x v="103"/>
    <d v="2026-05-08T00:00:00"/>
    <d v="2026-05-16T00:00:00"/>
    <s v="Michelle Ryan"/>
    <x v="1"/>
    <s v="West"/>
    <s v="Office Supplies"/>
    <s v="Storage"/>
    <s v="Somebody Storage"/>
    <n v="2095.58"/>
    <n v="4"/>
    <n v="0.2"/>
    <n v="-2.14"/>
    <s v="Loss"/>
  </r>
  <r>
    <x v="104"/>
    <d v="2023-10-14T00:00:00"/>
    <d v="2023-10-19T00:00:00"/>
    <s v="Robert Rice"/>
    <x v="1"/>
    <s v="West"/>
    <s v="Furniture"/>
    <s v="Chairs"/>
    <s v="Manager Chairs"/>
    <n v="2768.64"/>
    <n v="5"/>
    <n v="0.15"/>
    <n v="787.58"/>
    <s v="Profit"/>
  </r>
  <r>
    <x v="105"/>
    <d v="2024-09-16T00:00:00"/>
    <d v="2024-09-26T00:00:00"/>
    <s v="Samantha Hernandez Phd"/>
    <x v="2"/>
    <s v="West"/>
    <s v="Furniture"/>
    <s v="Bookcases"/>
    <s v="Something Bookcases"/>
    <n v="4006.6"/>
    <n v="3"/>
    <n v="0.1"/>
    <n v="412.53"/>
    <s v="Profit"/>
  </r>
  <r>
    <x v="106"/>
    <d v="2025-01-26T00:00:00"/>
    <d v="2025-01-28T00:00:00"/>
    <s v="Gregory Munoz"/>
    <x v="1"/>
    <s v="East"/>
    <s v="Furniture"/>
    <s v="Chairs"/>
    <s v="Role Chairs"/>
    <n v="2334.17"/>
    <n v="2"/>
    <n v="0.2"/>
    <n v="601.47"/>
    <s v="Profit"/>
  </r>
  <r>
    <x v="107"/>
    <d v="2023-08-31T00:00:00"/>
    <d v="2023-09-05T00:00:00"/>
    <s v="Dawn Lee"/>
    <x v="2"/>
    <s v="South"/>
    <s v="Office Supplies"/>
    <s v="Storage"/>
    <s v="Task Storage"/>
    <n v="2106.6799999999998"/>
    <n v="8"/>
    <n v="0.15"/>
    <n v="-138.93"/>
    <s v="Loss"/>
  </r>
  <r>
    <x v="108"/>
    <d v="2026-03-28T00:00:00"/>
    <d v="2026-04-07T00:00:00"/>
    <s v="Michael Bell"/>
    <x v="2"/>
    <s v="East"/>
    <s v="Technology"/>
    <s v="Phones"/>
    <s v="Kitchen Phones"/>
    <n v="2565.79"/>
    <n v="3"/>
    <n v="0"/>
    <n v="-123.32"/>
    <s v="Loss"/>
  </r>
  <r>
    <x v="109"/>
    <d v="2025-12-11T00:00:00"/>
    <d v="2025-12-12T00:00:00"/>
    <s v="Lisa Phelps"/>
    <x v="2"/>
    <s v="West"/>
    <s v="Office Supplies"/>
    <s v="Paper"/>
    <s v="Record Paper"/>
    <n v="1450.05"/>
    <n v="5"/>
    <n v="0.2"/>
    <n v="172.49"/>
    <s v="Profit"/>
  </r>
  <r>
    <x v="110"/>
    <d v="2023-12-03T00:00:00"/>
    <d v="2023-12-12T00:00:00"/>
    <s v="Blake Butler"/>
    <x v="1"/>
    <s v="West"/>
    <s v="Furniture"/>
    <s v="Tables"/>
    <s v="Customer Tables"/>
    <n v="2447.4899999999998"/>
    <n v="6"/>
    <n v="0.2"/>
    <n v="537.41999999999996"/>
    <s v="Profit"/>
  </r>
  <r>
    <x v="111"/>
    <d v="2025-02-04T00:00:00"/>
    <d v="2025-02-08T00:00:00"/>
    <s v="Tonya Turner"/>
    <x v="2"/>
    <s v="West"/>
    <s v="Technology"/>
    <s v="Phones"/>
    <s v="Cold Phones"/>
    <n v="2880.4"/>
    <n v="4"/>
    <n v="0.15"/>
    <n v="-506.93"/>
    <s v="Loss"/>
  </r>
  <r>
    <x v="112"/>
    <d v="2024-10-02T00:00:00"/>
    <d v="2024-10-09T00:00:00"/>
    <s v="Tina Brady"/>
    <x v="0"/>
    <s v="East"/>
    <s v="Office Supplies"/>
    <s v="Paper"/>
    <s v="Mission Paper"/>
    <n v="4942.6499999999996"/>
    <n v="3"/>
    <n v="0.15"/>
    <n v="1634.3"/>
    <s v="Profit"/>
  </r>
  <r>
    <x v="113"/>
    <d v="2025-06-04T00:00:00"/>
    <d v="2025-06-06T00:00:00"/>
    <s v="Alexander Cook"/>
    <x v="1"/>
    <s v="South"/>
    <s v="Furniture"/>
    <s v="Tables"/>
    <s v="Every Tables"/>
    <n v="2653.46"/>
    <n v="8"/>
    <n v="0"/>
    <n v="523.64"/>
    <s v="Profit"/>
  </r>
  <r>
    <x v="114"/>
    <d v="2023-08-31T00:00:00"/>
    <d v="2023-09-05T00:00:00"/>
    <s v="Andrew Gardner"/>
    <x v="1"/>
    <s v="West"/>
    <s v="Furniture"/>
    <s v="Tables"/>
    <s v="Collection Tables"/>
    <n v="1725.88"/>
    <n v="7"/>
    <n v="0.2"/>
    <n v="-268.94"/>
    <s v="Loss"/>
  </r>
  <r>
    <x v="115"/>
    <d v="2026-02-12T00:00:00"/>
    <d v="2026-02-20T00:00:00"/>
    <s v="Rita Perry"/>
    <x v="2"/>
    <s v="East"/>
    <s v="Technology"/>
    <s v="Laptops"/>
    <s v="So Laptops"/>
    <n v="4368.3"/>
    <n v="1"/>
    <n v="0.2"/>
    <n v="-709.27"/>
    <s v="Loss"/>
  </r>
  <r>
    <x v="116"/>
    <d v="2026-04-08T00:00:00"/>
    <d v="2026-04-10T00:00:00"/>
    <s v="William Miller Jr."/>
    <x v="0"/>
    <s v="West"/>
    <s v="Furniture"/>
    <s v="Bookcases"/>
    <s v="Decision Bookcases"/>
    <n v="2198.16"/>
    <n v="2"/>
    <n v="0.2"/>
    <n v="411.36"/>
    <s v="Profit"/>
  </r>
  <r>
    <x v="117"/>
    <d v="2024-04-12T00:00:00"/>
    <d v="2024-04-17T00:00:00"/>
    <s v="Henry Williams"/>
    <x v="1"/>
    <s v="East"/>
    <s v="Furniture"/>
    <s v="Bookcases"/>
    <s v="Case Bookcases"/>
    <n v="4521.95"/>
    <n v="1"/>
    <n v="0.1"/>
    <n v="1075.68"/>
    <s v="Profit"/>
  </r>
  <r>
    <x v="118"/>
    <d v="2024-05-18T00:00:00"/>
    <d v="2024-05-21T00:00:00"/>
    <s v="Alexis Robertson"/>
    <x v="0"/>
    <s v="South"/>
    <s v="Technology"/>
    <s v="Accessories"/>
    <s v="Century Accessories"/>
    <n v="1258.78"/>
    <n v="7"/>
    <n v="0.2"/>
    <n v="220.27"/>
    <s v="Profit"/>
  </r>
  <r>
    <x v="119"/>
    <d v="2024-02-29T00:00:00"/>
    <d v="2024-03-10T00:00:00"/>
    <s v="Andrew Wang"/>
    <x v="2"/>
    <s v="South"/>
    <s v="Furniture"/>
    <s v="Chairs"/>
    <s v="Whole Chairs"/>
    <n v="4360.66"/>
    <n v="10"/>
    <n v="0.2"/>
    <n v="-294.52999999999997"/>
    <s v="Loss"/>
  </r>
  <r>
    <x v="120"/>
    <d v="2025-10-31T00:00:00"/>
    <d v="2025-11-05T00:00:00"/>
    <s v="James Collier"/>
    <x v="2"/>
    <s v="South"/>
    <s v="Furniture"/>
    <s v="Tables"/>
    <s v="Anything Tables"/>
    <n v="2324.87"/>
    <n v="1"/>
    <n v="0.15"/>
    <n v="687.38"/>
    <s v="Profit"/>
  </r>
  <r>
    <x v="121"/>
    <d v="2025-01-05T00:00:00"/>
    <d v="2025-01-11T00:00:00"/>
    <s v="Christopher Lee"/>
    <x v="2"/>
    <s v="East"/>
    <s v="Furniture"/>
    <s v="Tables"/>
    <s v="Human Tables"/>
    <n v="4938.88"/>
    <n v="5"/>
    <n v="0.2"/>
    <n v="1625.46"/>
    <s v="Profit"/>
  </r>
  <r>
    <x v="122"/>
    <d v="2023-12-13T00:00:00"/>
    <d v="2023-12-17T00:00:00"/>
    <s v="Heather George"/>
    <x v="2"/>
    <s v="East"/>
    <s v="Technology"/>
    <s v="Accessories"/>
    <s v="Consumer Accessories"/>
    <n v="4996.8999999999996"/>
    <n v="8"/>
    <n v="0"/>
    <n v="-347.47"/>
    <s v="Loss"/>
  </r>
  <r>
    <x v="123"/>
    <d v="2024-04-03T00:00:00"/>
    <d v="2024-04-08T00:00:00"/>
    <s v="Andrea Sanchez"/>
    <x v="2"/>
    <s v="North"/>
    <s v="Office Supplies"/>
    <s v="Paper"/>
    <s v="Thing Paper"/>
    <n v="158.6"/>
    <n v="7"/>
    <n v="0.1"/>
    <n v="-31.01"/>
    <s v="Loss"/>
  </r>
  <r>
    <x v="124"/>
    <d v="2023-08-09T00:00:00"/>
    <d v="2023-08-17T00:00:00"/>
    <s v="Travis Perkins"/>
    <x v="1"/>
    <s v="South"/>
    <s v="Office Supplies"/>
    <s v="Storage"/>
    <s v="Son Storage"/>
    <n v="4172.55"/>
    <n v="5"/>
    <n v="0.05"/>
    <n v="558.64"/>
    <s v="Profit"/>
  </r>
  <r>
    <x v="125"/>
    <d v="2025-04-07T00:00:00"/>
    <d v="2025-04-17T00:00:00"/>
    <s v="Mark Mora"/>
    <x v="2"/>
    <s v="North"/>
    <s v="Office Supplies"/>
    <s v="Binders"/>
    <s v="Garden Binders"/>
    <n v="1290.5999999999999"/>
    <n v="3"/>
    <n v="0.2"/>
    <n v="-189.15"/>
    <s v="Loss"/>
  </r>
  <r>
    <x v="126"/>
    <d v="2024-03-31T00:00:00"/>
    <d v="2024-04-01T00:00:00"/>
    <s v="Megan Ortega"/>
    <x v="1"/>
    <s v="West"/>
    <s v="Technology"/>
    <s v="Accessories"/>
    <s v="Him Accessories"/>
    <n v="2918.89"/>
    <n v="3"/>
    <n v="0"/>
    <n v="876.53"/>
    <s v="Profit"/>
  </r>
  <r>
    <x v="127"/>
    <d v="2023-11-02T00:00:00"/>
    <d v="2023-11-05T00:00:00"/>
    <s v="Curtis Morris"/>
    <x v="1"/>
    <s v="South"/>
    <s v="Furniture"/>
    <s v="Chairs"/>
    <s v="Song Chairs"/>
    <n v="3943.24"/>
    <n v="6"/>
    <n v="0.2"/>
    <n v="299.64"/>
    <s v="Profit"/>
  </r>
  <r>
    <x v="128"/>
    <d v="2024-02-16T00:00:00"/>
    <d v="2024-02-21T00:00:00"/>
    <s v="Richard Brown"/>
    <x v="0"/>
    <s v="South"/>
    <s v="Technology"/>
    <s v="Accessories"/>
    <s v="Help Accessories"/>
    <n v="3745.47"/>
    <n v="6"/>
    <n v="0"/>
    <n v="215.67"/>
    <s v="Profit"/>
  </r>
  <r>
    <x v="129"/>
    <d v="2024-11-05T00:00:00"/>
    <d v="2024-11-12T00:00:00"/>
    <s v="Shannon Smith"/>
    <x v="1"/>
    <s v="North"/>
    <s v="Furniture"/>
    <s v="Bookcases"/>
    <s v="Piece Bookcases"/>
    <n v="4837.99"/>
    <n v="9"/>
    <n v="0.1"/>
    <n v="-727.31"/>
    <s v="Loss"/>
  </r>
  <r>
    <x v="130"/>
    <d v="2025-03-12T00:00:00"/>
    <d v="2025-03-14T00:00:00"/>
    <s v="Robert Armstrong"/>
    <x v="2"/>
    <s v="East"/>
    <s v="Technology"/>
    <s v="Laptops"/>
    <s v="Term Laptops"/>
    <n v="2301.19"/>
    <n v="5"/>
    <n v="0.2"/>
    <n v="22.01"/>
    <s v="Profit"/>
  </r>
  <r>
    <x v="131"/>
    <d v="2025-04-16T00:00:00"/>
    <d v="2025-04-20T00:00:00"/>
    <s v="Marcia Jackson"/>
    <x v="2"/>
    <s v="South"/>
    <s v="Furniture"/>
    <s v="Bookcases"/>
    <s v="Often Bookcases"/>
    <n v="2383.81"/>
    <n v="10"/>
    <n v="0.2"/>
    <n v="-46.71"/>
    <s v="Loss"/>
  </r>
  <r>
    <x v="132"/>
    <s v="02-05-2025"/>
    <d v="2025-05-10T00:00:00"/>
    <s v="Maria Cardenas"/>
    <x v="0"/>
    <s v="North"/>
    <s v="Office Supplies"/>
    <s v="Binders"/>
    <s v="Just Binders"/>
    <n v="4551.47"/>
    <n v="5"/>
    <n v="0.2"/>
    <n v="111.8"/>
    <s v="Profit"/>
  </r>
  <r>
    <x v="133"/>
    <d v="2025-06-15T00:00:00"/>
    <d v="2025-06-23T00:00:00"/>
    <s v="Unknown"/>
    <x v="1"/>
    <s v="East"/>
    <s v="Furniture"/>
    <s v="Tables"/>
    <s v="Sound Tables"/>
    <n v="624.79999999999995"/>
    <n v="4"/>
    <n v="0.2"/>
    <n v="-78.34"/>
    <s v="Loss"/>
  </r>
  <r>
    <x v="134"/>
    <d v="2026-01-11T00:00:00"/>
    <d v="2026-01-20T00:00:00"/>
    <s v="Jennifer Carter"/>
    <x v="1"/>
    <s v="West"/>
    <s v="Office Supplies"/>
    <s v="Storage"/>
    <s v="Wear Storage"/>
    <n v="2124.6799999999998"/>
    <n v="3"/>
    <n v="0.15"/>
    <n v="340.39"/>
    <s v="Profit"/>
  </r>
  <r>
    <x v="135"/>
    <d v="2025-04-29T00:00:00"/>
    <d v="2025-05-05T00:00:00"/>
    <s v="Austin Brown"/>
    <x v="0"/>
    <s v="East"/>
    <s v="Technology"/>
    <s v="Phones"/>
    <s v="Cause Phones"/>
    <n v="1125.48"/>
    <n v="8"/>
    <n v="0.05"/>
    <n v="304.44"/>
    <s v="Profit"/>
  </r>
  <r>
    <x v="136"/>
    <d v="2023-07-24T00:00:00"/>
    <d v="2023-07-30T00:00:00"/>
    <s v="Alice Villanueva"/>
    <x v="1"/>
    <s v="North"/>
    <s v="Office Supplies"/>
    <s v="Storage"/>
    <s v="Site Storage"/>
    <n v="349.72"/>
    <n v="5"/>
    <n v="0.05"/>
    <n v="116.29"/>
    <s v="Profit"/>
  </r>
  <r>
    <x v="137"/>
    <d v="2026-03-18T00:00:00"/>
    <d v="2026-03-28T00:00:00"/>
    <s v="Cheryl Curtis"/>
    <x v="0"/>
    <s v="South"/>
    <s v="Office Supplies"/>
    <s v="Binders"/>
    <s v="Professor Binders"/>
    <n v="4856.91"/>
    <n v="1"/>
    <n v="0.1"/>
    <n v="-320.74"/>
    <s v="Loss"/>
  </r>
  <r>
    <x v="138"/>
    <d v="2025-08-01T00:00:00"/>
    <d v="2025-08-05T00:00:00"/>
    <s v="Clinton Smith"/>
    <x v="2"/>
    <s v="North"/>
    <s v="Furniture"/>
    <s v="Bookcases"/>
    <s v="Into Bookcases"/>
    <n v="2952.6"/>
    <n v="4"/>
    <n v="0.1"/>
    <n v="667"/>
    <s v="Profit"/>
  </r>
  <r>
    <x v="139"/>
    <d v="2024-04-21T00:00:00"/>
    <d v="2024-04-24T00:00:00"/>
    <s v="Jessica Greene"/>
    <x v="2"/>
    <s v="South"/>
    <s v="Technology"/>
    <s v="Phones"/>
    <s v="Protect Phones"/>
    <n v="2724.07"/>
    <n v="3"/>
    <n v="0"/>
    <n v="445.61"/>
    <s v="Profit"/>
  </r>
  <r>
    <x v="140"/>
    <d v="2024-01-19T00:00:00"/>
    <d v="2024-01-23T00:00:00"/>
    <s v="Barry Padilla"/>
    <x v="0"/>
    <s v="West"/>
    <s v="Furniture"/>
    <s v="Tables"/>
    <s v="Back Tables"/>
    <n v="2964.82"/>
    <n v="1"/>
    <n v="0.05"/>
    <n v="-160.24"/>
    <s v="Loss"/>
  </r>
  <r>
    <x v="141"/>
    <d v="2025-10-08T00:00:00"/>
    <d v="2025-10-10T00:00:00"/>
    <s v="John Lowery"/>
    <x v="1"/>
    <s v="South"/>
    <s v="Office Supplies"/>
    <s v="Binders"/>
    <s v="Race Binders"/>
    <n v="2407.42"/>
    <n v="6"/>
    <n v="0.2"/>
    <n v="304.58"/>
    <s v="Profit"/>
  </r>
  <r>
    <x v="142"/>
    <d v="2023-06-06T00:00:00"/>
    <d v="2023-06-15T00:00:00"/>
    <s v="Sharon Scott"/>
    <x v="1"/>
    <s v="West"/>
    <s v="Office Supplies"/>
    <s v="Binders"/>
    <s v="Goal Binders"/>
    <n v="1543.07"/>
    <n v="1"/>
    <n v="0"/>
    <n v="538.88"/>
    <s v="Profit"/>
  </r>
  <r>
    <x v="143"/>
    <d v="2024-10-18T00:00:00"/>
    <d v="2024-10-26T00:00:00"/>
    <s v="Stephanie Marshall"/>
    <x v="1"/>
    <s v="South"/>
    <s v="Office Supplies"/>
    <s v="Binders"/>
    <s v="Sister Binders"/>
    <n v="3576.39"/>
    <n v="8"/>
    <n v="0"/>
    <n v="1053.5899999999999"/>
    <s v="Profit"/>
  </r>
  <r>
    <x v="144"/>
    <d v="2024-08-20T00:00:00"/>
    <d v="2024-08-25T00:00:00"/>
    <s v="Michelle Fuller"/>
    <x v="1"/>
    <s v="East"/>
    <s v="Furniture"/>
    <s v="Chairs"/>
    <s v="Near Chairs"/>
    <n v="3140.37"/>
    <n v="10"/>
    <n v="0.2"/>
    <n v="601.96"/>
    <s v="Profit"/>
  </r>
  <r>
    <x v="145"/>
    <d v="2025-05-27T00:00:00"/>
    <d v="2025-06-06T00:00:00"/>
    <s v="Christopher Pollard"/>
    <x v="2"/>
    <s v="South"/>
    <s v="Technology"/>
    <s v="Laptops"/>
    <s v="Level Laptops"/>
    <n v="2179.4899999999998"/>
    <n v="2"/>
    <n v="0.2"/>
    <n v="344.37"/>
    <s v="Profit"/>
  </r>
  <r>
    <x v="146"/>
    <d v="2025-11-19T00:00:00"/>
    <d v="2025-11-23T00:00:00"/>
    <s v="Shane Morse"/>
    <x v="0"/>
    <s v="East"/>
    <s v="Technology"/>
    <s v="Accessories"/>
    <s v="Evidence Accessories"/>
    <n v="2098.38"/>
    <n v="8"/>
    <n v="0.15"/>
    <n v="60.42"/>
    <s v="Profit"/>
  </r>
  <r>
    <x v="147"/>
    <d v="2024-07-24T00:00:00"/>
    <d v="2024-07-29T00:00:00"/>
    <s v="Teresa Duke"/>
    <x v="0"/>
    <s v="North"/>
    <s v="Technology"/>
    <s v="Accessories"/>
    <s v="Own Accessories"/>
    <n v="1902.79"/>
    <n v="3"/>
    <n v="0.2"/>
    <n v="585.38"/>
    <s v="Profit"/>
  </r>
  <r>
    <x v="148"/>
    <d v="2025-04-24T00:00:00"/>
    <d v="2025-05-01T00:00:00"/>
    <s v="Amanda Murray"/>
    <x v="2"/>
    <s v="East"/>
    <s v="Furniture"/>
    <s v="Chairs"/>
    <s v="Room Chairs"/>
    <n v="527.99"/>
    <n v="6"/>
    <n v="0.05"/>
    <n v="55.97"/>
    <s v="Profit"/>
  </r>
  <r>
    <x v="149"/>
    <d v="2024-11-26T00:00:00"/>
    <d v="2024-12-03T00:00:00"/>
    <s v="Kristina Stanley"/>
    <x v="1"/>
    <s v="East"/>
    <s v="Office Supplies"/>
    <s v="Binders"/>
    <s v="At Binders"/>
    <n v="1800.31"/>
    <n v="7"/>
    <n v="0.2"/>
    <n v="-309.12"/>
    <s v="Loss"/>
  </r>
  <r>
    <x v="150"/>
    <d v="2023-10-11T00:00:00"/>
    <d v="2023-10-21T00:00:00"/>
    <s v="Sheryl Davenport"/>
    <x v="0"/>
    <s v="East"/>
    <s v="Technology"/>
    <s v="Phones"/>
    <s v="Our Phones"/>
    <n v="2561.69"/>
    <n v="3"/>
    <n v="0.2"/>
    <n v="167.03"/>
    <s v="Profit"/>
  </r>
  <r>
    <x v="151"/>
    <d v="2024-07-24T00:00:00"/>
    <d v="2024-07-26T00:00:00"/>
    <s v="Kendra Gonzalez"/>
    <x v="2"/>
    <s v="North"/>
    <s v="Office Supplies"/>
    <s v="Paper"/>
    <s v="Scene Paper"/>
    <n v="3824.9"/>
    <n v="10"/>
    <n v="0.05"/>
    <n v="933.17"/>
    <s v="Profit"/>
  </r>
  <r>
    <x v="152"/>
    <d v="2026-04-11T00:00:00"/>
    <d v="2026-04-16T00:00:00"/>
    <s v="Lawrence Kennedy"/>
    <x v="1"/>
    <s v="East"/>
    <s v="Office Supplies"/>
    <s v="Storage"/>
    <s v="Might Storage"/>
    <n v="193.32"/>
    <n v="5"/>
    <n v="0.2"/>
    <n v="42.4"/>
    <s v="Profit"/>
  </r>
  <r>
    <x v="153"/>
    <d v="2024-08-07T00:00:00"/>
    <d v="2024-08-10T00:00:00"/>
    <s v="Brandon Thompson"/>
    <x v="2"/>
    <s v="North"/>
    <s v="Furniture"/>
    <s v="Chairs"/>
    <s v="Three Chairs"/>
    <n v="2853.29"/>
    <n v="7"/>
    <n v="0"/>
    <n v="-348.01"/>
    <s v="Loss"/>
  </r>
  <r>
    <x v="154"/>
    <d v="2023-08-21T00:00:00"/>
    <d v="2023-08-30T00:00:00"/>
    <s v="Ryan Johnson"/>
    <x v="1"/>
    <s v="East"/>
    <s v="Furniture"/>
    <s v="Bookcases"/>
    <s v="Firm Bookcases"/>
    <n v="1114.9100000000001"/>
    <n v="7"/>
    <n v="0.15"/>
    <n v="-13.94"/>
    <s v="Loss"/>
  </r>
  <r>
    <x v="155"/>
    <d v="2023-09-22T00:00:00"/>
    <d v="2023-10-02T00:00:00"/>
    <s v="Unknown"/>
    <x v="2"/>
    <s v="North"/>
    <s v="Office Supplies"/>
    <s v="Paper"/>
    <s v="Able Paper"/>
    <n v="3001.31"/>
    <n v="1"/>
    <n v="0.05"/>
    <n v="-340.42"/>
    <s v="Loss"/>
  </r>
  <r>
    <x v="156"/>
    <d v="2023-10-06T00:00:00"/>
    <d v="2023-10-11T00:00:00"/>
    <s v="Amber Reyes"/>
    <x v="1"/>
    <s v="East"/>
    <s v="Office Supplies"/>
    <s v="Binders"/>
    <s v="Go Binders"/>
    <n v="2243.41"/>
    <n v="7"/>
    <n v="0.15"/>
    <n v="300.37"/>
    <s v="Profit"/>
  </r>
  <r>
    <x v="157"/>
    <d v="2025-09-13T00:00:00"/>
    <d v="2025-09-15T00:00:00"/>
    <s v="Jaime Carpenter"/>
    <x v="2"/>
    <s v="West"/>
    <s v="Furniture"/>
    <s v="Bookcases"/>
    <s v="Discuss Bookcases"/>
    <n v="1758.61"/>
    <n v="2"/>
    <n v="0.1"/>
    <n v="304.27"/>
    <s v="Profit"/>
  </r>
  <r>
    <x v="158"/>
    <d v="2025-06-20T00:00:00"/>
    <d v="2025-06-25T00:00:00"/>
    <s v="Tammy Walker"/>
    <x v="0"/>
    <s v="East"/>
    <s v="Office Supplies"/>
    <s v="Storage"/>
    <s v="Sport Storage"/>
    <n v="274.82"/>
    <n v="7"/>
    <n v="0.2"/>
    <n v="-46.68"/>
    <s v="Loss"/>
  </r>
  <r>
    <x v="159"/>
    <d v="2024-07-09T00:00:00"/>
    <d v="2024-07-14T00:00:00"/>
    <s v="Bruce Klein"/>
    <x v="1"/>
    <s v="South"/>
    <s v="Furniture"/>
    <s v="Chairs"/>
    <s v="Nation Chairs"/>
    <n v="1482.76"/>
    <n v="2"/>
    <n v="0"/>
    <n v="109.07"/>
    <s v="Profit"/>
  </r>
  <r>
    <x v="160"/>
    <d v="2025-11-03T00:00:00"/>
    <d v="2025-11-12T00:00:00"/>
    <s v="Victoria Winters"/>
    <x v="1"/>
    <s v="North"/>
    <s v="Furniture"/>
    <s v="Tables"/>
    <s v="Less Tables"/>
    <n v="3533.17"/>
    <n v="9"/>
    <n v="0.2"/>
    <n v="912.78"/>
    <s v="Profit"/>
  </r>
  <r>
    <x v="161"/>
    <d v="2026-05-03T00:00:00"/>
    <d v="2026-05-04T00:00:00"/>
    <s v="Caroline Beck"/>
    <x v="2"/>
    <s v="West"/>
    <s v="Technology"/>
    <s v="Laptops"/>
    <s v="Project Laptops"/>
    <n v="2209.29"/>
    <n v="8"/>
    <n v="0"/>
    <n v="605.70000000000005"/>
    <s v="Profit"/>
  </r>
  <r>
    <x v="162"/>
    <d v="2024-09-20T00:00:00"/>
    <d v="2024-09-27T00:00:00"/>
    <s v="Jerry Jackson"/>
    <x v="0"/>
    <s v="West"/>
    <s v="Office Supplies"/>
    <s v="Paper"/>
    <s v="President Paper"/>
    <n v="1483.1"/>
    <n v="7"/>
    <n v="0"/>
    <n v="491.51"/>
    <s v="Profit"/>
  </r>
  <r>
    <x v="163"/>
    <d v="2025-08-06T00:00:00"/>
    <d v="2025-08-08T00:00:00"/>
    <s v="Pamela Johnson"/>
    <x v="1"/>
    <s v="North"/>
    <s v="Office Supplies"/>
    <s v="Paper"/>
    <s v="Myself Paper"/>
    <n v="2211.7199999999998"/>
    <n v="2"/>
    <n v="0.05"/>
    <n v="87.63"/>
    <s v="Profit"/>
  </r>
  <r>
    <x v="164"/>
    <d v="2026-04-27T00:00:00"/>
    <d v="2026-05-03T00:00:00"/>
    <s v="Sharon Clay"/>
    <x v="0"/>
    <s v="South"/>
    <s v="Technology"/>
    <s v="Accessories"/>
    <s v="Car Accessories"/>
    <n v="1146.78"/>
    <n v="3"/>
    <n v="0"/>
    <n v="92.62"/>
    <s v="Profit"/>
  </r>
  <r>
    <x v="165"/>
    <d v="2024-08-25T00:00:00"/>
    <d v="2024-08-28T00:00:00"/>
    <s v="Stephen Andrews"/>
    <x v="2"/>
    <s v="South"/>
    <s v="Technology"/>
    <s v="Accessories"/>
    <s v="Stay Accessories"/>
    <n v="1219.53"/>
    <n v="3"/>
    <n v="0.1"/>
    <n v="-111.59"/>
    <s v="Loss"/>
  </r>
  <r>
    <x v="166"/>
    <d v="2025-11-09T00:00:00"/>
    <d v="2025-11-12T00:00:00"/>
    <s v="Angela Mercado"/>
    <x v="2"/>
    <s v="West"/>
    <s v="Office Supplies"/>
    <s v="Binders"/>
    <s v="Almost Binders"/>
    <n v="4758.8999999999996"/>
    <n v="8"/>
    <n v="0.15"/>
    <n v="1022.9"/>
    <s v="Profit"/>
  </r>
  <r>
    <x v="167"/>
    <d v="2024-04-24T00:00:00"/>
    <d v="2024-05-04T00:00:00"/>
    <s v="Daniel Wolfe"/>
    <x v="1"/>
    <s v="West"/>
    <s v="Office Supplies"/>
    <s v="Storage"/>
    <s v="Name Storage"/>
    <n v="1649.88"/>
    <n v="6"/>
    <n v="0.05"/>
    <n v="69.08"/>
    <s v="Profit"/>
  </r>
  <r>
    <x v="168"/>
    <d v="2025-12-19T00:00:00"/>
    <d v="2025-12-24T00:00:00"/>
    <s v="Erik Turner"/>
    <x v="1"/>
    <s v="West"/>
    <s v="Office Supplies"/>
    <s v="Paper"/>
    <s v="Hear Paper"/>
    <n v="2977.53"/>
    <n v="6"/>
    <n v="0.2"/>
    <n v="-474.01"/>
    <s v="Loss"/>
  </r>
  <r>
    <x v="169"/>
    <d v="2026-02-12T00:00:00"/>
    <d v="2026-02-18T00:00:00"/>
    <s v="Brian Grant"/>
    <x v="0"/>
    <s v="West"/>
    <s v="Furniture"/>
    <s v="Chairs"/>
    <s v="Bank Chairs"/>
    <n v="4166.8999999999996"/>
    <n v="2"/>
    <n v="0.2"/>
    <n v="1147.3"/>
    <s v="Profit"/>
  </r>
  <r>
    <x v="170"/>
    <d v="2025-05-05T00:00:00"/>
    <d v="2025-05-14T00:00:00"/>
    <s v="Mr. Travis Love Md"/>
    <x v="2"/>
    <s v="South"/>
    <s v="Technology"/>
    <s v="Laptops"/>
    <s v="Seat Laptops"/>
    <n v="4773.45"/>
    <n v="1"/>
    <n v="0.15"/>
    <n v="1431.93"/>
    <s v="Profit"/>
  </r>
  <r>
    <x v="171"/>
    <d v="2025-10-20T00:00:00"/>
    <d v="2025-10-28T00:00:00"/>
    <s v="Denise Evans"/>
    <x v="1"/>
    <s v="North"/>
    <s v="Technology"/>
    <s v="Laptops"/>
    <s v="Charge Laptops"/>
    <n v="2531.77"/>
    <n v="1"/>
    <n v="0.15"/>
    <n v="-362.23"/>
    <s v="Loss"/>
  </r>
  <r>
    <x v="172"/>
    <d v="2026-03-09T00:00:00"/>
    <d v="2026-03-12T00:00:00"/>
    <s v="Amy Fitzpatrick"/>
    <x v="2"/>
    <s v="South"/>
    <s v="Office Supplies"/>
    <s v="Storage"/>
    <s v="Radio Storage"/>
    <n v="243.75"/>
    <n v="8"/>
    <n v="0.15"/>
    <n v="21.51"/>
    <s v="Profit"/>
  </r>
  <r>
    <x v="173"/>
    <d v="2025-10-12T00:00:00"/>
    <d v="2025-10-17T00:00:00"/>
    <s v="Kathryn Kim"/>
    <x v="2"/>
    <s v="East"/>
    <s v="Technology"/>
    <s v="Accessories"/>
    <s v="Significant Accessories"/>
    <n v="1967.71"/>
    <n v="6"/>
    <n v="0.2"/>
    <n v="253.51"/>
    <s v="Profit"/>
  </r>
  <r>
    <x v="174"/>
    <d v="2024-07-07T00:00:00"/>
    <d v="2024-07-09T00:00:00"/>
    <s v="Barbara Hall"/>
    <x v="2"/>
    <s v="South"/>
    <s v="Furniture"/>
    <s v="Tables"/>
    <s v="By Tables"/>
    <n v="2811.92"/>
    <n v="7"/>
    <n v="0.1"/>
    <n v="-172.66"/>
    <s v="Loss"/>
  </r>
  <r>
    <x v="175"/>
    <d v="2025-09-05T00:00:00"/>
    <d v="2025-09-15T00:00:00"/>
    <s v="Joy Johnson"/>
    <x v="2"/>
    <s v="West"/>
    <s v="Technology"/>
    <s v="Phones"/>
    <s v="Discuss Phones"/>
    <n v="3334.88"/>
    <n v="6"/>
    <n v="0.1"/>
    <n v="1107.96"/>
    <s v="Profit"/>
  </r>
  <r>
    <x v="176"/>
    <d v="2026-01-01T00:00:00"/>
    <d v="2026-01-03T00:00:00"/>
    <s v="Cheryl Thompson"/>
    <x v="0"/>
    <s v="North"/>
    <s v="Furniture"/>
    <s v="Bookcases"/>
    <s v="Election Bookcases"/>
    <n v="1582.43"/>
    <n v="7"/>
    <n v="0.2"/>
    <n v="372.53"/>
    <s v="Profit"/>
  </r>
  <r>
    <x v="177"/>
    <d v="2024-10-17T00:00:00"/>
    <d v="2024-10-24T00:00:00"/>
    <s v="William Gonzalez"/>
    <x v="0"/>
    <s v="East"/>
    <s v="Office Supplies"/>
    <s v="Storage"/>
    <s v="Onto Storage"/>
    <n v="2567.02"/>
    <n v="1"/>
    <n v="0.1"/>
    <n v="-77.33"/>
    <s v="Loss"/>
  </r>
  <r>
    <x v="178"/>
    <d v="2025-01-06T00:00:00"/>
    <d v="2025-01-10T00:00:00"/>
    <s v="Bobby Rosario"/>
    <x v="0"/>
    <s v="North"/>
    <s v="Technology"/>
    <s v="Phones"/>
    <s v="Little Phones"/>
    <n v="4999.88"/>
    <n v="3"/>
    <n v="0"/>
    <n v="-186.57"/>
    <s v="Loss"/>
  </r>
  <r>
    <x v="179"/>
    <d v="2025-10-17T00:00:00"/>
    <d v="2025-10-27T00:00:00"/>
    <s v="Robert Snyder"/>
    <x v="2"/>
    <s v="South"/>
    <s v="Office Supplies"/>
    <s v="Paper"/>
    <s v="True Paper"/>
    <n v="698.69"/>
    <n v="7"/>
    <n v="0.05"/>
    <n v="-77.39"/>
    <s v="Loss"/>
  </r>
  <r>
    <x v="180"/>
    <d v="2025-09-22T00:00:00"/>
    <d v="2025-09-23T00:00:00"/>
    <s v="Paul Beasley"/>
    <x v="2"/>
    <s v="West"/>
    <s v="Office Supplies"/>
    <s v="Paper"/>
    <s v="Sea Paper"/>
    <n v="2083.75"/>
    <n v="4"/>
    <n v="0.15"/>
    <n v="283.02999999999997"/>
    <s v="Profit"/>
  </r>
  <r>
    <x v="181"/>
    <d v="2023-09-29T00:00:00"/>
    <d v="2023-10-03T00:00:00"/>
    <s v="Justin Jones"/>
    <x v="2"/>
    <s v="West"/>
    <s v="Furniture"/>
    <s v="Bookcases"/>
    <s v="Best Bookcases"/>
    <n v="1581.87"/>
    <n v="8"/>
    <n v="0.05"/>
    <n v="3.66"/>
    <s v="Profit"/>
  </r>
  <r>
    <x v="182"/>
    <d v="2025-02-19T00:00:00"/>
    <d v="2025-02-26T00:00:00"/>
    <s v="David Brady"/>
    <x v="2"/>
    <s v="South"/>
    <s v="Technology"/>
    <s v="Accessories"/>
    <s v="Event Accessories"/>
    <n v="2539.39"/>
    <n v="7"/>
    <n v="0.05"/>
    <n v="633.04"/>
    <s v="Profit"/>
  </r>
  <r>
    <x v="183"/>
    <d v="2024-01-19T00:00:00"/>
    <d v="2024-01-27T00:00:00"/>
    <s v="Claire Farley"/>
    <x v="2"/>
    <s v="North"/>
    <s v="Technology"/>
    <s v="Phones"/>
    <s v="Suddenly Phones"/>
    <n v="4376.88"/>
    <n v="9"/>
    <n v="0"/>
    <n v="837.17"/>
    <s v="Profit"/>
  </r>
  <r>
    <x v="184"/>
    <d v="2023-07-09T00:00:00"/>
    <d v="2023-07-12T00:00:00"/>
    <s v="Elizabeth Lutz"/>
    <x v="0"/>
    <s v="South"/>
    <s v="Technology"/>
    <s v="Phones"/>
    <s v="Hard Phones"/>
    <n v="1400.32"/>
    <n v="9"/>
    <n v="0.05"/>
    <n v="359.99"/>
    <s v="Profit"/>
  </r>
  <r>
    <x v="185"/>
    <d v="2025-08-18T00:00:00"/>
    <d v="2025-08-19T00:00:00"/>
    <s v="William Dougherty"/>
    <x v="1"/>
    <s v="North"/>
    <s v="Technology"/>
    <s v="Accessories"/>
    <s v="Little Accessories"/>
    <n v="2103.7399999999998"/>
    <n v="7"/>
    <n v="0.2"/>
    <n v="11.95"/>
    <s v="Profit"/>
  </r>
  <r>
    <x v="186"/>
    <s v="15-09-2023"/>
    <d v="2023-09-16T00:00:00"/>
    <s v="Phyllis Arnold"/>
    <x v="0"/>
    <s v="South"/>
    <s v="Technology"/>
    <s v="Phones"/>
    <s v="Not Phones"/>
    <n v="1627.49"/>
    <n v="2"/>
    <n v="0.2"/>
    <n v="256.29000000000002"/>
    <s v="Profit"/>
  </r>
  <r>
    <x v="187"/>
    <d v="2025-08-05T00:00:00"/>
    <d v="2025-08-13T00:00:00"/>
    <s v="Michael Hall"/>
    <x v="2"/>
    <s v="North"/>
    <s v="Furniture"/>
    <s v="Tables"/>
    <s v="Which Tables"/>
    <n v="3495.56"/>
    <n v="3"/>
    <n v="0.2"/>
    <n v="202.78"/>
    <s v="Profit"/>
  </r>
  <r>
    <x v="188"/>
    <d v="2024-12-18T00:00:00"/>
    <d v="2024-12-23T00:00:00"/>
    <s v="Jeremiah Wade"/>
    <x v="2"/>
    <s v="West"/>
    <s v="Furniture"/>
    <s v="Chairs"/>
    <s v="Pick Chairs"/>
    <n v="1117.49"/>
    <n v="3"/>
    <n v="0.2"/>
    <n v="354.38"/>
    <s v="Profit"/>
  </r>
  <r>
    <x v="189"/>
    <d v="2025-11-14T00:00:00"/>
    <d v="2025-11-18T00:00:00"/>
    <s v="Tina Taylor"/>
    <x v="2"/>
    <s v="West"/>
    <s v="Furniture"/>
    <s v="Tables"/>
    <s v="Eye Tables"/>
    <n v="1540.7"/>
    <n v="1"/>
    <n v="0.05"/>
    <n v="47.61"/>
    <s v="Profit"/>
  </r>
  <r>
    <x v="190"/>
    <d v="2023-07-16T00:00:00"/>
    <d v="2023-07-24T00:00:00"/>
    <s v="Robert Martinez"/>
    <x v="0"/>
    <s v="South"/>
    <s v="Furniture"/>
    <s v="Chairs"/>
    <s v="Garden Chairs"/>
    <n v="3003.86"/>
    <n v="1"/>
    <n v="0.2"/>
    <n v="250.69"/>
    <s v="Profit"/>
  </r>
  <r>
    <x v="191"/>
    <d v="2024-10-31T00:00:00"/>
    <d v="2024-11-01T00:00:00"/>
    <s v="Jimmy Fisher"/>
    <x v="2"/>
    <s v="North"/>
    <s v="Technology"/>
    <s v="Accessories"/>
    <s v="Open Accessories"/>
    <n v="3093.31"/>
    <n v="4"/>
    <n v="0.2"/>
    <n v="90.05"/>
    <s v="Profit"/>
  </r>
  <r>
    <x v="192"/>
    <d v="2024-07-19T00:00:00"/>
    <d v="2024-07-21T00:00:00"/>
    <s v="Michael Ruiz"/>
    <x v="2"/>
    <s v="North"/>
    <s v="Office Supplies"/>
    <s v="Paper"/>
    <s v="Watch Paper"/>
    <n v="4769.3500000000004"/>
    <n v="9"/>
    <n v="0.2"/>
    <n v="1109"/>
    <s v="Profit"/>
  </r>
  <r>
    <x v="193"/>
    <d v="2024-01-30T00:00:00"/>
    <d v="2024-01-31T00:00:00"/>
    <s v="Brett Lee"/>
    <x v="1"/>
    <s v="North"/>
    <s v="Technology"/>
    <s v="Accessories"/>
    <s v="Boy Accessories"/>
    <n v="3196.57"/>
    <n v="6"/>
    <n v="0.1"/>
    <n v="674.55"/>
    <s v="Profit"/>
  </r>
  <r>
    <x v="194"/>
    <d v="2023-12-26T00:00:00"/>
    <d v="2023-12-28T00:00:00"/>
    <s v="Cynthia Moore"/>
    <x v="2"/>
    <s v="East"/>
    <s v="Technology"/>
    <s v="Phones"/>
    <s v="Pull Phones"/>
    <n v="3868.93"/>
    <n v="6"/>
    <n v="0.05"/>
    <n v="-679.44"/>
    <s v="Loss"/>
  </r>
  <r>
    <x v="195"/>
    <d v="2023-06-11T00:00:00"/>
    <d v="2023-06-19T00:00:00"/>
    <s v="Julie Cummings"/>
    <x v="0"/>
    <s v="North"/>
    <s v="Office Supplies"/>
    <s v="Binders"/>
    <s v="Special Binders"/>
    <n v="4905.05"/>
    <n v="8"/>
    <n v="0.2"/>
    <n v="-489.26"/>
    <s v="Loss"/>
  </r>
  <r>
    <x v="196"/>
    <d v="2025-11-17T00:00:00"/>
    <d v="2025-11-18T00:00:00"/>
    <s v="Andrea Gill"/>
    <x v="1"/>
    <s v="East"/>
    <s v="Office Supplies"/>
    <s v="Paper"/>
    <s v="One Paper"/>
    <n v="1502.54"/>
    <n v="1"/>
    <n v="0.05"/>
    <n v="431.51"/>
    <s v="Profit"/>
  </r>
  <r>
    <x v="197"/>
    <d v="2023-08-09T00:00:00"/>
    <d v="2023-08-18T00:00:00"/>
    <s v="Carrie Sullivan"/>
    <x v="1"/>
    <s v="North"/>
    <s v="Office Supplies"/>
    <s v="Paper"/>
    <s v="System Paper"/>
    <n v="2393.33"/>
    <n v="1"/>
    <n v="0.2"/>
    <n v="-227.11"/>
    <s v="Loss"/>
  </r>
  <r>
    <x v="198"/>
    <d v="2026-03-24T00:00:00"/>
    <d v="2026-03-29T00:00:00"/>
    <s v="Jill Miller"/>
    <x v="2"/>
    <s v="West"/>
    <s v="Office Supplies"/>
    <s v="Paper"/>
    <s v="Project Paper"/>
    <n v="666.15"/>
    <n v="6"/>
    <n v="0.15"/>
    <n v="192.66"/>
    <s v="Profit"/>
  </r>
  <r>
    <x v="199"/>
    <d v="2023-07-20T00:00:00"/>
    <d v="2023-07-23T00:00:00"/>
    <s v="Luis Pratt"/>
    <x v="2"/>
    <s v="East"/>
    <s v="Technology"/>
    <s v="Accessories"/>
    <s v="Authority Accessories"/>
    <n v="2506.21"/>
    <n v="8"/>
    <n v="0.1"/>
    <n v="772.84"/>
    <s v="Profit"/>
  </r>
  <r>
    <x v="200"/>
    <d v="2024-09-04T00:00:00"/>
    <d v="2024-09-11T00:00:00"/>
    <s v="Jonathon Chavez"/>
    <x v="1"/>
    <s v="North"/>
    <s v="Furniture"/>
    <s v="Bookcases"/>
    <s v="Want Bookcases"/>
    <n v="440.69"/>
    <n v="10"/>
    <n v="0.05"/>
    <n v="44.07"/>
    <s v="Profit"/>
  </r>
  <r>
    <x v="201"/>
    <d v="2024-04-29T00:00:00"/>
    <d v="2024-05-04T00:00:00"/>
    <s v="Jonathan Arnold"/>
    <x v="2"/>
    <s v="West"/>
    <s v="Furniture"/>
    <s v="Tables"/>
    <s v="Force Tables"/>
    <n v="1567.15"/>
    <n v="10"/>
    <n v="0.2"/>
    <n v="53.85"/>
    <s v="Profit"/>
  </r>
  <r>
    <x v="202"/>
    <d v="2025-06-06T00:00:00"/>
    <d v="2025-06-07T00:00:00"/>
    <s v="Aaron Wilson"/>
    <x v="1"/>
    <s v="North"/>
    <s v="Technology"/>
    <s v="Accessories"/>
    <s v="Song Accessories"/>
    <n v="3647.73"/>
    <n v="6"/>
    <n v="0.2"/>
    <n v="1273"/>
    <s v="Profit"/>
  </r>
  <r>
    <x v="203"/>
    <d v="2024-04-17T00:00:00"/>
    <d v="2024-04-24T00:00:00"/>
    <s v="Brittany Summers"/>
    <x v="2"/>
    <s v="West"/>
    <s v="Furniture"/>
    <s v="Bookcases"/>
    <s v="Else Bookcases"/>
    <n v="1848.39"/>
    <n v="3"/>
    <n v="0"/>
    <n v="-224.53"/>
    <s v="Loss"/>
  </r>
  <r>
    <x v="204"/>
    <d v="2025-10-31T00:00:00"/>
    <d v="2025-11-02T00:00:00"/>
    <s v="Willie Garcia"/>
    <x v="2"/>
    <s v="North"/>
    <s v="Furniture"/>
    <s v="Chairs"/>
    <s v="Fast Chairs"/>
    <n v="1218.18"/>
    <n v="6"/>
    <n v="0.1"/>
    <n v="12.88"/>
    <s v="Profit"/>
  </r>
  <r>
    <x v="205"/>
    <d v="2025-01-14T00:00:00"/>
    <d v="2025-01-22T00:00:00"/>
    <s v="Kevin Delacruz"/>
    <x v="2"/>
    <s v="South"/>
    <s v="Office Supplies"/>
    <s v="Binders"/>
    <s v="Interesting Binders"/>
    <n v="4746.68"/>
    <n v="6"/>
    <n v="0.15"/>
    <n v="1042.83"/>
    <s v="Profit"/>
  </r>
  <r>
    <x v="206"/>
    <d v="2025-10-24T00:00:00"/>
    <d v="2025-10-31T00:00:00"/>
    <s v="Elizabeth Dougherty"/>
    <x v="0"/>
    <s v="South"/>
    <s v="Office Supplies"/>
    <s v="Paper"/>
    <s v="Second Paper"/>
    <n v="1606.21"/>
    <n v="5"/>
    <n v="0.05"/>
    <n v="527.29999999999995"/>
    <s v="Profit"/>
  </r>
  <r>
    <x v="207"/>
    <d v="2024-01-30T00:00:00"/>
    <d v="2024-02-06T00:00:00"/>
    <s v="Tammy Brown"/>
    <x v="2"/>
    <s v="West"/>
    <s v="Technology"/>
    <s v="Laptops"/>
    <s v="Our Laptops"/>
    <n v="4572.04"/>
    <n v="2"/>
    <n v="0.1"/>
    <n v="1034.33"/>
    <s v="Profit"/>
  </r>
  <r>
    <x v="208"/>
    <d v="2024-06-20T00:00:00"/>
    <d v="2024-06-25T00:00:00"/>
    <s v="Amy Shepherd"/>
    <x v="2"/>
    <s v="West"/>
    <s v="Furniture"/>
    <s v="Bookcases"/>
    <s v="Sound Bookcases"/>
    <n v="3485.2"/>
    <n v="8"/>
    <n v="0.05"/>
    <n v="-461.96"/>
    <s v="Loss"/>
  </r>
  <r>
    <x v="209"/>
    <d v="2024-05-09T00:00:00"/>
    <d v="2024-05-17T00:00:00"/>
    <s v="Emily Doyle"/>
    <x v="0"/>
    <s v="East"/>
    <s v="Furniture"/>
    <s v="Bookcases"/>
    <s v="Deep Bookcases"/>
    <n v="4986.45"/>
    <n v="6"/>
    <n v="0.2"/>
    <n v="-44.46"/>
    <s v="Loss"/>
  </r>
  <r>
    <x v="210"/>
    <d v="2024-04-05T00:00:00"/>
    <d v="2024-04-08T00:00:00"/>
    <s v="Steven Glover"/>
    <x v="0"/>
    <s v="South"/>
    <s v="Technology"/>
    <s v="Phones"/>
    <s v="Nice Phones"/>
    <n v="3978.8"/>
    <n v="9"/>
    <n v="0.05"/>
    <n v="-530.17999999999995"/>
    <s v="Loss"/>
  </r>
  <r>
    <x v="211"/>
    <d v="2024-12-03T00:00:00"/>
    <d v="2024-12-04T00:00:00"/>
    <s v="Unknown"/>
    <x v="2"/>
    <s v="South"/>
    <s v="Furniture"/>
    <s v="Tables"/>
    <s v="Write Tables"/>
    <n v="1836.44"/>
    <n v="10"/>
    <n v="0.1"/>
    <n v="104.81"/>
    <s v="Profit"/>
  </r>
  <r>
    <x v="212"/>
    <d v="2023-07-26T00:00:00"/>
    <d v="2023-07-28T00:00:00"/>
    <s v="Bryan Lara"/>
    <x v="1"/>
    <s v="North"/>
    <s v="Office Supplies"/>
    <s v="Binders"/>
    <s v="Positive Binders"/>
    <n v="1580.99"/>
    <n v="8"/>
    <n v="0.2"/>
    <n v="41.01"/>
    <s v="Profit"/>
  </r>
  <r>
    <x v="213"/>
    <d v="2026-04-22T00:00:00"/>
    <d v="2026-04-24T00:00:00"/>
    <s v="Keith Wood"/>
    <x v="2"/>
    <s v="South"/>
    <s v="Furniture"/>
    <s v="Tables"/>
    <s v="Ok Tables"/>
    <n v="2277.37"/>
    <n v="9"/>
    <n v="0.1"/>
    <n v="-294.73"/>
    <s v="Loss"/>
  </r>
  <r>
    <x v="214"/>
    <d v="2025-07-29T00:00:00"/>
    <d v="2025-08-07T00:00:00"/>
    <s v="Samuel Barnett"/>
    <x v="1"/>
    <s v="South"/>
    <s v="Furniture"/>
    <s v="Tables"/>
    <s v="Share Tables"/>
    <n v="4558.03"/>
    <n v="1"/>
    <n v="0"/>
    <n v="387.23"/>
    <s v="Profit"/>
  </r>
  <r>
    <x v="215"/>
    <d v="2024-05-23T00:00:00"/>
    <d v="2024-05-27T00:00:00"/>
    <s v="Christian Hernandez"/>
    <x v="1"/>
    <s v="South"/>
    <s v="Furniture"/>
    <s v="Tables"/>
    <s v="Region Tables"/>
    <n v="1762.81"/>
    <n v="9"/>
    <n v="0.1"/>
    <n v="467.61"/>
    <s v="Profit"/>
  </r>
  <r>
    <x v="216"/>
    <d v="2023-06-21T00:00:00"/>
    <d v="2023-06-26T00:00:00"/>
    <s v="Andrew Maldonado"/>
    <x v="2"/>
    <s v="South"/>
    <s v="Office Supplies"/>
    <s v="Storage"/>
    <s v="Seven Storage"/>
    <n v="669.59"/>
    <n v="5"/>
    <n v="0.2"/>
    <n v="62.55"/>
    <s v="Profit"/>
  </r>
  <r>
    <x v="217"/>
    <d v="2025-06-16T00:00:00"/>
    <d v="2025-06-19T00:00:00"/>
    <s v="Robert Valdez"/>
    <x v="1"/>
    <s v="North"/>
    <s v="Office Supplies"/>
    <s v="Storage"/>
    <s v="Increase Storage"/>
    <n v="897.44"/>
    <n v="10"/>
    <n v="0.2"/>
    <n v="265.73"/>
    <s v="Profit"/>
  </r>
  <r>
    <x v="218"/>
    <d v="2024-09-06T00:00:00"/>
    <d v="2024-09-07T00:00:00"/>
    <s v="Victoria Smith"/>
    <x v="2"/>
    <s v="West"/>
    <s v="Furniture"/>
    <s v="Chairs"/>
    <s v="Memory Chairs"/>
    <n v="4745.3100000000004"/>
    <n v="10"/>
    <n v="0.1"/>
    <n v="750.34"/>
    <s v="Profit"/>
  </r>
  <r>
    <x v="219"/>
    <d v="2026-05-07T00:00:00"/>
    <d v="2026-05-08T00:00:00"/>
    <s v="Rebecca King"/>
    <x v="1"/>
    <s v="West"/>
    <s v="Office Supplies"/>
    <s v="Storage"/>
    <s v="Cell Storage"/>
    <n v="2515.29"/>
    <n v="9"/>
    <n v="0.1"/>
    <n v="384.96"/>
    <s v="Profit"/>
  </r>
  <r>
    <x v="220"/>
    <d v="2025-12-15T00:00:00"/>
    <d v="2025-12-22T00:00:00"/>
    <s v="Timothy Patterson"/>
    <x v="1"/>
    <s v="West"/>
    <s v="Furniture"/>
    <s v="Bookcases"/>
    <s v="Seek Bookcases"/>
    <n v="1522.3"/>
    <n v="2"/>
    <n v="0.2"/>
    <n v="-254.3"/>
    <s v="Loss"/>
  </r>
  <r>
    <x v="221"/>
    <d v="2023-09-15T00:00:00"/>
    <d v="2023-09-19T00:00:00"/>
    <s v="Tiffany Young"/>
    <x v="1"/>
    <s v="East"/>
    <s v="Technology"/>
    <s v="Accessories"/>
    <s v="Specific Accessories"/>
    <n v="1733.95"/>
    <n v="3"/>
    <n v="0.1"/>
    <n v="474.78"/>
    <s v="Profit"/>
  </r>
  <r>
    <x v="222"/>
    <d v="2023-09-28T00:00:00"/>
    <d v="2023-10-04T00:00:00"/>
    <s v="Scott Miller"/>
    <x v="0"/>
    <s v="East"/>
    <s v="Technology"/>
    <s v="Phones"/>
    <s v="Until Phones"/>
    <n v="2599.15"/>
    <n v="2"/>
    <n v="0.1"/>
    <n v="-174.26"/>
    <s v="Loss"/>
  </r>
  <r>
    <x v="223"/>
    <d v="2025-05-08T00:00:00"/>
    <d v="2025-05-11T00:00:00"/>
    <s v="Ryan Stephenson"/>
    <x v="1"/>
    <s v="South"/>
    <s v="Technology"/>
    <s v="Phones"/>
    <s v="Pay Phones"/>
    <n v="529.22"/>
    <n v="5"/>
    <n v="0.15"/>
    <n v="145.69"/>
    <s v="Profit"/>
  </r>
  <r>
    <x v="224"/>
    <d v="2025-01-08T00:00:00"/>
    <d v="2025-01-18T00:00:00"/>
    <s v="William Hughes"/>
    <x v="2"/>
    <s v="West"/>
    <s v="Furniture"/>
    <s v="Tables"/>
    <s v="Kitchen Tables"/>
    <n v="3619.59"/>
    <n v="4"/>
    <n v="0.05"/>
    <n v="268.02"/>
    <s v="Profit"/>
  </r>
  <r>
    <x v="225"/>
    <d v="2023-06-27T00:00:00"/>
    <d v="2023-07-05T00:00:00"/>
    <s v="Derek Taylor"/>
    <x v="0"/>
    <s v="South"/>
    <s v="Technology"/>
    <s v="Accessories"/>
    <s v="Mother Accessories"/>
    <n v="164.72"/>
    <n v="7"/>
    <n v="0.2"/>
    <n v="8.48"/>
    <s v="Profit"/>
  </r>
  <r>
    <x v="226"/>
    <d v="2024-02-13T00:00:00"/>
    <d v="2024-02-14T00:00:00"/>
    <s v="Deanna White"/>
    <x v="2"/>
    <s v="West"/>
    <s v="Office Supplies"/>
    <s v="Paper"/>
    <s v="Day Paper"/>
    <n v="300.18"/>
    <n v="8"/>
    <n v="0.2"/>
    <n v="85.64"/>
    <s v="Profit"/>
  </r>
  <r>
    <x v="227"/>
    <d v="2024-08-30T00:00:00"/>
    <d v="2024-08-31T00:00:00"/>
    <s v="Michael Rivera"/>
    <x v="2"/>
    <s v="East"/>
    <s v="Technology"/>
    <s v="Laptops"/>
    <s v="Better Laptops"/>
    <n v="4243.5"/>
    <n v="7"/>
    <n v="0.05"/>
    <n v="1210.8900000000001"/>
    <s v="Profit"/>
  </r>
  <r>
    <x v="228"/>
    <d v="2026-05-14T00:00:00"/>
    <d v="2026-05-15T00:00:00"/>
    <s v="Jonathan Carter"/>
    <x v="2"/>
    <s v="East"/>
    <s v="Technology"/>
    <s v="Accessories"/>
    <s v="Already Accessories"/>
    <n v="2032.88"/>
    <n v="10"/>
    <n v="0.2"/>
    <n v="-188.94"/>
    <s v="Loss"/>
  </r>
  <r>
    <x v="229"/>
    <d v="2025-02-11T00:00:00"/>
    <d v="2025-02-20T00:00:00"/>
    <s v="Blake Jones"/>
    <x v="2"/>
    <s v="North"/>
    <s v="Furniture"/>
    <s v="Tables"/>
    <s v="Cold Tables"/>
    <n v="2279.25"/>
    <n v="9"/>
    <n v="0.1"/>
    <n v="578.75"/>
    <s v="Profit"/>
  </r>
  <r>
    <x v="230"/>
    <d v="2024-10-01T00:00:00"/>
    <d v="2024-10-08T00:00:00"/>
    <s v="Julie Vega"/>
    <x v="0"/>
    <s v="South"/>
    <s v="Furniture"/>
    <s v="Chairs"/>
    <s v="Real Chairs"/>
    <n v="1897.33"/>
    <n v="6"/>
    <n v="0.2"/>
    <n v="600.36"/>
    <s v="Profit"/>
  </r>
  <r>
    <x v="231"/>
    <d v="2025-08-19T00:00:00"/>
    <d v="2025-08-26T00:00:00"/>
    <s v="Lisa Davis"/>
    <x v="1"/>
    <s v="West"/>
    <s v="Office Supplies"/>
    <s v="Storage"/>
    <s v="Information Storage"/>
    <n v="2525.39"/>
    <n v="1"/>
    <n v="0"/>
    <n v="-314.74"/>
    <s v="Loss"/>
  </r>
  <r>
    <x v="232"/>
    <d v="2023-06-03T00:00:00"/>
    <d v="2023-06-06T00:00:00"/>
    <s v="Margaret English"/>
    <x v="2"/>
    <s v="East"/>
    <s v="Office Supplies"/>
    <s v="Paper"/>
    <s v="Unit Paper"/>
    <n v="3050.99"/>
    <n v="9"/>
    <n v="0.05"/>
    <n v="-59.86"/>
    <s v="Loss"/>
  </r>
  <r>
    <x v="233"/>
    <d v="2024-07-06T00:00:00"/>
    <d v="2024-07-16T00:00:00"/>
    <s v="Alexander Bradford"/>
    <x v="2"/>
    <s v="West"/>
    <s v="Furniture"/>
    <s v="Tables"/>
    <s v="Future Tables"/>
    <n v="3709.63"/>
    <n v="5"/>
    <n v="0.2"/>
    <n v="-55.62"/>
    <s v="Loss"/>
  </r>
  <r>
    <x v="234"/>
    <d v="2024-07-02T00:00:00"/>
    <d v="2024-07-07T00:00:00"/>
    <s v="Sean Cantu"/>
    <x v="0"/>
    <s v="West"/>
    <s v="Office Supplies"/>
    <s v="Storage"/>
    <s v="Ahead Storage"/>
    <n v="2400.7199999999998"/>
    <n v="1"/>
    <n v="0.1"/>
    <n v="-42.78"/>
    <s v="Loss"/>
  </r>
  <r>
    <x v="235"/>
    <d v="2024-03-12T00:00:00"/>
    <d v="2024-03-13T00:00:00"/>
    <s v="Christine Powell"/>
    <x v="2"/>
    <s v="South"/>
    <s v="Office Supplies"/>
    <s v="Paper"/>
    <s v="Month Paper"/>
    <n v="3004.7"/>
    <n v="5"/>
    <n v="0.2"/>
    <n v="692.88"/>
    <s v="Profit"/>
  </r>
  <r>
    <x v="236"/>
    <d v="2025-04-28T00:00:00"/>
    <d v="2025-05-08T00:00:00"/>
    <s v="Brandon Hicks"/>
    <x v="1"/>
    <s v="South"/>
    <s v="Office Supplies"/>
    <s v="Binders"/>
    <s v="Fight Binders"/>
    <n v="2428.2199999999998"/>
    <n v="9"/>
    <n v="0.2"/>
    <n v="477.51"/>
    <s v="Profit"/>
  </r>
  <r>
    <x v="237"/>
    <d v="2023-09-10T00:00:00"/>
    <d v="2023-09-11T00:00:00"/>
    <s v="Morgan Jones"/>
    <x v="1"/>
    <s v="West"/>
    <s v="Office Supplies"/>
    <s v="Binders"/>
    <s v="Article Binders"/>
    <n v="2884.22"/>
    <n v="2"/>
    <n v="0.05"/>
    <n v="-546.79999999999995"/>
    <s v="Loss"/>
  </r>
  <r>
    <x v="238"/>
    <d v="2024-07-24T00:00:00"/>
    <d v="2024-07-28T00:00:00"/>
    <s v="Jason Gonzalez"/>
    <x v="2"/>
    <s v="North"/>
    <s v="Furniture"/>
    <s v="Tables"/>
    <s v="Season Tables"/>
    <n v="2081.37"/>
    <n v="10"/>
    <n v="0.15"/>
    <n v="582.89"/>
    <s v="Profit"/>
  </r>
  <r>
    <x v="239"/>
    <d v="2024-11-24T00:00:00"/>
    <d v="2024-12-03T00:00:00"/>
    <s v="Bobby Wood"/>
    <x v="1"/>
    <s v="East"/>
    <s v="Office Supplies"/>
    <s v="Binders"/>
    <s v="Than Binders"/>
    <n v="1076.3399999999999"/>
    <n v="6"/>
    <n v="0.2"/>
    <n v="67.92"/>
    <s v="Profit"/>
  </r>
  <r>
    <x v="240"/>
    <d v="2025-07-27T00:00:00"/>
    <d v="2025-08-05T00:00:00"/>
    <s v="Michael Payne"/>
    <x v="2"/>
    <s v="East"/>
    <s v="Furniture"/>
    <s v="Tables"/>
    <s v="Understand Tables"/>
    <n v="1744.52"/>
    <n v="6"/>
    <n v="0.2"/>
    <n v="391.81"/>
    <s v="Profit"/>
  </r>
  <r>
    <x v="241"/>
    <d v="2024-10-10T00:00:00"/>
    <d v="2024-10-14T00:00:00"/>
    <s v="Kathleen Hardin"/>
    <x v="1"/>
    <s v="East"/>
    <s v="Office Supplies"/>
    <s v="Paper"/>
    <s v="Condition Paper"/>
    <n v="4788.82"/>
    <n v="5"/>
    <n v="0.2"/>
    <n v="-171.56"/>
    <s v="Loss"/>
  </r>
  <r>
    <x v="242"/>
    <d v="2025-11-12T00:00:00"/>
    <d v="2025-11-20T00:00:00"/>
    <s v="Emily Wells"/>
    <x v="2"/>
    <s v="East"/>
    <s v="Office Supplies"/>
    <s v="Binders"/>
    <s v="Behind Binders"/>
    <n v="1619.35"/>
    <n v="6"/>
    <n v="0.2"/>
    <n v="507.72"/>
    <s v="Profit"/>
  </r>
  <r>
    <x v="243"/>
    <d v="2025-05-05T00:00:00"/>
    <d v="2025-05-15T00:00:00"/>
    <s v="Rose Taylor"/>
    <x v="0"/>
    <s v="East"/>
    <s v="Technology"/>
    <s v="Phones"/>
    <s v="Home Phones"/>
    <n v="3399.28"/>
    <n v="7"/>
    <n v="0.15"/>
    <n v="850.19"/>
    <s v="Profit"/>
  </r>
  <r>
    <x v="244"/>
    <d v="2024-01-29T00:00:00"/>
    <d v="2024-01-31T00:00:00"/>
    <s v="Lauren Robinson"/>
    <x v="1"/>
    <s v="South"/>
    <s v="Furniture"/>
    <s v="Tables"/>
    <s v="Paper Tables"/>
    <n v="1764.5"/>
    <n v="8"/>
    <n v="0.2"/>
    <n v="-104.03"/>
    <s v="Loss"/>
  </r>
  <r>
    <x v="245"/>
    <d v="2025-10-08T00:00:00"/>
    <d v="2025-10-13T00:00:00"/>
    <s v="Toni Melendez"/>
    <x v="2"/>
    <s v="South"/>
    <s v="Furniture"/>
    <s v="Bookcases"/>
    <s v="Any Bookcases"/>
    <n v="4668.47"/>
    <n v="5"/>
    <n v="0.05"/>
    <n v="-653.24"/>
    <s v="Loss"/>
  </r>
  <r>
    <x v="246"/>
    <d v="2024-09-22T00:00:00"/>
    <d v="2024-10-01T00:00:00"/>
    <s v="Brenda Cameron"/>
    <x v="1"/>
    <s v="West"/>
    <s v="Furniture"/>
    <s v="Chairs"/>
    <s v="Employee Chairs"/>
    <n v="1167.07"/>
    <n v="4"/>
    <n v="0"/>
    <n v="-169.1"/>
    <s v="Loss"/>
  </r>
  <r>
    <x v="247"/>
    <d v="2023-11-19T00:00:00"/>
    <d v="2023-11-22T00:00:00"/>
    <s v="Samantha Briggs"/>
    <x v="1"/>
    <s v="West"/>
    <s v="Furniture"/>
    <s v="Bookcases"/>
    <s v="Painting Bookcases"/>
    <n v="75.650000000000006"/>
    <n v="9"/>
    <n v="0.05"/>
    <n v="1.8"/>
    <s v="Profit"/>
  </r>
  <r>
    <x v="248"/>
    <d v="2026-02-05T00:00:00"/>
    <d v="2026-02-10T00:00:00"/>
    <s v="Joseph Frazier"/>
    <x v="0"/>
    <s v="North"/>
    <s v="Office Supplies"/>
    <s v="Binders"/>
    <s v="Few Binders"/>
    <n v="1639.78"/>
    <n v="1"/>
    <n v="0"/>
    <n v="260.33999999999997"/>
    <s v="Profit"/>
  </r>
  <r>
    <x v="249"/>
    <d v="2026-03-15T00:00:00"/>
    <d v="2026-03-18T00:00:00"/>
    <s v="Zachary Thornton"/>
    <x v="0"/>
    <s v="East"/>
    <s v="Furniture"/>
    <s v="Tables"/>
    <s v="Civil Tables"/>
    <n v="4672.92"/>
    <n v="1"/>
    <n v="0.15"/>
    <n v="1090.56"/>
    <s v="Profit"/>
  </r>
  <r>
    <x v="250"/>
    <d v="2023-09-25T00:00:00"/>
    <d v="2023-09-30T00:00:00"/>
    <s v="Unknown"/>
    <x v="2"/>
    <s v="West"/>
    <s v="Furniture"/>
    <s v="Chairs"/>
    <s v="Marriage Chairs"/>
    <n v="2861.41"/>
    <n v="2"/>
    <n v="0.1"/>
    <n v="-124.45"/>
    <s v="Loss"/>
  </r>
  <r>
    <x v="251"/>
    <s v="15-09-2025"/>
    <d v="2025-09-23T00:00:00"/>
    <s v="Amanda Green"/>
    <x v="1"/>
    <s v="East"/>
    <s v="Furniture"/>
    <s v="Bookcases"/>
    <s v="Or Bookcases"/>
    <n v="1400.54"/>
    <n v="2"/>
    <n v="0.1"/>
    <n v="-154.94"/>
    <s v="Loss"/>
  </r>
  <r>
    <x v="252"/>
    <d v="2024-11-12T00:00:00"/>
    <d v="2024-11-13T00:00:00"/>
    <s v="Donna Martin"/>
    <x v="0"/>
    <s v="South"/>
    <s v="Office Supplies"/>
    <s v="Binders"/>
    <s v="Pick Binders"/>
    <n v="3696.26"/>
    <n v="5"/>
    <n v="0.2"/>
    <n v="631.77"/>
    <s v="Profit"/>
  </r>
  <r>
    <x v="253"/>
    <d v="2026-03-12T00:00:00"/>
    <d v="2026-03-19T00:00:00"/>
    <s v="Jessica Hansen"/>
    <x v="2"/>
    <s v="North"/>
    <s v="Office Supplies"/>
    <s v="Storage"/>
    <s v="Cold Storage"/>
    <n v="4143.6000000000004"/>
    <n v="9"/>
    <n v="0.1"/>
    <n v="-631.04999999999995"/>
    <s v="Loss"/>
  </r>
  <r>
    <x v="254"/>
    <d v="2023-10-09T00:00:00"/>
    <d v="2023-10-17T00:00:00"/>
    <s v="Mrs. Jessica Padilla Dds"/>
    <x v="0"/>
    <s v="West"/>
    <s v="Furniture"/>
    <s v="Chairs"/>
    <s v="Some Chairs"/>
    <n v="1651.83"/>
    <n v="4"/>
    <n v="0"/>
    <n v="-93.44"/>
    <s v="Loss"/>
  </r>
  <r>
    <x v="255"/>
    <d v="2024-09-26T00:00:00"/>
    <d v="2024-10-01T00:00:00"/>
    <s v="Paige Shah"/>
    <x v="1"/>
    <s v="South"/>
    <s v="Technology"/>
    <s v="Accessories"/>
    <s v="Lawyer Accessories"/>
    <n v="2933.18"/>
    <n v="10"/>
    <n v="0"/>
    <n v="-164.69"/>
    <s v="Loss"/>
  </r>
  <r>
    <x v="256"/>
    <d v="2025-10-02T00:00:00"/>
    <d v="2025-10-04T00:00:00"/>
    <s v="Javier Lewis"/>
    <x v="2"/>
    <s v="East"/>
    <s v="Furniture"/>
    <s v="Bookcases"/>
    <s v="Pull Bookcases"/>
    <n v="2353.71"/>
    <n v="3"/>
    <n v="0.15"/>
    <n v="417.41"/>
    <s v="Profit"/>
  </r>
  <r>
    <x v="257"/>
    <d v="2023-08-03T00:00:00"/>
    <d v="2023-08-08T00:00:00"/>
    <s v="Dawn Hill"/>
    <x v="1"/>
    <s v="South"/>
    <s v="Office Supplies"/>
    <s v="Binders"/>
    <s v="Ability Binders"/>
    <n v="1869.34"/>
    <n v="4"/>
    <n v="0.05"/>
    <n v="610.42999999999995"/>
    <s v="Profit"/>
  </r>
  <r>
    <x v="258"/>
    <d v="2023-10-16T00:00:00"/>
    <d v="2023-10-26T00:00:00"/>
    <s v="Ricky Mora"/>
    <x v="2"/>
    <s v="South"/>
    <s v="Technology"/>
    <s v="Laptops"/>
    <s v="Do Laptops"/>
    <n v="1899.44"/>
    <n v="9"/>
    <n v="0.15"/>
    <n v="411.31"/>
    <s v="Profit"/>
  </r>
  <r>
    <x v="259"/>
    <d v="2023-08-04T00:00:00"/>
    <d v="2023-08-14T00:00:00"/>
    <s v="John Johnson"/>
    <x v="2"/>
    <s v="East"/>
    <s v="Furniture"/>
    <s v="Bookcases"/>
    <s v="Option Bookcases"/>
    <n v="4372.0200000000004"/>
    <n v="2"/>
    <n v="0.2"/>
    <n v="199.85"/>
    <s v="Profit"/>
  </r>
  <r>
    <x v="260"/>
    <d v="2023-06-07T00:00:00"/>
    <d v="2023-06-09T00:00:00"/>
    <s v="Melissa Murphy"/>
    <x v="2"/>
    <s v="South"/>
    <s v="Furniture"/>
    <s v="Bookcases"/>
    <s v="Generation Bookcases"/>
    <n v="355.7"/>
    <n v="9"/>
    <n v="0.2"/>
    <n v="-31.59"/>
    <s v="Loss"/>
  </r>
  <r>
    <x v="261"/>
    <d v="2024-07-28T00:00:00"/>
    <d v="2024-08-06T00:00:00"/>
    <s v="Danielle Hodge"/>
    <x v="0"/>
    <s v="West"/>
    <s v="Furniture"/>
    <s v="Tables"/>
    <s v="Year Tables"/>
    <n v="2237.11"/>
    <n v="4"/>
    <n v="0.2"/>
    <n v="270.08999999999997"/>
    <s v="Profit"/>
  </r>
  <r>
    <x v="262"/>
    <d v="2025-11-19T00:00:00"/>
    <d v="2025-11-22T00:00:00"/>
    <s v="Allen Trevino"/>
    <x v="1"/>
    <s v="East"/>
    <s v="Furniture"/>
    <s v="Tables"/>
    <s v="Necessary Tables"/>
    <n v="2590.58"/>
    <n v="8"/>
    <n v="0.2"/>
    <n v="-435.85"/>
    <s v="Loss"/>
  </r>
  <r>
    <x v="263"/>
    <d v="2024-05-11T00:00:00"/>
    <d v="2024-05-18T00:00:00"/>
    <s v="Mr. David Palmer"/>
    <x v="0"/>
    <s v="North"/>
    <s v="Office Supplies"/>
    <s v="Binders"/>
    <s v="Return Binders"/>
    <n v="1309.56"/>
    <n v="1"/>
    <n v="0.2"/>
    <n v="-104.97"/>
    <s v="Loss"/>
  </r>
  <r>
    <x v="264"/>
    <d v="2023-12-11T00:00:00"/>
    <d v="2023-12-13T00:00:00"/>
    <s v="Megan Miranda"/>
    <x v="1"/>
    <s v="North"/>
    <s v="Technology"/>
    <s v="Accessories"/>
    <s v="Our Accessories"/>
    <n v="2728.76"/>
    <n v="1"/>
    <n v="0"/>
    <n v="934.26"/>
    <s v="Profit"/>
  </r>
  <r>
    <x v="265"/>
    <d v="2023-11-20T00:00:00"/>
    <d v="2023-11-23T00:00:00"/>
    <s v="Marcus Smith"/>
    <x v="1"/>
    <s v="West"/>
    <s v="Technology"/>
    <s v="Accessories"/>
    <s v="Such Accessories"/>
    <n v="3856.41"/>
    <n v="7"/>
    <n v="0.1"/>
    <n v="1334.59"/>
    <s v="Profit"/>
  </r>
  <r>
    <x v="266"/>
    <d v="2026-02-01T00:00:00"/>
    <d v="2026-02-03T00:00:00"/>
    <s v="Carol Wright"/>
    <x v="1"/>
    <s v="North"/>
    <s v="Technology"/>
    <s v="Accessories"/>
    <s v="Exist Accessories"/>
    <n v="3429.52"/>
    <n v="9"/>
    <n v="0.05"/>
    <n v="546.82000000000005"/>
    <s v="Profit"/>
  </r>
  <r>
    <x v="267"/>
    <d v="2024-09-20T00:00:00"/>
    <d v="2024-09-27T00:00:00"/>
    <s v="Jessica Hayes"/>
    <x v="1"/>
    <s v="West"/>
    <s v="Furniture"/>
    <s v="Bookcases"/>
    <s v="Toward Bookcases"/>
    <n v="2667.77"/>
    <n v="4"/>
    <n v="0"/>
    <n v="575.97"/>
    <s v="Profit"/>
  </r>
  <r>
    <x v="268"/>
    <d v="2025-10-28T00:00:00"/>
    <d v="2025-11-06T00:00:00"/>
    <s v="Cynthia Winters"/>
    <x v="1"/>
    <s v="South"/>
    <s v="Office Supplies"/>
    <s v="Storage"/>
    <s v="Boy Storage"/>
    <n v="2149.4299999999998"/>
    <n v="7"/>
    <n v="0.05"/>
    <n v="-137.28"/>
    <s v="Loss"/>
  </r>
  <r>
    <x v="269"/>
    <d v="2023-09-22T00:00:00"/>
    <d v="2023-09-24T00:00:00"/>
    <s v="Robert Benitez"/>
    <x v="0"/>
    <s v="South"/>
    <s v="Technology"/>
    <s v="Phones"/>
    <s v="Environmental Phones"/>
    <n v="209.48"/>
    <n v="7"/>
    <n v="0.2"/>
    <n v="46.36"/>
    <s v="Profit"/>
  </r>
  <r>
    <x v="270"/>
    <d v="2024-03-08T00:00:00"/>
    <d v="2024-03-10T00:00:00"/>
    <s v="Deborah Scott"/>
    <x v="0"/>
    <s v="South"/>
    <s v="Furniture"/>
    <s v="Chairs"/>
    <s v="Picture Chairs"/>
    <n v="2990.02"/>
    <n v="8"/>
    <n v="0.2"/>
    <n v="507.15"/>
    <s v="Profit"/>
  </r>
  <r>
    <x v="271"/>
    <d v="2023-11-09T00:00:00"/>
    <d v="2023-11-16T00:00:00"/>
    <s v="Eric Taylor"/>
    <x v="0"/>
    <s v="South"/>
    <s v="Office Supplies"/>
    <s v="Binders"/>
    <s v="Three Binders"/>
    <n v="2222.87"/>
    <n v="9"/>
    <n v="0.05"/>
    <n v="477.72"/>
    <s v="Profit"/>
  </r>
  <r>
    <x v="272"/>
    <d v="2023-10-15T00:00:00"/>
    <d v="2023-10-19T00:00:00"/>
    <s v="Stephen Nguyen"/>
    <x v="2"/>
    <s v="East"/>
    <s v="Office Supplies"/>
    <s v="Paper"/>
    <s v="Interesting Paper"/>
    <n v="4088.14"/>
    <n v="10"/>
    <n v="0.1"/>
    <n v="480.81"/>
    <s v="Profit"/>
  </r>
  <r>
    <x v="273"/>
    <d v="2026-01-09T00:00:00"/>
    <d v="2026-01-12T00:00:00"/>
    <s v="Jon Eaton Jr."/>
    <x v="1"/>
    <s v="North"/>
    <s v="Furniture"/>
    <s v="Tables"/>
    <s v="Although Tables"/>
    <n v="4929.1899999999996"/>
    <n v="9"/>
    <n v="0.05"/>
    <n v="135.35"/>
    <s v="Profit"/>
  </r>
  <r>
    <x v="274"/>
    <d v="2024-08-19T00:00:00"/>
    <d v="2024-08-22T00:00:00"/>
    <s v="Christopher Riley"/>
    <x v="1"/>
    <s v="West"/>
    <s v="Office Supplies"/>
    <s v="Storage"/>
    <s v="Move Storage"/>
    <n v="3148.67"/>
    <n v="7"/>
    <n v="0.2"/>
    <n v="228.57"/>
    <s v="Profit"/>
  </r>
  <r>
    <x v="275"/>
    <d v="2026-02-22T00:00:00"/>
    <d v="2026-03-01T00:00:00"/>
    <s v="Laura Jimenez"/>
    <x v="2"/>
    <s v="West"/>
    <s v="Office Supplies"/>
    <s v="Paper"/>
    <s v="Must Paper"/>
    <n v="2070.88"/>
    <n v="5"/>
    <n v="0.15"/>
    <n v="-204.74"/>
    <s v="Loss"/>
  </r>
  <r>
    <x v="276"/>
    <d v="2024-06-25T00:00:00"/>
    <d v="2024-06-30T00:00:00"/>
    <s v="Kevin Randall"/>
    <x v="2"/>
    <s v="West"/>
    <s v="Furniture"/>
    <s v="Chairs"/>
    <s v="Magazine Chairs"/>
    <n v="4294.83"/>
    <n v="3"/>
    <n v="0.15"/>
    <n v="1301.8"/>
    <s v="Profit"/>
  </r>
  <r>
    <x v="277"/>
    <d v="2025-12-25T00:00:00"/>
    <d v="2026-01-03T00:00:00"/>
    <s v="Tyler Cabrera"/>
    <x v="2"/>
    <s v="North"/>
    <s v="Technology"/>
    <s v="Laptops"/>
    <s v="Impact Laptops"/>
    <n v="713.76"/>
    <n v="4"/>
    <n v="0.1"/>
    <n v="-62.93"/>
    <s v="Loss"/>
  </r>
  <r>
    <x v="278"/>
    <d v="2025-04-18T00:00:00"/>
    <d v="2025-04-20T00:00:00"/>
    <s v="Terri Freeman"/>
    <x v="2"/>
    <s v="North"/>
    <s v="Technology"/>
    <s v="Accessories"/>
    <s v="Course Accessories"/>
    <n v="2701.4"/>
    <n v="4"/>
    <n v="0"/>
    <n v="-141.41"/>
    <s v="Loss"/>
  </r>
  <r>
    <x v="279"/>
    <d v="2025-03-12T00:00:00"/>
    <d v="2025-03-22T00:00:00"/>
    <s v="Christine Hunter"/>
    <x v="1"/>
    <s v="East"/>
    <s v="Furniture"/>
    <s v="Chairs"/>
    <s v="General Chairs"/>
    <n v="3635.31"/>
    <n v="9"/>
    <n v="0.05"/>
    <n v="231.45"/>
    <s v="Profit"/>
  </r>
  <r>
    <x v="280"/>
    <d v="2025-05-27T00:00:00"/>
    <d v="2025-05-31T00:00:00"/>
    <s v="Susan Burton"/>
    <x v="1"/>
    <s v="South"/>
    <s v="Furniture"/>
    <s v="Chairs"/>
    <s v="Security Chairs"/>
    <n v="4812.28"/>
    <n v="2"/>
    <n v="0.2"/>
    <n v="1683.17"/>
    <s v="Profit"/>
  </r>
  <r>
    <x v="281"/>
    <d v="2023-08-19T00:00:00"/>
    <d v="2023-08-23T00:00:00"/>
    <s v="Unknown"/>
    <x v="1"/>
    <s v="West"/>
    <s v="Office Supplies"/>
    <s v="Storage"/>
    <s v="Trip Storage"/>
    <n v="2013.33"/>
    <n v="4"/>
    <n v="0.2"/>
    <n v="-46.53"/>
    <s v="Loss"/>
  </r>
  <r>
    <x v="282"/>
    <d v="2023-09-07T00:00:00"/>
    <d v="2023-09-13T00:00:00"/>
    <s v="Christopher Silva"/>
    <x v="2"/>
    <s v="North"/>
    <s v="Technology"/>
    <s v="Laptops"/>
    <s v="Yard Laptops"/>
    <n v="1576.69"/>
    <n v="6"/>
    <n v="0.2"/>
    <n v="450.22"/>
    <s v="Profit"/>
  </r>
  <r>
    <x v="283"/>
    <d v="2024-10-31T00:00:00"/>
    <d v="2024-11-06T00:00:00"/>
    <s v="Mrs. Elizabeth Fernandez Md"/>
    <x v="2"/>
    <s v="South"/>
    <s v="Office Supplies"/>
    <s v="Paper"/>
    <s v="Hear Paper"/>
    <n v="4575.9399999999996"/>
    <n v="6"/>
    <n v="0.1"/>
    <n v="126.58"/>
    <s v="Profit"/>
  </r>
  <r>
    <x v="284"/>
    <d v="2023-12-11T00:00:00"/>
    <d v="2023-12-12T00:00:00"/>
    <s v="Monica Tucker"/>
    <x v="1"/>
    <s v="South"/>
    <s v="Office Supplies"/>
    <s v="Binders"/>
    <s v="North Binders"/>
    <n v="1340.83"/>
    <n v="10"/>
    <n v="0.2"/>
    <n v="262.81"/>
    <s v="Profit"/>
  </r>
  <r>
    <x v="285"/>
    <d v="2025-06-26T00:00:00"/>
    <d v="2025-06-30T00:00:00"/>
    <s v="Kayla Austin Dds"/>
    <x v="2"/>
    <s v="East"/>
    <s v="Furniture"/>
    <s v="Tables"/>
    <s v="Field Tables"/>
    <n v="1930.21"/>
    <n v="4"/>
    <n v="0.15"/>
    <n v="198.53"/>
    <s v="Profit"/>
  </r>
  <r>
    <x v="286"/>
    <d v="2023-09-13T00:00:00"/>
    <d v="2023-09-21T00:00:00"/>
    <s v="Amanda Jones"/>
    <x v="2"/>
    <s v="West"/>
    <s v="Technology"/>
    <s v="Accessories"/>
    <s v="Skill Accessories"/>
    <n v="2331.1"/>
    <n v="6"/>
    <n v="0.05"/>
    <n v="-286.77999999999997"/>
    <s v="Loss"/>
  </r>
  <r>
    <x v="287"/>
    <d v="2023-06-11T00:00:00"/>
    <d v="2023-06-12T00:00:00"/>
    <s v="Nicholas Castro"/>
    <x v="0"/>
    <s v="West"/>
    <s v="Furniture"/>
    <s v="Bookcases"/>
    <s v="Travel Bookcases"/>
    <n v="2643.52"/>
    <n v="2"/>
    <n v="0.2"/>
    <n v="-458.17"/>
    <s v="Loss"/>
  </r>
  <r>
    <x v="288"/>
    <d v="2024-06-15T00:00:00"/>
    <d v="2024-06-19T00:00:00"/>
    <s v="Alexandra Pitts"/>
    <x v="1"/>
    <s v="East"/>
    <s v="Furniture"/>
    <s v="Bookcases"/>
    <s v="Several Bookcases"/>
    <n v="386.44"/>
    <n v="3"/>
    <n v="0"/>
    <n v="-30.8"/>
    <s v="Loss"/>
  </r>
  <r>
    <x v="289"/>
    <d v="2024-04-14T00:00:00"/>
    <d v="2024-04-24T00:00:00"/>
    <s v="Randy Johnson"/>
    <x v="2"/>
    <s v="West"/>
    <s v="Furniture"/>
    <s v="Bookcases"/>
    <s v="Blue Bookcases"/>
    <n v="4568.12"/>
    <n v="8"/>
    <n v="0"/>
    <n v="-897.01"/>
    <s v="Loss"/>
  </r>
  <r>
    <x v="290"/>
    <d v="2025-07-22T00:00:00"/>
    <d v="2025-07-31T00:00:00"/>
    <s v="Amber Strong"/>
    <x v="2"/>
    <s v="West"/>
    <s v="Furniture"/>
    <s v="Chairs"/>
    <s v="Late Chairs"/>
    <n v="3624.85"/>
    <n v="9"/>
    <n v="0.1"/>
    <n v="-690.79"/>
    <s v="Loss"/>
  </r>
  <r>
    <x v="291"/>
    <d v="2024-12-08T00:00:00"/>
    <d v="2024-12-10T00:00:00"/>
    <s v="Mark Harris"/>
    <x v="1"/>
    <s v="East"/>
    <s v="Furniture"/>
    <s v="Chairs"/>
    <s v="Letter Chairs"/>
    <n v="2645.71"/>
    <n v="4"/>
    <n v="0.05"/>
    <n v="372.73"/>
    <s v="Profit"/>
  </r>
  <r>
    <x v="292"/>
    <d v="2026-03-08T00:00:00"/>
    <d v="2026-03-10T00:00:00"/>
    <s v="Jason Perez"/>
    <x v="2"/>
    <s v="South"/>
    <s v="Technology"/>
    <s v="Accessories"/>
    <s v="Technology Accessories"/>
    <n v="1896.61"/>
    <n v="7"/>
    <n v="0.15"/>
    <n v="210.05"/>
    <s v="Profit"/>
  </r>
  <r>
    <x v="293"/>
    <s v="20-10-2024"/>
    <d v="2024-10-22T00:00:00"/>
    <s v="Roberto Wells"/>
    <x v="1"/>
    <s v="West"/>
    <s v="Technology"/>
    <s v="Laptops"/>
    <s v="President Laptops"/>
    <n v="3285.99"/>
    <n v="1"/>
    <n v="0"/>
    <n v="75.260000000000005"/>
    <s v="Profit"/>
  </r>
  <r>
    <x v="294"/>
    <d v="2024-07-18T00:00:00"/>
    <d v="2024-07-19T00:00:00"/>
    <s v="Christopher Garcia"/>
    <x v="2"/>
    <s v="East"/>
    <s v="Furniture"/>
    <s v="Bookcases"/>
    <s v="Across Bookcases"/>
    <n v="3529.08"/>
    <n v="2"/>
    <n v="0.15"/>
    <n v="934.96"/>
    <s v="Profit"/>
  </r>
  <r>
    <x v="295"/>
    <d v="2024-07-01T00:00:00"/>
    <d v="2024-07-10T00:00:00"/>
    <s v="Elizabeth Werner"/>
    <x v="2"/>
    <s v="West"/>
    <s v="Office Supplies"/>
    <s v="Binders"/>
    <s v="Move Binders"/>
    <n v="4599.8"/>
    <n v="4"/>
    <n v="0.05"/>
    <n v="1360.16"/>
    <s v="Profit"/>
  </r>
  <r>
    <x v="296"/>
    <d v="2024-12-10T00:00:00"/>
    <d v="2024-12-12T00:00:00"/>
    <s v="Ashley Davis"/>
    <x v="0"/>
    <s v="South"/>
    <s v="Technology"/>
    <s v="Phones"/>
    <s v="Black Phones"/>
    <n v="3437.92"/>
    <n v="5"/>
    <n v="0.2"/>
    <n v="377.93"/>
    <s v="Profit"/>
  </r>
  <r>
    <x v="297"/>
    <d v="2024-02-06T00:00:00"/>
    <d v="2024-02-10T00:00:00"/>
    <s v="Mary Barnes"/>
    <x v="2"/>
    <s v="South"/>
    <s v="Technology"/>
    <s v="Phones"/>
    <s v="Election Phones"/>
    <n v="2955.83"/>
    <n v="7"/>
    <n v="0"/>
    <n v="-104.63"/>
    <s v="Loss"/>
  </r>
  <r>
    <x v="298"/>
    <d v="2026-03-15T00:00:00"/>
    <d v="2026-03-24T00:00:00"/>
    <s v="Lori King"/>
    <x v="2"/>
    <s v="East"/>
    <s v="Office Supplies"/>
    <s v="Paper"/>
    <s v="Fall Paper"/>
    <n v="1692.06"/>
    <n v="3"/>
    <n v="0.2"/>
    <n v="335.52"/>
    <s v="Profit"/>
  </r>
  <r>
    <x v="299"/>
    <d v="2025-02-27T00:00:00"/>
    <d v="2025-03-06T00:00:00"/>
    <s v="Unknown"/>
    <x v="2"/>
    <s v="West"/>
    <s v="Furniture"/>
    <s v="Chairs"/>
    <s v="Character Chairs"/>
    <n v="1199.1099999999999"/>
    <n v="2"/>
    <n v="0.1"/>
    <n v="159.29"/>
    <s v="Profit"/>
  </r>
  <r>
    <x v="300"/>
    <d v="2024-08-23T00:00:00"/>
    <d v="2024-08-28T00:00:00"/>
    <s v="Wanda Graham"/>
    <x v="2"/>
    <s v="West"/>
    <s v="Technology"/>
    <s v="Phones"/>
    <s v="Relationship Phones"/>
    <n v="3928.56"/>
    <n v="8"/>
    <n v="0.15"/>
    <n v="-292.77"/>
    <s v="Loss"/>
  </r>
  <r>
    <x v="301"/>
    <d v="2026-02-20T00:00:00"/>
    <d v="2026-03-02T00:00:00"/>
    <s v="Jessica Berger"/>
    <x v="0"/>
    <s v="North"/>
    <s v="Technology"/>
    <s v="Phones"/>
    <s v="Project Phones"/>
    <n v="3320.33"/>
    <n v="2"/>
    <n v="0.2"/>
    <n v="-124.65"/>
    <s v="Loss"/>
  </r>
  <r>
    <x v="302"/>
    <d v="2026-05-19T00:00:00"/>
    <d v="2026-05-22T00:00:00"/>
    <s v="Cassie Valdez"/>
    <x v="1"/>
    <s v="North"/>
    <s v="Furniture"/>
    <s v="Tables"/>
    <s v="Sure Tables"/>
    <n v="1931"/>
    <n v="3"/>
    <n v="0.2"/>
    <n v="27.6"/>
    <s v="Profit"/>
  </r>
  <r>
    <x v="303"/>
    <d v="2023-12-29T00:00:00"/>
    <d v="2024-01-03T00:00:00"/>
    <s v="Michael Cordova"/>
    <x v="0"/>
    <s v="West"/>
    <s v="Furniture"/>
    <s v="Chairs"/>
    <s v="Reflect Chairs"/>
    <n v="2251.44"/>
    <n v="5"/>
    <n v="0"/>
    <n v="-286.20999999999998"/>
    <s v="Loss"/>
  </r>
  <r>
    <x v="304"/>
    <d v="2025-09-30T00:00:00"/>
    <d v="2025-10-09T00:00:00"/>
    <s v="Mary Williams"/>
    <x v="2"/>
    <s v="North"/>
    <s v="Technology"/>
    <s v="Laptops"/>
    <s v="Near Laptops"/>
    <n v="2586.58"/>
    <n v="2"/>
    <n v="0"/>
    <n v="-389.82"/>
    <s v="Loss"/>
  </r>
  <r>
    <x v="305"/>
    <d v="2024-03-23T00:00:00"/>
    <d v="2024-03-29T00:00:00"/>
    <s v="Cheryl Ramos"/>
    <x v="0"/>
    <s v="South"/>
    <s v="Office Supplies"/>
    <s v="Storage"/>
    <s v="Onto Storage"/>
    <n v="4325.3999999999996"/>
    <n v="1"/>
    <n v="0.1"/>
    <n v="119.36"/>
    <s v="Profit"/>
  </r>
  <r>
    <x v="306"/>
    <d v="2024-07-08T00:00:00"/>
    <d v="2024-07-11T00:00:00"/>
    <s v="Unknown"/>
    <x v="1"/>
    <s v="West"/>
    <s v="Office Supplies"/>
    <s v="Storage"/>
    <s v="Require Storage"/>
    <n v="3442.31"/>
    <n v="3"/>
    <n v="0.05"/>
    <n v="-179.33"/>
    <s v="Loss"/>
  </r>
  <r>
    <x v="307"/>
    <d v="2024-09-08T00:00:00"/>
    <d v="2024-09-11T00:00:00"/>
    <s v="Michael Jackson"/>
    <x v="0"/>
    <s v="East"/>
    <s v="Furniture"/>
    <s v="Chairs"/>
    <s v="Decade Chairs"/>
    <n v="2201.65"/>
    <n v="7"/>
    <n v="0.1"/>
    <n v="146.03"/>
    <s v="Profit"/>
  </r>
  <r>
    <x v="308"/>
    <d v="2025-12-11T00:00:00"/>
    <d v="2025-12-19T00:00:00"/>
    <s v="Veronica Andrews"/>
    <x v="1"/>
    <s v="North"/>
    <s v="Technology"/>
    <s v="Phones"/>
    <s v="Especially Phones"/>
    <n v="2989.34"/>
    <n v="4"/>
    <n v="0.15"/>
    <n v="-421.99"/>
    <s v="Loss"/>
  </r>
  <r>
    <x v="309"/>
    <d v="2024-12-09T00:00:00"/>
    <d v="2024-12-19T00:00:00"/>
    <s v="Regina Delgado"/>
    <x v="2"/>
    <s v="West"/>
    <s v="Technology"/>
    <s v="Accessories"/>
    <s v="Region Accessories"/>
    <n v="1930.46"/>
    <n v="6"/>
    <n v="0.15"/>
    <n v="-30.68"/>
    <s v="Loss"/>
  </r>
  <r>
    <x v="310"/>
    <d v="2025-10-21T00:00:00"/>
    <d v="2025-10-31T00:00:00"/>
    <s v="Tonya Mills"/>
    <x v="1"/>
    <s v="East"/>
    <s v="Technology"/>
    <s v="Accessories"/>
    <s v="Go Accessories"/>
    <n v="4739.03"/>
    <n v="4"/>
    <n v="0.15"/>
    <n v="-128.9"/>
    <s v="Loss"/>
  </r>
  <r>
    <x v="311"/>
    <d v="2025-03-07T00:00:00"/>
    <d v="2025-03-15T00:00:00"/>
    <s v="Brandon Harris"/>
    <x v="1"/>
    <s v="East"/>
    <s v="Technology"/>
    <s v="Laptops"/>
    <s v="Everybody Laptops"/>
    <n v="4840.43"/>
    <n v="4"/>
    <n v="0.1"/>
    <n v="33.06"/>
    <s v="Profit"/>
  </r>
  <r>
    <x v="312"/>
    <d v="2026-01-09T00:00:00"/>
    <d v="2026-01-13T00:00:00"/>
    <s v="Donald Green"/>
    <x v="2"/>
    <s v="North"/>
    <s v="Furniture"/>
    <s v="Bookcases"/>
    <s v="Treatment Bookcases"/>
    <n v="2981.52"/>
    <n v="9"/>
    <n v="0.05"/>
    <n v="521.59"/>
    <s v="Profit"/>
  </r>
  <r>
    <x v="313"/>
    <d v="2026-02-03T00:00:00"/>
    <d v="2026-02-07T00:00:00"/>
    <s v="Sean Ball"/>
    <x v="1"/>
    <s v="West"/>
    <s v="Office Supplies"/>
    <s v="Paper"/>
    <s v="Here Paper"/>
    <n v="2220.35"/>
    <n v="5"/>
    <n v="0.2"/>
    <n v="-359.61"/>
    <s v="Loss"/>
  </r>
  <r>
    <x v="314"/>
    <d v="2025-09-28T00:00:00"/>
    <d v="2025-10-03T00:00:00"/>
    <s v="Victor Arroyo"/>
    <x v="1"/>
    <s v="North"/>
    <s v="Furniture"/>
    <s v="Bookcases"/>
    <s v="Either Bookcases"/>
    <n v="1248"/>
    <n v="3"/>
    <n v="0.2"/>
    <n v="40.840000000000003"/>
    <s v="Profit"/>
  </r>
  <r>
    <x v="315"/>
    <d v="2024-08-25T00:00:00"/>
    <d v="2024-09-02T00:00:00"/>
    <s v="Amy Carlson"/>
    <x v="2"/>
    <s v="West"/>
    <s v="Technology"/>
    <s v="Laptops"/>
    <s v="Growth Laptops"/>
    <n v="2932.11"/>
    <n v="9"/>
    <n v="0.2"/>
    <n v="902.86"/>
    <s v="Profit"/>
  </r>
  <r>
    <x v="316"/>
    <d v="2025-07-04T00:00:00"/>
    <d v="2025-07-10T00:00:00"/>
    <s v="Samantha Sparks"/>
    <x v="0"/>
    <s v="North"/>
    <s v="Office Supplies"/>
    <s v="Binders"/>
    <s v="Pass Binders"/>
    <n v="3523.09"/>
    <n v="9"/>
    <n v="0.2"/>
    <n v="531.98"/>
    <s v="Profit"/>
  </r>
  <r>
    <x v="317"/>
    <d v="2024-11-23T00:00:00"/>
    <d v="2024-11-29T00:00:00"/>
    <s v="Randall West"/>
    <x v="2"/>
    <s v="West"/>
    <s v="Furniture"/>
    <s v="Bookcases"/>
    <s v="Include Bookcases"/>
    <n v="873.38"/>
    <n v="10"/>
    <n v="0"/>
    <n v="95.87"/>
    <s v="Profit"/>
  </r>
  <r>
    <x v="318"/>
    <d v="2025-11-29T00:00:00"/>
    <d v="2025-12-01T00:00:00"/>
    <s v="Randy Whitney"/>
    <x v="2"/>
    <s v="South"/>
    <s v="Technology"/>
    <s v="Accessories"/>
    <s v="Main Accessories"/>
    <n v="102.21"/>
    <n v="5"/>
    <n v="0.05"/>
    <n v="8.27"/>
    <s v="Profit"/>
  </r>
  <r>
    <x v="319"/>
    <d v="2025-08-21T00:00:00"/>
    <d v="2025-08-28T00:00:00"/>
    <s v="Patricia Love"/>
    <x v="1"/>
    <s v="North"/>
    <s v="Technology"/>
    <s v="Accessories"/>
    <s v="Whatever Accessories"/>
    <n v="2342.16"/>
    <n v="10"/>
    <n v="0.2"/>
    <n v="176.26"/>
    <s v="Profit"/>
  </r>
  <r>
    <x v="320"/>
    <d v="2026-03-23T00:00:00"/>
    <d v="2026-03-28T00:00:00"/>
    <s v="Eugene Hernandez"/>
    <x v="2"/>
    <s v="South"/>
    <s v="Technology"/>
    <s v="Phones"/>
    <s v="Bag Phones"/>
    <n v="2109.08"/>
    <n v="2"/>
    <n v="0"/>
    <n v="542.51"/>
    <s v="Profit"/>
  </r>
  <r>
    <x v="321"/>
    <d v="2024-05-13T00:00:00"/>
    <d v="2024-05-19T00:00:00"/>
    <s v="Kara Ortiz"/>
    <x v="1"/>
    <s v="North"/>
    <s v="Technology"/>
    <s v="Accessories"/>
    <s v="Step Accessories"/>
    <n v="2303.9"/>
    <n v="4"/>
    <n v="0.2"/>
    <n v="151.16"/>
    <s v="Profit"/>
  </r>
  <r>
    <x v="322"/>
    <d v="2024-06-18T00:00:00"/>
    <d v="2024-06-26T00:00:00"/>
    <s v="Nicholas James"/>
    <x v="0"/>
    <s v="North"/>
    <s v="Technology"/>
    <s v="Laptops"/>
    <s v="Rather Laptops"/>
    <n v="1628.6"/>
    <n v="5"/>
    <n v="0"/>
    <n v="399.99"/>
    <s v="Profit"/>
  </r>
  <r>
    <x v="323"/>
    <d v="2024-08-03T00:00:00"/>
    <d v="2024-08-05T00:00:00"/>
    <s v="Geoffrey Frank"/>
    <x v="0"/>
    <s v="South"/>
    <s v="Technology"/>
    <s v="Laptops"/>
    <s v="Will Laptops"/>
    <n v="3401.84"/>
    <n v="3"/>
    <n v="0.2"/>
    <n v="-224"/>
    <s v="Loss"/>
  </r>
  <r>
    <x v="324"/>
    <d v="2024-11-27T00:00:00"/>
    <d v="2024-12-04T00:00:00"/>
    <s v="Kimberly Flowers"/>
    <x v="0"/>
    <s v="West"/>
    <s v="Technology"/>
    <s v="Laptops"/>
    <s v="Already Laptops"/>
    <n v="4794.3900000000003"/>
    <n v="4"/>
    <n v="0.15"/>
    <n v="701.75"/>
    <s v="Profit"/>
  </r>
  <r>
    <x v="325"/>
    <d v="2026-02-17T00:00:00"/>
    <d v="2026-02-27T00:00:00"/>
    <s v="Diamond Foster"/>
    <x v="0"/>
    <s v="South"/>
    <s v="Technology"/>
    <s v="Phones"/>
    <s v="Economic Phones"/>
    <n v="4421.33"/>
    <n v="8"/>
    <n v="0.2"/>
    <n v="160.29"/>
    <s v="Profit"/>
  </r>
  <r>
    <x v="326"/>
    <d v="2023-05-27T00:00:00"/>
    <d v="2023-05-29T00:00:00"/>
    <s v="Michael Li"/>
    <x v="0"/>
    <s v="West"/>
    <s v="Furniture"/>
    <s v="Tables"/>
    <s v="While Tables"/>
    <n v="2907.87"/>
    <n v="9"/>
    <n v="0.05"/>
    <n v="3.45"/>
    <s v="Profit"/>
  </r>
  <r>
    <x v="327"/>
    <d v="2023-11-15T00:00:00"/>
    <d v="2023-11-23T00:00:00"/>
    <s v="Christopher Jones"/>
    <x v="1"/>
    <s v="North"/>
    <s v="Furniture"/>
    <s v="Tables"/>
    <s v="Marriage Tables"/>
    <n v="2662.19"/>
    <n v="6"/>
    <n v="0.2"/>
    <n v="36.61"/>
    <s v="Profit"/>
  </r>
  <r>
    <x v="328"/>
    <d v="2025-04-17T00:00:00"/>
    <d v="2025-04-25T00:00:00"/>
    <s v="Karen Thomas"/>
    <x v="2"/>
    <s v="South"/>
    <s v="Technology"/>
    <s v="Accessories"/>
    <s v="Evening Accessories"/>
    <n v="3105.95"/>
    <n v="5"/>
    <n v="0.2"/>
    <n v="386.98"/>
    <s v="Profit"/>
  </r>
  <r>
    <x v="329"/>
    <d v="2025-10-22T00:00:00"/>
    <d v="2025-10-26T00:00:00"/>
    <s v="Melody Freeman"/>
    <x v="2"/>
    <s v="West"/>
    <s v="Technology"/>
    <s v="Phones"/>
    <s v="Watch Phones"/>
    <n v="1561.63"/>
    <n v="3"/>
    <n v="0.1"/>
    <n v="283.26"/>
    <s v="Profit"/>
  </r>
  <r>
    <x v="330"/>
    <d v="2025-01-20T00:00:00"/>
    <d v="2025-01-23T00:00:00"/>
    <s v="Mrs. Crystal Floyd Md"/>
    <x v="2"/>
    <s v="South"/>
    <s v="Technology"/>
    <s v="Laptops"/>
    <s v="Product Laptops"/>
    <n v="2895.29"/>
    <n v="7"/>
    <n v="0.05"/>
    <n v="195.92"/>
    <s v="Profit"/>
  </r>
  <r>
    <x v="331"/>
    <d v="2023-09-15T00:00:00"/>
    <d v="2023-09-23T00:00:00"/>
    <s v="Danielle Morgan"/>
    <x v="2"/>
    <s v="North"/>
    <s v="Office Supplies"/>
    <s v="Binders"/>
    <s v="Difference Binders"/>
    <n v="1479.73"/>
    <n v="3"/>
    <n v="0.1"/>
    <n v="389.3"/>
    <s v="Profit"/>
  </r>
  <r>
    <x v="332"/>
    <d v="2026-04-17T00:00:00"/>
    <d v="2026-04-25T00:00:00"/>
    <s v="Ryan Gonzalez"/>
    <x v="1"/>
    <s v="West"/>
    <s v="Technology"/>
    <s v="Phones"/>
    <s v="Often Phones"/>
    <n v="725.85"/>
    <n v="7"/>
    <n v="0.2"/>
    <n v="56.61"/>
    <s v="Profit"/>
  </r>
  <r>
    <x v="333"/>
    <d v="2025-12-29T00:00:00"/>
    <d v="2026-01-05T00:00:00"/>
    <s v="Robert Thomas"/>
    <x v="2"/>
    <s v="North"/>
    <s v="Office Supplies"/>
    <s v="Paper"/>
    <s v="Civil Paper"/>
    <n v="3565.2"/>
    <n v="8"/>
    <n v="0.15"/>
    <n v="-385.08"/>
    <s v="Loss"/>
  </r>
  <r>
    <x v="334"/>
    <d v="2025-07-30T00:00:00"/>
    <d v="2025-07-31T00:00:00"/>
    <s v="Shannon Compton"/>
    <x v="1"/>
    <s v="West"/>
    <s v="Furniture"/>
    <s v="Tables"/>
    <s v="Available Tables"/>
    <n v="1410.52"/>
    <n v="9"/>
    <n v="0.1"/>
    <n v="-151.61000000000001"/>
    <s v="Loss"/>
  </r>
  <r>
    <x v="335"/>
    <d v="2024-04-04T00:00:00"/>
    <d v="2024-04-06T00:00:00"/>
    <s v="Benjamin Walker"/>
    <x v="1"/>
    <s v="North"/>
    <s v="Office Supplies"/>
    <s v="Storage"/>
    <s v="Interview Storage"/>
    <n v="2884.93"/>
    <n v="5"/>
    <n v="0.2"/>
    <n v="729.33"/>
    <s v="Profit"/>
  </r>
  <r>
    <x v="336"/>
    <d v="2024-02-13T00:00:00"/>
    <d v="2024-02-22T00:00:00"/>
    <s v="Unknown"/>
    <x v="2"/>
    <s v="South"/>
    <s v="Office Supplies"/>
    <s v="Paper"/>
    <s v="Term Paper"/>
    <n v="1131.78"/>
    <n v="7"/>
    <n v="0"/>
    <n v="231.78"/>
    <s v="Profit"/>
  </r>
  <r>
    <x v="337"/>
    <d v="2024-11-01T00:00:00"/>
    <d v="2024-11-09T00:00:00"/>
    <s v="Susan Watson"/>
    <x v="0"/>
    <s v="South"/>
    <s v="Technology"/>
    <s v="Phones"/>
    <s v="Language Phones"/>
    <n v="1350.94"/>
    <n v="2"/>
    <n v="0.15"/>
    <n v="372.74"/>
    <s v="Profit"/>
  </r>
  <r>
    <x v="338"/>
    <d v="2025-03-25T00:00:00"/>
    <d v="2025-04-04T00:00:00"/>
    <s v="Yolanda Guerra"/>
    <x v="2"/>
    <s v="South"/>
    <s v="Furniture"/>
    <s v="Bookcases"/>
    <s v="Both Bookcases"/>
    <n v="3461.21"/>
    <n v="10"/>
    <n v="0.2"/>
    <n v="122.84"/>
    <s v="Profit"/>
  </r>
  <r>
    <x v="339"/>
    <d v="2026-05-03T00:00:00"/>
    <d v="2026-05-04T00:00:00"/>
    <s v="Matthew Ryan"/>
    <x v="0"/>
    <s v="East"/>
    <s v="Furniture"/>
    <s v="Chairs"/>
    <s v="Amount Chairs"/>
    <n v="2871.87"/>
    <n v="9"/>
    <n v="0.1"/>
    <n v="368.38"/>
    <s v="Profit"/>
  </r>
  <r>
    <x v="340"/>
    <d v="2025-01-06T00:00:00"/>
    <d v="2025-01-11T00:00:00"/>
    <s v="Charles Gonzalez"/>
    <x v="0"/>
    <s v="West"/>
    <s v="Office Supplies"/>
    <s v="Paper"/>
    <s v="Quite Paper"/>
    <n v="2885.04"/>
    <n v="9"/>
    <n v="0.2"/>
    <n v="716.5"/>
    <s v="Profit"/>
  </r>
  <r>
    <x v="341"/>
    <d v="2024-03-30T00:00:00"/>
    <d v="2024-04-02T00:00:00"/>
    <s v="James Clark"/>
    <x v="1"/>
    <s v="South"/>
    <s v="Furniture"/>
    <s v="Tables"/>
    <s v="Low Tables"/>
    <n v="3522.06"/>
    <n v="3"/>
    <n v="0.05"/>
    <n v="-421.12"/>
    <s v="Loss"/>
  </r>
  <r>
    <x v="342"/>
    <d v="2024-08-09T00:00:00"/>
    <d v="2024-08-17T00:00:00"/>
    <s v="Christie Collier"/>
    <x v="1"/>
    <s v="North"/>
    <s v="Office Supplies"/>
    <s v="Paper"/>
    <s v="Simply Paper"/>
    <n v="753.75"/>
    <n v="5"/>
    <n v="0.2"/>
    <n v="20.97"/>
    <s v="Profit"/>
  </r>
  <r>
    <x v="343"/>
    <d v="2023-06-23T00:00:00"/>
    <d v="2023-06-30T00:00:00"/>
    <s v="Karen Snyder"/>
    <x v="1"/>
    <s v="West"/>
    <s v="Office Supplies"/>
    <s v="Binders"/>
    <s v="Close Binders"/>
    <n v="2602.29"/>
    <n v="5"/>
    <n v="0.2"/>
    <n v="819.68"/>
    <s v="Profit"/>
  </r>
  <r>
    <x v="344"/>
    <d v="2025-05-08T00:00:00"/>
    <d v="2025-05-18T00:00:00"/>
    <s v="Kathryn Potts"/>
    <x v="2"/>
    <s v="East"/>
    <s v="Technology"/>
    <s v="Accessories"/>
    <s v="Several Accessories"/>
    <n v="62.24"/>
    <n v="2"/>
    <n v="0.2"/>
    <n v="20.83"/>
    <s v="Profit"/>
  </r>
  <r>
    <x v="345"/>
    <d v="2023-06-30T00:00:00"/>
    <d v="2023-07-07T00:00:00"/>
    <s v="Amber Wilson"/>
    <x v="1"/>
    <s v="East"/>
    <s v="Furniture"/>
    <s v="Bookcases"/>
    <s v="Third Bookcases"/>
    <n v="1128.26"/>
    <n v="7"/>
    <n v="0.05"/>
    <n v="81.34"/>
    <s v="Profit"/>
  </r>
  <r>
    <x v="346"/>
    <d v="2025-12-01T00:00:00"/>
    <d v="2025-12-11T00:00:00"/>
    <s v="Mackenzie Jimenez"/>
    <x v="0"/>
    <s v="North"/>
    <s v="Technology"/>
    <s v="Laptops"/>
    <s v="Majority Laptops"/>
    <n v="696.44"/>
    <n v="8"/>
    <n v="0.1"/>
    <n v="203.21"/>
    <s v="Profit"/>
  </r>
  <r>
    <x v="347"/>
    <d v="2026-05-21T00:00:00"/>
    <d v="2026-05-29T00:00:00"/>
    <s v="Kristen Smith"/>
    <x v="1"/>
    <s v="South"/>
    <s v="Furniture"/>
    <s v="Bookcases"/>
    <s v="In Bookcases"/>
    <n v="130.59"/>
    <n v="3"/>
    <n v="0.15"/>
    <n v="6.67"/>
    <s v="Profit"/>
  </r>
  <r>
    <x v="348"/>
    <d v="2024-04-15T00:00:00"/>
    <d v="2024-04-20T00:00:00"/>
    <s v="April Jackson"/>
    <x v="1"/>
    <s v="North"/>
    <s v="Office Supplies"/>
    <s v="Binders"/>
    <s v="Message Binders"/>
    <n v="836.94"/>
    <n v="5"/>
    <n v="0"/>
    <n v="133.93"/>
    <s v="Profit"/>
  </r>
  <r>
    <x v="349"/>
    <d v="2025-06-12T00:00:00"/>
    <d v="2025-06-15T00:00:00"/>
    <s v="Jerry Fischer"/>
    <x v="0"/>
    <s v="West"/>
    <s v="Technology"/>
    <s v="Laptops"/>
    <s v="Anyone Laptops"/>
    <n v="306.35000000000002"/>
    <n v="5"/>
    <n v="0.2"/>
    <n v="56.58"/>
    <s v="Profit"/>
  </r>
  <r>
    <x v="350"/>
    <d v="2024-08-12T00:00:00"/>
    <d v="2024-08-14T00:00:00"/>
    <s v="Timothy Daniels"/>
    <x v="0"/>
    <s v="West"/>
    <s v="Office Supplies"/>
    <s v="Binders"/>
    <s v="Seek Binders"/>
    <n v="55.38"/>
    <n v="8"/>
    <n v="0"/>
    <n v="-7.03"/>
    <s v="Loss"/>
  </r>
  <r>
    <x v="351"/>
    <d v="2024-08-25T00:00:00"/>
    <d v="2024-08-31T00:00:00"/>
    <s v="Ryan Williams"/>
    <x v="0"/>
    <s v="South"/>
    <s v="Furniture"/>
    <s v="Chairs"/>
    <s v="Whose Chairs"/>
    <n v="4094.69"/>
    <n v="7"/>
    <n v="0.2"/>
    <n v="-521.27"/>
    <s v="Loss"/>
  </r>
  <r>
    <x v="352"/>
    <d v="2025-10-13T00:00:00"/>
    <d v="2025-10-15T00:00:00"/>
    <s v="Alicia King"/>
    <x v="0"/>
    <s v="South"/>
    <s v="Technology"/>
    <s v="Phones"/>
    <s v="Lay Phones"/>
    <n v="560.85"/>
    <n v="6"/>
    <n v="0.1"/>
    <n v="-69.87"/>
    <s v="Loss"/>
  </r>
  <r>
    <x v="353"/>
    <d v="2023-09-23T00:00:00"/>
    <d v="2023-10-03T00:00:00"/>
    <s v="Christopher Kim"/>
    <x v="0"/>
    <s v="West"/>
    <s v="Furniture"/>
    <s v="Bookcases"/>
    <s v="Agency Bookcases"/>
    <n v="91.95"/>
    <n v="3"/>
    <n v="0.15"/>
    <n v="-0.63"/>
    <s v="Loss"/>
  </r>
  <r>
    <x v="354"/>
    <d v="2025-10-05T00:00:00"/>
    <d v="2025-10-13T00:00:00"/>
    <s v="Cynthia Hernandez"/>
    <x v="0"/>
    <s v="West"/>
    <s v="Technology"/>
    <s v="Laptops"/>
    <s v="Community Laptops"/>
    <n v="4306.8100000000004"/>
    <n v="2"/>
    <n v="0"/>
    <n v="-529.71"/>
    <s v="Loss"/>
  </r>
  <r>
    <x v="355"/>
    <d v="2026-03-16T00:00:00"/>
    <d v="2026-03-22T00:00:00"/>
    <s v="Zachary Bishop"/>
    <x v="0"/>
    <s v="East"/>
    <s v="Technology"/>
    <s v="Accessories"/>
    <s v="Continue Accessories"/>
    <n v="3965.83"/>
    <n v="4"/>
    <n v="0.1"/>
    <n v="612.88"/>
    <s v="Profit"/>
  </r>
  <r>
    <x v="356"/>
    <d v="2025-04-26T00:00:00"/>
    <d v="2025-05-01T00:00:00"/>
    <s v="Rhonda Woods"/>
    <x v="1"/>
    <s v="East"/>
    <s v="Office Supplies"/>
    <s v="Binders"/>
    <s v="Watch Binders"/>
    <n v="1066.96"/>
    <n v="10"/>
    <n v="0.2"/>
    <n v="-102.69"/>
    <s v="Loss"/>
  </r>
  <r>
    <x v="357"/>
    <d v="2023-08-30T00:00:00"/>
    <d v="2023-09-03T00:00:00"/>
    <s v="Unknown"/>
    <x v="2"/>
    <s v="North"/>
    <s v="Office Supplies"/>
    <s v="Binders"/>
    <s v="Thing Binders"/>
    <n v="2499.69"/>
    <n v="2"/>
    <n v="0.05"/>
    <n v="186.9"/>
    <s v="Profit"/>
  </r>
  <r>
    <x v="358"/>
    <d v="2023-09-22T00:00:00"/>
    <d v="2023-09-28T00:00:00"/>
    <s v="Joshua Costa"/>
    <x v="2"/>
    <s v="West"/>
    <s v="Office Supplies"/>
    <s v="Binders"/>
    <s v="End Binders"/>
    <n v="4672.93"/>
    <n v="3"/>
    <n v="0.15"/>
    <n v="1277.8"/>
    <s v="Profit"/>
  </r>
  <r>
    <x v="359"/>
    <d v="2024-03-15T00:00:00"/>
    <d v="2024-03-18T00:00:00"/>
    <s v="Eric Higgins"/>
    <x v="0"/>
    <s v="East"/>
    <s v="Technology"/>
    <s v="Laptops"/>
    <s v="Rather Laptops"/>
    <n v="3825.49"/>
    <n v="2"/>
    <n v="0"/>
    <n v="470.73"/>
    <s v="Profit"/>
  </r>
  <r>
    <x v="360"/>
    <d v="2025-03-08T00:00:00"/>
    <d v="2025-03-09T00:00:00"/>
    <s v="Robert Porter"/>
    <x v="2"/>
    <s v="West"/>
    <s v="Furniture"/>
    <s v="Chairs"/>
    <s v="Word Chairs"/>
    <n v="4745.97"/>
    <n v="7"/>
    <n v="0.2"/>
    <n v="-201.38"/>
    <s v="Loss"/>
  </r>
  <r>
    <x v="361"/>
    <d v="2025-12-18T00:00:00"/>
    <d v="2025-12-25T00:00:00"/>
    <s v="Belinda Wells"/>
    <x v="1"/>
    <s v="North"/>
    <s v="Technology"/>
    <s v="Laptops"/>
    <s v="Black Laptops"/>
    <n v="458.02"/>
    <n v="9"/>
    <n v="0.2"/>
    <n v="63.59"/>
    <s v="Profit"/>
  </r>
  <r>
    <x v="362"/>
    <s v="30-11-2025"/>
    <d v="2025-12-09T00:00:00"/>
    <s v="Jeremiah Bond"/>
    <x v="2"/>
    <s v="North"/>
    <s v="Technology"/>
    <s v="Phones"/>
    <s v="Already Phones"/>
    <n v="4608.58"/>
    <n v="3"/>
    <n v="0.2"/>
    <n v="-93.5"/>
    <s v="Loss"/>
  </r>
  <r>
    <x v="363"/>
    <d v="2025-07-31T00:00:00"/>
    <d v="2025-08-07T00:00:00"/>
    <s v="Marie Mendoza"/>
    <x v="1"/>
    <s v="North"/>
    <s v="Technology"/>
    <s v="Laptops"/>
    <s v="Lot Laptops"/>
    <n v="3663.29"/>
    <n v="4"/>
    <n v="0"/>
    <n v="-240.08"/>
    <s v="Loss"/>
  </r>
  <r>
    <x v="364"/>
    <d v="2024-01-30T00:00:00"/>
    <d v="2024-02-09T00:00:00"/>
    <s v="Savannah Jackson"/>
    <x v="0"/>
    <s v="North"/>
    <s v="Technology"/>
    <s v="Laptops"/>
    <s v="Challenge Laptops"/>
    <n v="322.39"/>
    <n v="3"/>
    <n v="0"/>
    <n v="-62.23"/>
    <s v="Loss"/>
  </r>
  <r>
    <x v="365"/>
    <d v="2025-04-22T00:00:00"/>
    <d v="2025-04-28T00:00:00"/>
    <s v="Elizabeth Walker"/>
    <x v="2"/>
    <s v="East"/>
    <s v="Furniture"/>
    <s v="Tables"/>
    <s v="Lay Tables"/>
    <n v="2638.88"/>
    <n v="5"/>
    <n v="0.05"/>
    <n v="11.95"/>
    <s v="Profit"/>
  </r>
  <r>
    <x v="366"/>
    <d v="2025-03-06T00:00:00"/>
    <d v="2025-03-07T00:00:00"/>
    <s v="Melissa Taylor"/>
    <x v="1"/>
    <s v="North"/>
    <s v="Office Supplies"/>
    <s v="Binders"/>
    <s v="Affect Binders"/>
    <n v="1708.3"/>
    <n v="7"/>
    <n v="0.1"/>
    <n v="150.54"/>
    <s v="Profit"/>
  </r>
  <r>
    <x v="367"/>
    <d v="2024-10-21T00:00:00"/>
    <d v="2024-10-30T00:00:00"/>
    <s v="Samuel Wang"/>
    <x v="0"/>
    <s v="East"/>
    <s v="Technology"/>
    <s v="Accessories"/>
    <s v="Painting Accessories"/>
    <n v="1832.61"/>
    <n v="8"/>
    <n v="0.2"/>
    <n v="-198.32"/>
    <s v="Loss"/>
  </r>
  <r>
    <x v="368"/>
    <d v="2023-09-14T00:00:00"/>
    <d v="2023-09-16T00:00:00"/>
    <s v="Elizabeth Park"/>
    <x v="0"/>
    <s v="South"/>
    <s v="Furniture"/>
    <s v="Bookcases"/>
    <s v="Thank Bookcases"/>
    <n v="1180.5999999999999"/>
    <n v="9"/>
    <n v="0"/>
    <n v="-207.52"/>
    <s v="Loss"/>
  </r>
  <r>
    <x v="369"/>
    <d v="2024-11-03T00:00:00"/>
    <d v="2024-11-09T00:00:00"/>
    <s v="Karen Stevens"/>
    <x v="0"/>
    <s v="West"/>
    <s v="Furniture"/>
    <s v="Tables"/>
    <s v="International Tables"/>
    <n v="1945.75"/>
    <n v="3"/>
    <n v="0.05"/>
    <n v="607.34"/>
    <s v="Profit"/>
  </r>
  <r>
    <x v="370"/>
    <d v="2024-12-26T00:00:00"/>
    <d v="2024-12-30T00:00:00"/>
    <s v="Herbert Jones"/>
    <x v="2"/>
    <s v="East"/>
    <s v="Furniture"/>
    <s v="Tables"/>
    <s v="Perform Tables"/>
    <n v="2110.4699999999998"/>
    <n v="6"/>
    <n v="0.1"/>
    <n v="536.69000000000005"/>
    <s v="Profit"/>
  </r>
  <r>
    <x v="371"/>
    <d v="2025-07-03T00:00:00"/>
    <d v="2025-07-04T00:00:00"/>
    <s v="Tyler James"/>
    <x v="0"/>
    <s v="West"/>
    <s v="Furniture"/>
    <s v="Bookcases"/>
    <s v="Picture Bookcases"/>
    <n v="937.75"/>
    <n v="9"/>
    <n v="0"/>
    <n v="304.52999999999997"/>
    <s v="Profit"/>
  </r>
  <r>
    <x v="372"/>
    <d v="2024-09-14T00:00:00"/>
    <d v="2024-09-20T00:00:00"/>
    <s v="Robert Mcdonald"/>
    <x v="1"/>
    <s v="East"/>
    <s v="Technology"/>
    <s v="Accessories"/>
    <s v="Space Accessories"/>
    <n v="477.61"/>
    <n v="8"/>
    <n v="0"/>
    <n v="1.39"/>
    <s v="Profit"/>
  </r>
  <r>
    <x v="373"/>
    <d v="2023-12-03T00:00:00"/>
    <d v="2023-12-07T00:00:00"/>
    <s v="Bianca Rogers"/>
    <x v="0"/>
    <s v="South"/>
    <s v="Office Supplies"/>
    <s v="Storage"/>
    <s v="Water Storage"/>
    <n v="2346.44"/>
    <n v="10"/>
    <n v="0.15"/>
    <n v="818.4"/>
    <s v="Profit"/>
  </r>
  <r>
    <x v="374"/>
    <d v="2025-09-24T00:00:00"/>
    <d v="2025-10-01T00:00:00"/>
    <s v="Caitlin Black"/>
    <x v="2"/>
    <s v="North"/>
    <s v="Furniture"/>
    <s v="Chairs"/>
    <s v="Throw Chairs"/>
    <n v="168.36"/>
    <n v="9"/>
    <n v="0.1"/>
    <n v="25.21"/>
    <s v="Profit"/>
  </r>
  <r>
    <x v="375"/>
    <d v="2025-03-29T00:00:00"/>
    <d v="2025-04-05T00:00:00"/>
    <s v="Rebecca Brown"/>
    <x v="0"/>
    <s v="West"/>
    <s v="Technology"/>
    <s v="Phones"/>
    <s v="Wonder Phones"/>
    <n v="4252.58"/>
    <n v="5"/>
    <n v="0"/>
    <n v="-370.58"/>
    <s v="Loss"/>
  </r>
  <r>
    <x v="376"/>
    <d v="2025-07-20T00:00:00"/>
    <d v="2025-07-23T00:00:00"/>
    <s v="Sara Walker"/>
    <x v="2"/>
    <s v="West"/>
    <s v="Technology"/>
    <s v="Phones"/>
    <s v="Weight Phones"/>
    <n v="3572.68"/>
    <n v="2"/>
    <n v="0"/>
    <n v="1095.74"/>
    <s v="Profit"/>
  </r>
  <r>
    <x v="377"/>
    <d v="2024-06-16T00:00:00"/>
    <d v="2024-06-24T00:00:00"/>
    <s v="Jacob Shelton"/>
    <x v="0"/>
    <s v="West"/>
    <s v="Office Supplies"/>
    <s v="Paper"/>
    <s v="Despite Paper"/>
    <n v="4874.05"/>
    <n v="2"/>
    <n v="0.2"/>
    <n v="-718.59"/>
    <s v="Loss"/>
  </r>
  <r>
    <x v="378"/>
    <d v="2025-04-24T00:00:00"/>
    <d v="2025-05-04T00:00:00"/>
    <s v="Vickie Cooper"/>
    <x v="1"/>
    <s v="West"/>
    <s v="Furniture"/>
    <s v="Bookcases"/>
    <s v="Mission Bookcases"/>
    <n v="358.3"/>
    <n v="3"/>
    <n v="0.05"/>
    <n v="-14.18"/>
    <s v="Loss"/>
  </r>
  <r>
    <x v="379"/>
    <d v="2024-11-12T00:00:00"/>
    <d v="2024-11-18T00:00:00"/>
    <s v="Ethan Walton"/>
    <x v="0"/>
    <s v="South"/>
    <s v="Office Supplies"/>
    <s v="Storage"/>
    <s v="Situation Storage"/>
    <n v="1624.39"/>
    <n v="5"/>
    <n v="0.05"/>
    <n v="-258.14999999999998"/>
    <s v="Loss"/>
  </r>
  <r>
    <x v="380"/>
    <d v="2024-09-27T00:00:00"/>
    <d v="2024-09-30T00:00:00"/>
    <s v="Rachel Miller"/>
    <x v="0"/>
    <s v="East"/>
    <s v="Office Supplies"/>
    <s v="Binders"/>
    <s v="Ok Binders"/>
    <n v="573.01"/>
    <n v="8"/>
    <n v="0.15"/>
    <n v="-15.63"/>
    <s v="Loss"/>
  </r>
  <r>
    <x v="381"/>
    <d v="2025-04-09T00:00:00"/>
    <d v="2025-04-14T00:00:00"/>
    <s v="Karen Merritt"/>
    <x v="2"/>
    <s v="East"/>
    <s v="Furniture"/>
    <s v="Tables"/>
    <s v="Black Tables"/>
    <n v="2343.5700000000002"/>
    <n v="2"/>
    <n v="0"/>
    <n v="-265.55"/>
    <s v="Loss"/>
  </r>
  <r>
    <x v="382"/>
    <d v="2023-08-14T00:00:00"/>
    <d v="2023-08-24T00:00:00"/>
    <s v="Eric Sherman"/>
    <x v="0"/>
    <s v="East"/>
    <s v="Office Supplies"/>
    <s v="Storage"/>
    <s v="Easy Storage"/>
    <n v="249.63"/>
    <n v="6"/>
    <n v="0.05"/>
    <n v="-37.4"/>
    <s v="Loss"/>
  </r>
  <r>
    <x v="383"/>
    <d v="2025-09-14T00:00:00"/>
    <d v="2025-09-15T00:00:00"/>
    <s v="April Ward"/>
    <x v="2"/>
    <s v="West"/>
    <s v="Technology"/>
    <s v="Laptops"/>
    <s v="Term Laptops"/>
    <n v="3402.06"/>
    <n v="5"/>
    <n v="0.05"/>
    <n v="-622.25"/>
    <s v="Loss"/>
  </r>
  <r>
    <x v="384"/>
    <d v="2024-09-16T00:00:00"/>
    <d v="2024-09-25T00:00:00"/>
    <s v="Jeffrey Morgan"/>
    <x v="0"/>
    <s v="North"/>
    <s v="Office Supplies"/>
    <s v="Storage"/>
    <s v="Particular Storage"/>
    <n v="1286.77"/>
    <n v="8"/>
    <n v="0"/>
    <n v="311.58"/>
    <s v="Profit"/>
  </r>
  <r>
    <x v="385"/>
    <d v="2023-10-18T00:00:00"/>
    <d v="2023-10-22T00:00:00"/>
    <s v="Jeremy Parrish"/>
    <x v="2"/>
    <s v="North"/>
    <s v="Furniture"/>
    <s v="Chairs"/>
    <s v="Month Chairs"/>
    <n v="697.04"/>
    <n v="7"/>
    <n v="0.1"/>
    <n v="123.69"/>
    <s v="Profit"/>
  </r>
  <r>
    <x v="386"/>
    <d v="2024-05-24T00:00:00"/>
    <d v="2024-05-29T00:00:00"/>
    <s v="Elizabeth Miller"/>
    <x v="0"/>
    <s v="West"/>
    <s v="Office Supplies"/>
    <s v="Storage"/>
    <s v="Center Storage"/>
    <n v="4591.2700000000004"/>
    <n v="2"/>
    <n v="0"/>
    <n v="1599.78"/>
    <s v="Profit"/>
  </r>
  <r>
    <x v="387"/>
    <d v="2024-08-17T00:00:00"/>
    <d v="2024-08-23T00:00:00"/>
    <s v="Danielle Stuart"/>
    <x v="2"/>
    <s v="West"/>
    <s v="Furniture"/>
    <s v="Chairs"/>
    <s v="Able Chairs"/>
    <n v="656.51"/>
    <n v="8"/>
    <n v="0"/>
    <n v="-70.64"/>
    <s v="Loss"/>
  </r>
  <r>
    <x v="388"/>
    <d v="2023-08-14T00:00:00"/>
    <d v="2023-08-22T00:00:00"/>
    <s v="Annette Butler"/>
    <x v="0"/>
    <s v="East"/>
    <s v="Office Supplies"/>
    <s v="Paper"/>
    <s v="Matter Paper"/>
    <n v="195.94"/>
    <n v="7"/>
    <n v="0.05"/>
    <n v="-1.04"/>
    <s v="Loss"/>
  </r>
  <r>
    <x v="389"/>
    <d v="2024-08-09T00:00:00"/>
    <d v="2024-08-12T00:00:00"/>
    <s v="Jamie Flores"/>
    <x v="1"/>
    <s v="West"/>
    <s v="Technology"/>
    <s v="Accessories"/>
    <s v="Center Accessories"/>
    <n v="221.51"/>
    <n v="10"/>
    <n v="0.2"/>
    <n v="-14.36"/>
    <s v="Loss"/>
  </r>
  <r>
    <x v="390"/>
    <d v="2024-09-22T00:00:00"/>
    <d v="2024-09-30T00:00:00"/>
    <s v="Peggy Holder"/>
    <x v="0"/>
    <s v="South"/>
    <s v="Technology"/>
    <s v="Laptops"/>
    <s v="Budget Laptops"/>
    <n v="351.85"/>
    <n v="5"/>
    <n v="0.15"/>
    <n v="-43.81"/>
    <s v="Loss"/>
  </r>
  <r>
    <x v="391"/>
    <d v="2026-01-14T00:00:00"/>
    <d v="2026-01-15T00:00:00"/>
    <s v="Jason Scott"/>
    <x v="1"/>
    <s v="East"/>
    <s v="Office Supplies"/>
    <s v="Storage"/>
    <s v="Majority Storage"/>
    <n v="4947.55"/>
    <n v="6"/>
    <n v="0.15"/>
    <n v="492.21"/>
    <s v="Profit"/>
  </r>
  <r>
    <x v="392"/>
    <d v="2025-10-18T00:00:00"/>
    <d v="2025-10-24T00:00:00"/>
    <s v="Denise Beasley"/>
    <x v="0"/>
    <s v="North"/>
    <s v="Office Supplies"/>
    <s v="Storage"/>
    <s v="Occur Storage"/>
    <n v="1972.49"/>
    <n v="3"/>
    <n v="0"/>
    <n v="-48.56"/>
    <s v="Loss"/>
  </r>
  <r>
    <x v="393"/>
    <d v="2024-04-18T00:00:00"/>
    <d v="2024-04-26T00:00:00"/>
    <s v="Richard Hernandez"/>
    <x v="0"/>
    <s v="South"/>
    <s v="Technology"/>
    <s v="Phones"/>
    <s v="Trade Phones"/>
    <n v="2670.69"/>
    <n v="10"/>
    <n v="0.05"/>
    <n v="896.52"/>
    <s v="Profit"/>
  </r>
  <r>
    <x v="394"/>
    <d v="2024-05-23T00:00:00"/>
    <d v="2024-05-28T00:00:00"/>
    <s v="Marissa Fox"/>
    <x v="1"/>
    <s v="East"/>
    <s v="Office Supplies"/>
    <s v="Binders"/>
    <s v="With Binders"/>
    <n v="2691.76"/>
    <n v="1"/>
    <n v="0.05"/>
    <n v="313.94"/>
    <s v="Profit"/>
  </r>
  <r>
    <x v="395"/>
    <d v="2026-01-30T00:00:00"/>
    <d v="2026-02-03T00:00:00"/>
    <s v="Megan Aguilar"/>
    <x v="2"/>
    <s v="East"/>
    <s v="Furniture"/>
    <s v="Chairs"/>
    <s v="Those Chairs"/>
    <n v="2982.97"/>
    <n v="6"/>
    <n v="0.2"/>
    <n v="-550.32000000000005"/>
    <s v="Loss"/>
  </r>
  <r>
    <x v="396"/>
    <d v="2024-02-07T00:00:00"/>
    <d v="2024-02-10T00:00:00"/>
    <s v="David Rice"/>
    <x v="0"/>
    <s v="West"/>
    <s v="Office Supplies"/>
    <s v="Storage"/>
    <s v="Between Storage"/>
    <n v="2837.39"/>
    <n v="4"/>
    <n v="0.15"/>
    <n v="278.54000000000002"/>
    <s v="Profit"/>
  </r>
  <r>
    <x v="397"/>
    <d v="2024-05-14T00:00:00"/>
    <d v="2024-05-15T00:00:00"/>
    <s v="Larry Carter"/>
    <x v="0"/>
    <s v="East"/>
    <s v="Furniture"/>
    <s v="Chairs"/>
    <s v="Production Chairs"/>
    <n v="1201.49"/>
    <n v="4"/>
    <n v="0"/>
    <n v="107.59"/>
    <s v="Profit"/>
  </r>
  <r>
    <x v="398"/>
    <d v="2026-04-13T00:00:00"/>
    <d v="2026-04-16T00:00:00"/>
    <s v="Kellie Barnett"/>
    <x v="0"/>
    <s v="South"/>
    <s v="Office Supplies"/>
    <s v="Binders"/>
    <s v="Military Binders"/>
    <n v="1736.76"/>
    <n v="3"/>
    <n v="0.1"/>
    <n v="-290.45999999999998"/>
    <s v="Loss"/>
  </r>
  <r>
    <x v="399"/>
    <d v="2023-12-06T00:00:00"/>
    <d v="2023-12-12T00:00:00"/>
    <s v="Elizabeth Park"/>
    <x v="1"/>
    <s v="North"/>
    <s v="Furniture"/>
    <s v="Bookcases"/>
    <s v="Through Bookcases"/>
    <n v="4804.7700000000004"/>
    <n v="6"/>
    <n v="0.2"/>
    <n v="1528.19"/>
    <s v="Profit"/>
  </r>
  <r>
    <x v="400"/>
    <d v="2025-04-10T00:00:00"/>
    <d v="2025-04-16T00:00:00"/>
    <s v="Francisco Martinez"/>
    <x v="2"/>
    <s v="West"/>
    <s v="Technology"/>
    <s v="Accessories"/>
    <s v="Modern Accessories"/>
    <n v="725.44"/>
    <n v="3"/>
    <n v="0.2"/>
    <n v="233.43"/>
    <s v="Profit"/>
  </r>
  <r>
    <x v="401"/>
    <d v="2025-05-23T00:00:00"/>
    <d v="2025-05-26T00:00:00"/>
    <s v="John Velazquez"/>
    <x v="2"/>
    <s v="East"/>
    <s v="Office Supplies"/>
    <s v="Paper"/>
    <s v="Artist Paper"/>
    <n v="3550.56"/>
    <n v="9"/>
    <n v="0.2"/>
    <n v="1027.1099999999999"/>
    <s v="Profit"/>
  </r>
  <r>
    <x v="402"/>
    <d v="2024-03-23T00:00:00"/>
    <d v="2024-04-02T00:00:00"/>
    <s v="Laura Cox"/>
    <x v="1"/>
    <s v="South"/>
    <s v="Furniture"/>
    <s v="Bookcases"/>
    <s v="Best Bookcases"/>
    <n v="4081.55"/>
    <n v="7"/>
    <n v="0.1"/>
    <n v="831.4"/>
    <s v="Profit"/>
  </r>
  <r>
    <x v="403"/>
    <d v="2025-04-20T00:00:00"/>
    <d v="2025-04-21T00:00:00"/>
    <s v="Heather Mccarthy"/>
    <x v="2"/>
    <s v="West"/>
    <s v="Furniture"/>
    <s v="Bookcases"/>
    <s v="Argue Bookcases"/>
    <n v="4746.5"/>
    <n v="10"/>
    <n v="0.15"/>
    <n v="1271.6600000000001"/>
    <s v="Profit"/>
  </r>
  <r>
    <x v="404"/>
    <d v="2024-05-22T00:00:00"/>
    <d v="2024-05-28T00:00:00"/>
    <s v="Nicholas Butler"/>
    <x v="0"/>
    <s v="West"/>
    <s v="Furniture"/>
    <s v="Bookcases"/>
    <s v="Pattern Bookcases"/>
    <n v="4609.1400000000003"/>
    <n v="10"/>
    <n v="0.05"/>
    <n v="699.69"/>
    <s v="Profit"/>
  </r>
  <r>
    <x v="405"/>
    <d v="2023-08-12T00:00:00"/>
    <d v="2023-08-14T00:00:00"/>
    <s v="Richard Robinson"/>
    <x v="0"/>
    <s v="East"/>
    <s v="Furniture"/>
    <s v="Tables"/>
    <s v="Pretty Tables"/>
    <n v="1228.08"/>
    <n v="6"/>
    <n v="0.05"/>
    <n v="184.09"/>
    <s v="Profit"/>
  </r>
  <r>
    <x v="406"/>
    <d v="2024-07-31T00:00:00"/>
    <d v="2024-08-05T00:00:00"/>
    <s v="David Johnson"/>
    <x v="0"/>
    <s v="North"/>
    <s v="Technology"/>
    <s v="Phones"/>
    <s v="Candidate Phones"/>
    <n v="1087.94"/>
    <n v="2"/>
    <n v="0.1"/>
    <n v="-64.010000000000005"/>
    <s v="Loss"/>
  </r>
  <r>
    <x v="407"/>
    <d v="2025-08-29T00:00:00"/>
    <d v="2025-09-06T00:00:00"/>
    <s v="Guy Moore"/>
    <x v="2"/>
    <s v="East"/>
    <s v="Furniture"/>
    <s v="Tables"/>
    <s v="Customer Tables"/>
    <n v="3676.29"/>
    <n v="3"/>
    <n v="0.15"/>
    <n v="261.73"/>
    <s v="Profit"/>
  </r>
  <r>
    <x v="408"/>
    <s v="19-04-2026"/>
    <d v="2026-04-21T00:00:00"/>
    <s v="Brandon Chang"/>
    <x v="0"/>
    <s v="South"/>
    <s v="Office Supplies"/>
    <s v="Paper"/>
    <s v="Town Paper"/>
    <n v="4152.59"/>
    <n v="10"/>
    <n v="0.2"/>
    <n v="901.25"/>
    <s v="Profit"/>
  </r>
  <r>
    <x v="409"/>
    <d v="2025-07-10T00:00:00"/>
    <d v="2025-07-11T00:00:00"/>
    <s v="Virginia Silva"/>
    <x v="0"/>
    <s v="East"/>
    <s v="Technology"/>
    <s v="Phones"/>
    <s v="Writer Phones"/>
    <n v="1509.8"/>
    <n v="6"/>
    <n v="0.1"/>
    <n v="488.29"/>
    <s v="Profit"/>
  </r>
  <r>
    <x v="410"/>
    <d v="2026-03-09T00:00:00"/>
    <d v="2026-03-12T00:00:00"/>
    <s v="Patricia Snyder"/>
    <x v="2"/>
    <s v="West"/>
    <s v="Furniture"/>
    <s v="Tables"/>
    <s v="First Tables"/>
    <n v="3673.33"/>
    <n v="9"/>
    <n v="0"/>
    <n v="-51.89"/>
    <s v="Loss"/>
  </r>
  <r>
    <x v="411"/>
    <d v="2023-10-31T00:00:00"/>
    <d v="2023-11-07T00:00:00"/>
    <s v="Sarah Diaz"/>
    <x v="0"/>
    <s v="North"/>
    <s v="Office Supplies"/>
    <s v="Binders"/>
    <s v="Own Binders"/>
    <n v="4715.09"/>
    <n v="3"/>
    <n v="0.2"/>
    <n v="1364.38"/>
    <s v="Profit"/>
  </r>
  <r>
    <x v="412"/>
    <d v="2024-10-23T00:00:00"/>
    <d v="2024-10-27T00:00:00"/>
    <s v="Dawn Peterson"/>
    <x v="2"/>
    <s v="East"/>
    <s v="Furniture"/>
    <s v="Tables"/>
    <s v="They Tables"/>
    <n v="4873.2700000000004"/>
    <n v="7"/>
    <n v="0.2"/>
    <n v="510.53"/>
    <s v="Profit"/>
  </r>
  <r>
    <x v="413"/>
    <d v="2023-09-15T00:00:00"/>
    <d v="2023-09-20T00:00:00"/>
    <s v="Kyle Sandoval"/>
    <x v="1"/>
    <s v="South"/>
    <s v="Office Supplies"/>
    <s v="Paper"/>
    <s v="Example Paper"/>
    <n v="1225.8599999999999"/>
    <n v="1"/>
    <n v="0.15"/>
    <n v="140.33000000000001"/>
    <s v="Profit"/>
  </r>
  <r>
    <x v="414"/>
    <d v="2024-06-14T00:00:00"/>
    <d v="2024-06-15T00:00:00"/>
    <s v="Eric Hatfield"/>
    <x v="1"/>
    <s v="South"/>
    <s v="Furniture"/>
    <s v="Tables"/>
    <s v="Else Tables"/>
    <n v="2166.65"/>
    <n v="5"/>
    <n v="0.2"/>
    <n v="311.56"/>
    <s v="Profit"/>
  </r>
  <r>
    <x v="415"/>
    <d v="2025-10-09T00:00:00"/>
    <d v="2025-10-13T00:00:00"/>
    <s v="Phillip Nelson"/>
    <x v="0"/>
    <s v="East"/>
    <s v="Furniture"/>
    <s v="Chairs"/>
    <s v="Discussion Chairs"/>
    <n v="895.62"/>
    <n v="5"/>
    <n v="0"/>
    <n v="54.15"/>
    <s v="Profit"/>
  </r>
  <r>
    <x v="416"/>
    <d v="2026-01-11T00:00:00"/>
    <d v="2026-01-19T00:00:00"/>
    <s v="Kim Burns"/>
    <x v="1"/>
    <s v="South"/>
    <s v="Technology"/>
    <s v="Accessories"/>
    <s v="Democrat Accessories"/>
    <n v="4479.6400000000003"/>
    <n v="5"/>
    <n v="0"/>
    <n v="685.5"/>
    <s v="Profit"/>
  </r>
  <r>
    <x v="417"/>
    <d v="2026-03-03T00:00:00"/>
    <d v="2026-03-09T00:00:00"/>
    <s v="Melissa Tucker"/>
    <x v="1"/>
    <s v="South"/>
    <s v="Technology"/>
    <s v="Accessories"/>
    <s v="Protect Accessories"/>
    <n v="973.59"/>
    <n v="1"/>
    <n v="0.1"/>
    <n v="40.75"/>
    <s v="Profit"/>
  </r>
  <r>
    <x v="418"/>
    <d v="2025-02-03T00:00:00"/>
    <d v="2025-02-04T00:00:00"/>
    <s v="Mark Valdez"/>
    <x v="2"/>
    <s v="West"/>
    <s v="Technology"/>
    <s v="Laptops"/>
    <s v="Thus Laptops"/>
    <n v="798.1"/>
    <n v="2"/>
    <n v="0"/>
    <n v="133.66"/>
    <s v="Profit"/>
  </r>
  <r>
    <x v="419"/>
    <d v="2023-08-03T00:00:00"/>
    <d v="2023-08-12T00:00:00"/>
    <s v="Frances Wallace"/>
    <x v="2"/>
    <s v="West"/>
    <s v="Office Supplies"/>
    <s v="Binders"/>
    <s v="Plan Binders"/>
    <n v="351.87"/>
    <n v="7"/>
    <n v="0.2"/>
    <n v="10.64"/>
    <s v="Profit"/>
  </r>
  <r>
    <x v="420"/>
    <d v="2023-11-04T00:00:00"/>
    <d v="2023-11-12T00:00:00"/>
    <s v="Tyler Page"/>
    <x v="2"/>
    <s v="West"/>
    <s v="Office Supplies"/>
    <s v="Binders"/>
    <s v="Cause Binders"/>
    <n v="1529.32"/>
    <n v="7"/>
    <n v="0.2"/>
    <n v="-276.64999999999998"/>
    <s v="Loss"/>
  </r>
  <r>
    <x v="421"/>
    <d v="2023-07-26T00:00:00"/>
    <d v="2023-07-29T00:00:00"/>
    <s v="Erin Williams"/>
    <x v="0"/>
    <s v="North"/>
    <s v="Furniture"/>
    <s v="Tables"/>
    <s v="Real Tables"/>
    <n v="4747.8500000000004"/>
    <n v="3"/>
    <n v="0.05"/>
    <n v="1161.58"/>
    <s v="Profit"/>
  </r>
  <r>
    <x v="422"/>
    <d v="2025-02-11T00:00:00"/>
    <d v="2025-02-18T00:00:00"/>
    <s v="John Snow"/>
    <x v="2"/>
    <s v="North"/>
    <s v="Technology"/>
    <s v="Phones"/>
    <s v="Use Phones"/>
    <n v="1049.5"/>
    <n v="3"/>
    <n v="0.2"/>
    <n v="-61.04"/>
    <s v="Loss"/>
  </r>
  <r>
    <x v="423"/>
    <d v="2023-12-29T00:00:00"/>
    <d v="2024-01-07T00:00:00"/>
    <s v="Stephanie Cruz"/>
    <x v="0"/>
    <s v="West"/>
    <s v="Furniture"/>
    <s v="Tables"/>
    <s v="Far Tables"/>
    <n v="2016.91"/>
    <n v="6"/>
    <n v="0.1"/>
    <n v="173.11"/>
    <s v="Profit"/>
  </r>
  <r>
    <x v="424"/>
    <d v="2025-03-02T00:00:00"/>
    <d v="2025-03-05T00:00:00"/>
    <s v="Jordan Mcgee"/>
    <x v="0"/>
    <s v="North"/>
    <s v="Furniture"/>
    <s v="Tables"/>
    <s v="Affect Tables"/>
    <n v="783.59"/>
    <n v="10"/>
    <n v="0.2"/>
    <n v="170.12"/>
    <s v="Profit"/>
  </r>
  <r>
    <x v="425"/>
    <s v="31-05-2024"/>
    <d v="2024-06-05T00:00:00"/>
    <s v="Christy White"/>
    <x v="2"/>
    <s v="West"/>
    <s v="Office Supplies"/>
    <s v="Binders"/>
    <s v="New Binders"/>
    <n v="4344"/>
    <n v="6"/>
    <n v="0.15"/>
    <n v="-237.72"/>
    <s v="Loss"/>
  </r>
  <r>
    <x v="426"/>
    <d v="2025-11-13T00:00:00"/>
    <d v="2025-11-21T00:00:00"/>
    <s v="Shannon Tucker"/>
    <x v="2"/>
    <s v="West"/>
    <s v="Office Supplies"/>
    <s v="Storage"/>
    <s v="Keep Storage"/>
    <n v="235.46"/>
    <n v="5"/>
    <n v="0.15"/>
    <n v="-28.46"/>
    <s v="Loss"/>
  </r>
  <r>
    <x v="427"/>
    <d v="2023-07-11T00:00:00"/>
    <d v="2023-07-17T00:00:00"/>
    <s v="Sophia Hughes"/>
    <x v="1"/>
    <s v="East"/>
    <s v="Furniture"/>
    <s v="Tables"/>
    <s v="Effect Tables"/>
    <n v="3468.04"/>
    <n v="1"/>
    <n v="0.2"/>
    <n v="212.83"/>
    <s v="Profit"/>
  </r>
  <r>
    <x v="428"/>
    <d v="2023-09-30T00:00:00"/>
    <d v="2023-10-05T00:00:00"/>
    <s v="Michelle Hudson"/>
    <x v="0"/>
    <s v="South"/>
    <s v="Furniture"/>
    <s v="Tables"/>
    <s v="Still Tables"/>
    <n v="1589.2"/>
    <n v="8"/>
    <n v="0.2"/>
    <n v="280.76"/>
    <s v="Profit"/>
  </r>
  <r>
    <x v="429"/>
    <d v="2024-07-25T00:00:00"/>
    <d v="2024-08-02T00:00:00"/>
    <s v="James Jackson"/>
    <x v="2"/>
    <s v="North"/>
    <s v="Technology"/>
    <s v="Laptops"/>
    <s v="Put Laptops"/>
    <n v="3881.45"/>
    <n v="6"/>
    <n v="0.1"/>
    <n v="779.55"/>
    <s v="Profit"/>
  </r>
  <r>
    <x v="430"/>
    <d v="2026-01-12T00:00:00"/>
    <d v="2026-01-16T00:00:00"/>
    <s v="David Brennan"/>
    <x v="2"/>
    <s v="East"/>
    <s v="Furniture"/>
    <s v="Tables"/>
    <s v="Travel Tables"/>
    <n v="4571.49"/>
    <n v="7"/>
    <n v="0.2"/>
    <n v="303.79000000000002"/>
    <s v="Profit"/>
  </r>
  <r>
    <x v="431"/>
    <d v="2025-04-02T00:00:00"/>
    <d v="2025-04-05T00:00:00"/>
    <s v="Kayla Adkins"/>
    <x v="2"/>
    <s v="North"/>
    <s v="Furniture"/>
    <s v="Bookcases"/>
    <s v="Amount Bookcases"/>
    <n v="374.8"/>
    <n v="9"/>
    <n v="0.15"/>
    <n v="-47"/>
    <s v="Loss"/>
  </r>
  <r>
    <x v="432"/>
    <d v="2024-11-08T00:00:00"/>
    <d v="2024-11-12T00:00:00"/>
    <s v="Joshua Chen"/>
    <x v="1"/>
    <s v="South"/>
    <s v="Furniture"/>
    <s v="Chairs"/>
    <s v="Usually Chairs"/>
    <n v="4193.03"/>
    <n v="4"/>
    <n v="0"/>
    <n v="214.04"/>
    <s v="Profit"/>
  </r>
  <r>
    <x v="433"/>
    <d v="2024-03-29T00:00:00"/>
    <d v="2024-04-06T00:00:00"/>
    <s v="Theresa Cohen"/>
    <x v="1"/>
    <s v="West"/>
    <s v="Technology"/>
    <s v="Accessories"/>
    <s v="Rich Accessories"/>
    <n v="2550.38"/>
    <n v="2"/>
    <n v="0.2"/>
    <n v="-467.2"/>
    <s v="Loss"/>
  </r>
  <r>
    <x v="434"/>
    <d v="2026-04-05T00:00:00"/>
    <d v="2026-04-08T00:00:00"/>
    <s v="Christopher Nichols"/>
    <x v="2"/>
    <s v="South"/>
    <s v="Office Supplies"/>
    <s v="Paper"/>
    <s v="Candidate Paper"/>
    <n v="4804.58"/>
    <n v="8"/>
    <n v="0.2"/>
    <n v="495.99"/>
    <s v="Profit"/>
  </r>
  <r>
    <x v="435"/>
    <d v="2026-02-08T00:00:00"/>
    <d v="2026-02-10T00:00:00"/>
    <s v="Daniel Henderson"/>
    <x v="2"/>
    <s v="South"/>
    <s v="Technology"/>
    <s v="Laptops"/>
    <s v="Walk Laptops"/>
    <n v="1461.09"/>
    <n v="7"/>
    <n v="0"/>
    <n v="-161.31"/>
    <s v="Loss"/>
  </r>
  <r>
    <x v="436"/>
    <d v="2023-07-23T00:00:00"/>
    <d v="2023-07-27T00:00:00"/>
    <s v="David Sanford"/>
    <x v="0"/>
    <s v="North"/>
    <s v="Furniture"/>
    <s v="Bookcases"/>
    <s v="Candidate Bookcases"/>
    <n v="3404.59"/>
    <n v="5"/>
    <n v="0.2"/>
    <n v="85.89"/>
    <s v="Profit"/>
  </r>
  <r>
    <x v="437"/>
    <d v="2025-09-01T00:00:00"/>
    <d v="2025-09-04T00:00:00"/>
    <s v="David Carpenter"/>
    <x v="1"/>
    <s v="East"/>
    <s v="Technology"/>
    <s v="Phones"/>
    <s v="Hit Phones"/>
    <n v="3025.65"/>
    <n v="1"/>
    <n v="0.05"/>
    <n v="-185.13"/>
    <s v="Loss"/>
  </r>
  <r>
    <x v="438"/>
    <d v="2024-01-15T00:00:00"/>
    <d v="2024-01-21T00:00:00"/>
    <s v="Elizabeth Reid"/>
    <x v="2"/>
    <s v="West"/>
    <s v="Technology"/>
    <s v="Accessories"/>
    <s v="Health Accessories"/>
    <n v="2322.04"/>
    <n v="4"/>
    <n v="0.15"/>
    <n v="-78.53"/>
    <s v="Loss"/>
  </r>
  <r>
    <x v="439"/>
    <d v="2023-12-10T00:00:00"/>
    <d v="2023-12-11T00:00:00"/>
    <s v="Michaela Grant Dds"/>
    <x v="2"/>
    <s v="West"/>
    <s v="Office Supplies"/>
    <s v="Binders"/>
    <s v="Lay Binders"/>
    <n v="2581.9899999999998"/>
    <n v="6"/>
    <n v="0.2"/>
    <n v="402.89"/>
    <s v="Profit"/>
  </r>
  <r>
    <x v="440"/>
    <d v="2026-02-16T00:00:00"/>
    <d v="2026-02-18T00:00:00"/>
    <s v="William Brown"/>
    <x v="1"/>
    <s v="East"/>
    <s v="Technology"/>
    <s v="Laptops"/>
    <s v="Perhaps Laptops"/>
    <n v="2434.61"/>
    <n v="6"/>
    <n v="0.1"/>
    <n v="370.86"/>
    <s v="Profit"/>
  </r>
  <r>
    <x v="441"/>
    <d v="2025-08-16T00:00:00"/>
    <d v="2025-08-21T00:00:00"/>
    <s v="Walter Holt"/>
    <x v="2"/>
    <s v="West"/>
    <s v="Office Supplies"/>
    <s v="Storage"/>
    <s v="Might Storage"/>
    <n v="982.38"/>
    <n v="9"/>
    <n v="0.05"/>
    <n v="289.63"/>
    <s v="Profit"/>
  </r>
  <r>
    <x v="442"/>
    <d v="2025-01-29T00:00:00"/>
    <d v="2025-02-01T00:00:00"/>
    <s v="Dawn Jones"/>
    <x v="1"/>
    <s v="West"/>
    <s v="Office Supplies"/>
    <s v="Paper"/>
    <s v="Develop Paper"/>
    <n v="3620.35"/>
    <n v="8"/>
    <n v="0.1"/>
    <n v="-207.5"/>
    <s v="Loss"/>
  </r>
  <r>
    <x v="443"/>
    <d v="2023-11-06T00:00:00"/>
    <d v="2023-11-07T00:00:00"/>
    <s v="Diane Moore"/>
    <x v="2"/>
    <s v="South"/>
    <s v="Technology"/>
    <s v="Laptops"/>
    <s v="Star Laptops"/>
    <n v="2935.97"/>
    <n v="10"/>
    <n v="0.05"/>
    <n v="-33.049999999999997"/>
    <s v="Loss"/>
  </r>
  <r>
    <x v="444"/>
    <d v="2025-11-30T00:00:00"/>
    <d v="2025-12-08T00:00:00"/>
    <s v="Michelle Lee"/>
    <x v="0"/>
    <s v="South"/>
    <s v="Office Supplies"/>
    <s v="Storage"/>
    <s v="Film Storage"/>
    <n v="4537.3100000000004"/>
    <n v="6"/>
    <n v="0.2"/>
    <n v="-158.32"/>
    <s v="Loss"/>
  </r>
  <r>
    <x v="445"/>
    <d v="2024-06-03T00:00:00"/>
    <d v="2024-06-11T00:00:00"/>
    <s v="Jim Weiss"/>
    <x v="0"/>
    <s v="East"/>
    <s v="Technology"/>
    <s v="Phones"/>
    <s v="Own Phones"/>
    <n v="683.32"/>
    <n v="5"/>
    <n v="0.2"/>
    <n v="167.13"/>
    <s v="Profit"/>
  </r>
  <r>
    <x v="446"/>
    <d v="2023-09-04T00:00:00"/>
    <d v="2023-09-08T00:00:00"/>
    <s v="Kerry Payne"/>
    <x v="1"/>
    <s v="East"/>
    <s v="Office Supplies"/>
    <s v="Binders"/>
    <s v="Answer Binders"/>
    <n v="1808.65"/>
    <n v="5"/>
    <n v="0.15"/>
    <n v="422.23"/>
    <s v="Profit"/>
  </r>
  <r>
    <x v="447"/>
    <d v="2024-06-25T00:00:00"/>
    <d v="2024-06-30T00:00:00"/>
    <s v="Gary Garcia"/>
    <x v="2"/>
    <s v="North"/>
    <s v="Technology"/>
    <s v="Laptops"/>
    <s v="Walk Laptops"/>
    <n v="2345.62"/>
    <n v="2"/>
    <n v="0.15"/>
    <n v="-399.88"/>
    <s v="Loss"/>
  </r>
  <r>
    <x v="448"/>
    <d v="2024-04-14T00:00:00"/>
    <d v="2024-04-23T00:00:00"/>
    <s v="Amanda Parker"/>
    <x v="0"/>
    <s v="South"/>
    <s v="Technology"/>
    <s v="Phones"/>
    <s v="Carry Phones"/>
    <n v="643.09"/>
    <n v="7"/>
    <n v="0.2"/>
    <n v="-23.09"/>
    <s v="Loss"/>
  </r>
  <r>
    <x v="449"/>
    <d v="2025-02-04T00:00:00"/>
    <d v="2025-02-10T00:00:00"/>
    <s v="Leah Walton"/>
    <x v="2"/>
    <s v="South"/>
    <s v="Furniture"/>
    <s v="Chairs"/>
    <s v="Treat Chairs"/>
    <n v="2075.5"/>
    <n v="10"/>
    <n v="0.15"/>
    <n v="-251.61"/>
    <s v="Loss"/>
  </r>
  <r>
    <x v="450"/>
    <d v="2023-10-29T00:00:00"/>
    <d v="2023-11-04T00:00:00"/>
    <s v="Matthew Nguyen"/>
    <x v="0"/>
    <s v="West"/>
    <s v="Furniture"/>
    <s v="Tables"/>
    <s v="Way Tables"/>
    <n v="3173.61"/>
    <n v="3"/>
    <n v="0.1"/>
    <n v="472.79"/>
    <s v="Profit"/>
  </r>
  <r>
    <x v="451"/>
    <d v="2025-02-08T00:00:00"/>
    <d v="2025-02-11T00:00:00"/>
    <s v="Miss Janice Miranda"/>
    <x v="0"/>
    <s v="South"/>
    <s v="Technology"/>
    <s v="Phones"/>
    <s v="Child Phones"/>
    <n v="2902.58"/>
    <n v="3"/>
    <n v="0.15"/>
    <n v="673.01"/>
    <s v="Profit"/>
  </r>
  <r>
    <x v="452"/>
    <d v="2024-07-26T00:00:00"/>
    <d v="2024-08-02T00:00:00"/>
    <s v="Albert Mora"/>
    <x v="2"/>
    <s v="South"/>
    <s v="Office Supplies"/>
    <s v="Paper"/>
    <s v="Product Paper"/>
    <n v="2046.8"/>
    <n v="8"/>
    <n v="0.15"/>
    <n v="-404.1"/>
    <s v="Loss"/>
  </r>
  <r>
    <x v="453"/>
    <d v="2026-04-17T00:00:00"/>
    <d v="2026-04-18T00:00:00"/>
    <s v="Kenneth Vargas"/>
    <x v="0"/>
    <s v="South"/>
    <s v="Office Supplies"/>
    <s v="Paper"/>
    <s v="Out Paper"/>
    <n v="4465.43"/>
    <n v="9"/>
    <n v="0.05"/>
    <n v="-849.08"/>
    <s v="Loss"/>
  </r>
  <r>
    <x v="454"/>
    <d v="2025-11-07T00:00:00"/>
    <d v="2025-11-13T00:00:00"/>
    <s v="Brenda Ortiz"/>
    <x v="1"/>
    <s v="West"/>
    <s v="Furniture"/>
    <s v="Bookcases"/>
    <s v="Voice Bookcases"/>
    <n v="1594.86"/>
    <n v="2"/>
    <n v="0.15"/>
    <n v="122.54"/>
    <s v="Profit"/>
  </r>
  <r>
    <x v="455"/>
    <d v="2023-08-21T00:00:00"/>
    <d v="2023-08-26T00:00:00"/>
    <s v="Jeremy Johnson"/>
    <x v="2"/>
    <s v="East"/>
    <s v="Furniture"/>
    <s v="Chairs"/>
    <s v="Attack Chairs"/>
    <n v="4744.8900000000003"/>
    <n v="8"/>
    <n v="0.2"/>
    <n v="408.81"/>
    <s v="Profit"/>
  </r>
  <r>
    <x v="456"/>
    <d v="2025-04-05T00:00:00"/>
    <d v="2025-04-08T00:00:00"/>
    <s v="Mr. Brian Hayden Dds"/>
    <x v="0"/>
    <s v="West"/>
    <s v="Technology"/>
    <s v="Laptops"/>
    <s v="Return Laptops"/>
    <n v="1746.53"/>
    <n v="8"/>
    <n v="0.1"/>
    <n v="371.25"/>
    <s v="Profit"/>
  </r>
  <r>
    <x v="457"/>
    <d v="2024-10-08T00:00:00"/>
    <d v="2024-10-12T00:00:00"/>
    <s v="Kayla Green"/>
    <x v="2"/>
    <s v="South"/>
    <s v="Furniture"/>
    <s v="Chairs"/>
    <s v="Much Chairs"/>
    <n v="3649.49"/>
    <n v="3"/>
    <n v="0.05"/>
    <n v="743.55"/>
    <s v="Profit"/>
  </r>
  <r>
    <x v="458"/>
    <d v="2024-04-11T00:00:00"/>
    <d v="2024-04-12T00:00:00"/>
    <s v="Desiree Conrad"/>
    <x v="2"/>
    <s v="North"/>
    <s v="Furniture"/>
    <s v="Tables"/>
    <s v="Which Tables"/>
    <n v="1907.2"/>
    <n v="5"/>
    <n v="0.2"/>
    <n v="272.2"/>
    <s v="Profit"/>
  </r>
  <r>
    <x v="459"/>
    <d v="2025-11-13T00:00:00"/>
    <d v="2025-11-14T00:00:00"/>
    <s v="Gary Bryant"/>
    <x v="0"/>
    <s v="East"/>
    <s v="Office Supplies"/>
    <s v="Binders"/>
    <s v="Item Binders"/>
    <n v="288.76"/>
    <n v="2"/>
    <n v="0.15"/>
    <n v="12.81"/>
    <s v="Profit"/>
  </r>
  <r>
    <x v="460"/>
    <d v="2025-04-12T00:00:00"/>
    <d v="2025-04-15T00:00:00"/>
    <s v="Anthony Stone"/>
    <x v="0"/>
    <s v="East"/>
    <s v="Technology"/>
    <s v="Laptops"/>
    <s v="Among Laptops"/>
    <n v="1067.2"/>
    <n v="1"/>
    <n v="0.1"/>
    <n v="33.590000000000003"/>
    <s v="Profit"/>
  </r>
  <r>
    <x v="461"/>
    <d v="2025-06-04T00:00:00"/>
    <d v="2025-06-07T00:00:00"/>
    <s v="Amanda Strong"/>
    <x v="0"/>
    <s v="East"/>
    <s v="Office Supplies"/>
    <s v="Storage"/>
    <s v="Commercial Storage"/>
    <n v="2123.19"/>
    <n v="2"/>
    <n v="0.2"/>
    <n v="414.7"/>
    <s v="Profit"/>
  </r>
  <r>
    <x v="462"/>
    <d v="2026-05-23T00:00:00"/>
    <d v="2026-05-31T00:00:00"/>
    <s v="Paul Potts"/>
    <x v="0"/>
    <s v="East"/>
    <s v="Furniture"/>
    <s v="Chairs"/>
    <s v="Member Chairs"/>
    <n v="1033.3"/>
    <n v="4"/>
    <n v="0.1"/>
    <n v="265.89"/>
    <s v="Profit"/>
  </r>
  <r>
    <x v="463"/>
    <d v="2024-06-26T00:00:00"/>
    <d v="2024-07-01T00:00:00"/>
    <s v="Scott Graham"/>
    <x v="2"/>
    <s v="West"/>
    <s v="Office Supplies"/>
    <s v="Paper"/>
    <s v="Recent Paper"/>
    <n v="843.85"/>
    <n v="9"/>
    <n v="0.15"/>
    <n v="253.74"/>
    <s v="Profit"/>
  </r>
  <r>
    <x v="464"/>
    <d v="2024-04-23T00:00:00"/>
    <d v="2024-04-24T00:00:00"/>
    <s v="Joshua Myers"/>
    <x v="2"/>
    <s v="West"/>
    <s v="Technology"/>
    <s v="Phones"/>
    <s v="Others Phones"/>
    <n v="113.11"/>
    <n v="2"/>
    <n v="0"/>
    <n v="29.34"/>
    <s v="Profit"/>
  </r>
  <r>
    <x v="465"/>
    <d v="2024-12-18T00:00:00"/>
    <d v="2024-12-27T00:00:00"/>
    <s v="Abigail Harris"/>
    <x v="1"/>
    <s v="East"/>
    <s v="Furniture"/>
    <s v="Chairs"/>
    <s v="Offer Chairs"/>
    <n v="421.49"/>
    <n v="2"/>
    <n v="0.1"/>
    <n v="65.069999999999993"/>
    <s v="Profit"/>
  </r>
  <r>
    <x v="466"/>
    <d v="2026-01-17T00:00:00"/>
    <d v="2026-01-18T00:00:00"/>
    <s v="Carmen Garrett"/>
    <x v="1"/>
    <s v="East"/>
    <s v="Technology"/>
    <s v="Accessories"/>
    <s v="Think Accessories"/>
    <n v="544.04999999999995"/>
    <n v="3"/>
    <n v="0"/>
    <n v="146.21"/>
    <s v="Profit"/>
  </r>
  <r>
    <x v="467"/>
    <d v="2024-12-26T00:00:00"/>
    <d v="2024-12-28T00:00:00"/>
    <s v="Leslie Arias"/>
    <x v="2"/>
    <s v="South"/>
    <s v="Technology"/>
    <s v="Laptops"/>
    <s v="She Laptops"/>
    <n v="520.24"/>
    <n v="1"/>
    <n v="0"/>
    <n v="139.74"/>
    <s v="Profit"/>
  </r>
  <r>
    <x v="468"/>
    <d v="2023-11-27T00:00:00"/>
    <d v="2023-12-05T00:00:00"/>
    <s v="Scott Collier"/>
    <x v="1"/>
    <s v="South"/>
    <s v="Technology"/>
    <s v="Accessories"/>
    <s v="Other Accessories"/>
    <n v="4777.6899999999996"/>
    <n v="5"/>
    <n v="0.2"/>
    <n v="-711.29"/>
    <s v="Loss"/>
  </r>
  <r>
    <x v="469"/>
    <d v="2023-07-04T00:00:00"/>
    <d v="2023-07-11T00:00:00"/>
    <s v="William Miller"/>
    <x v="1"/>
    <s v="West"/>
    <s v="Furniture"/>
    <s v="Tables"/>
    <s v="Feel Tables"/>
    <n v="4813.43"/>
    <n v="5"/>
    <n v="0.15"/>
    <n v="863.75"/>
    <s v="Profit"/>
  </r>
  <r>
    <x v="470"/>
    <d v="2024-02-05T00:00:00"/>
    <d v="2024-02-07T00:00:00"/>
    <s v="Samuel Butler"/>
    <x v="2"/>
    <s v="West"/>
    <s v="Office Supplies"/>
    <s v="Binders"/>
    <s v="Establish Binders"/>
    <n v="705.93"/>
    <n v="1"/>
    <n v="0.05"/>
    <n v="-100.92"/>
    <s v="Loss"/>
  </r>
  <r>
    <x v="471"/>
    <d v="2025-08-21T00:00:00"/>
    <d v="2025-08-29T00:00:00"/>
    <s v="Erin Gonzalez"/>
    <x v="2"/>
    <s v="South"/>
    <s v="Office Supplies"/>
    <s v="Storage"/>
    <s v="Station Storage"/>
    <n v="947.24"/>
    <n v="7"/>
    <n v="0.1"/>
    <n v="129.06"/>
    <s v="Profit"/>
  </r>
  <r>
    <x v="472"/>
    <s v="15-01-2026"/>
    <d v="2026-01-17T00:00:00"/>
    <s v="Jennifer Parker"/>
    <x v="2"/>
    <s v="East"/>
    <s v="Technology"/>
    <s v="Accessories"/>
    <s v="Model Accessories"/>
    <n v="4443.59"/>
    <n v="8"/>
    <n v="0"/>
    <n v="-733.93"/>
    <s v="Loss"/>
  </r>
  <r>
    <x v="473"/>
    <d v="2026-05-18T00:00:00"/>
    <d v="2026-05-27T00:00:00"/>
    <s v="Kaylee Jones"/>
    <x v="2"/>
    <s v="East"/>
    <s v="Furniture"/>
    <s v="Bookcases"/>
    <s v="Family Bookcases"/>
    <n v="3849.27"/>
    <n v="10"/>
    <n v="0.2"/>
    <n v="426.33"/>
    <s v="Profit"/>
  </r>
  <r>
    <x v="474"/>
    <d v="2023-10-23T00:00:00"/>
    <d v="2023-11-02T00:00:00"/>
    <s v="Amanda French"/>
    <x v="2"/>
    <s v="West"/>
    <s v="Office Supplies"/>
    <s v="Storage"/>
    <s v="See Storage"/>
    <n v="521.45000000000005"/>
    <n v="4"/>
    <n v="0.15"/>
    <n v="-5.13"/>
    <s v="Loss"/>
  </r>
  <r>
    <x v="475"/>
    <d v="2024-12-01T00:00:00"/>
    <d v="2024-12-11T00:00:00"/>
    <s v="Raymond Merritt"/>
    <x v="1"/>
    <s v="South"/>
    <s v="Furniture"/>
    <s v="Bookcases"/>
    <s v="Western Bookcases"/>
    <n v="320.10000000000002"/>
    <n v="3"/>
    <n v="0.2"/>
    <n v="85.42"/>
    <s v="Profit"/>
  </r>
  <r>
    <x v="476"/>
    <d v="2024-02-26T00:00:00"/>
    <d v="2024-03-03T00:00:00"/>
    <s v="Paul Osborne"/>
    <x v="2"/>
    <s v="West"/>
    <s v="Furniture"/>
    <s v="Tables"/>
    <s v="Forget Tables"/>
    <n v="1242.4100000000001"/>
    <n v="5"/>
    <n v="0"/>
    <n v="97.92"/>
    <s v="Profit"/>
  </r>
  <r>
    <x v="477"/>
    <d v="2025-06-14T00:00:00"/>
    <d v="2025-06-16T00:00:00"/>
    <s v="Ian Webb"/>
    <x v="1"/>
    <s v="West"/>
    <s v="Technology"/>
    <s v="Phones"/>
    <s v="Mother Phones"/>
    <n v="2322.52"/>
    <n v="10"/>
    <n v="0.15"/>
    <n v="-352.07"/>
    <s v="Loss"/>
  </r>
  <r>
    <x v="478"/>
    <d v="2024-03-07T00:00:00"/>
    <d v="2024-03-15T00:00:00"/>
    <s v="Christine Martin"/>
    <x v="0"/>
    <s v="North"/>
    <s v="Technology"/>
    <s v="Phones"/>
    <s v="Country Phones"/>
    <n v="3738.93"/>
    <n v="1"/>
    <n v="0"/>
    <n v="81.849999999999994"/>
    <s v="Profit"/>
  </r>
  <r>
    <x v="479"/>
    <d v="2025-12-22T00:00:00"/>
    <d v="2026-01-01T00:00:00"/>
    <s v="Alicia Dawson"/>
    <x v="2"/>
    <s v="West"/>
    <s v="Furniture"/>
    <s v="Bookcases"/>
    <s v="My Bookcases"/>
    <n v="3205.81"/>
    <n v="9"/>
    <n v="0.2"/>
    <n v="-276.44"/>
    <s v="Loss"/>
  </r>
  <r>
    <x v="480"/>
    <d v="2026-04-12T00:00:00"/>
    <d v="2026-04-13T00:00:00"/>
    <s v="Danny Young"/>
    <x v="2"/>
    <s v="West"/>
    <s v="Technology"/>
    <s v="Accessories"/>
    <s v="Six Accessories"/>
    <n v="4092.11"/>
    <n v="8"/>
    <n v="0.1"/>
    <n v="442.29"/>
    <s v="Profit"/>
  </r>
  <r>
    <x v="481"/>
    <d v="2025-11-23T00:00:00"/>
    <d v="2025-11-29T00:00:00"/>
    <s v="Sharon Francis"/>
    <x v="0"/>
    <s v="North"/>
    <s v="Office Supplies"/>
    <s v="Storage"/>
    <s v="Trouble Storage"/>
    <n v="3593.77"/>
    <n v="2"/>
    <n v="0"/>
    <n v="782.1"/>
    <s v="Profit"/>
  </r>
  <r>
    <x v="482"/>
    <d v="2025-06-21T00:00:00"/>
    <d v="2025-06-26T00:00:00"/>
    <s v="Philip Singleton"/>
    <x v="0"/>
    <s v="West"/>
    <s v="Technology"/>
    <s v="Accessories"/>
    <s v="Support Accessories"/>
    <n v="2761.07"/>
    <n v="6"/>
    <n v="0.2"/>
    <n v="-390.75"/>
    <s v="Loss"/>
  </r>
  <r>
    <x v="483"/>
    <d v="2023-07-20T00:00:00"/>
    <d v="2023-07-27T00:00:00"/>
    <s v="Amy Lee"/>
    <x v="1"/>
    <s v="South"/>
    <s v="Furniture"/>
    <s v="Bookcases"/>
    <s v="Direction Bookcases"/>
    <n v="579.46"/>
    <n v="10"/>
    <n v="0.05"/>
    <n v="-56.12"/>
    <s v="Loss"/>
  </r>
  <r>
    <x v="484"/>
    <d v="2025-04-03T00:00:00"/>
    <d v="2025-04-09T00:00:00"/>
    <s v="Stephen Meyer"/>
    <x v="2"/>
    <s v="North"/>
    <s v="Technology"/>
    <s v="Phones"/>
    <s v="Remember Phones"/>
    <n v="583.44000000000005"/>
    <n v="7"/>
    <n v="0"/>
    <n v="180.66"/>
    <s v="Profit"/>
  </r>
  <r>
    <x v="485"/>
    <d v="2023-05-27T00:00:00"/>
    <d v="2023-06-06T00:00:00"/>
    <s v="Rachel Santos"/>
    <x v="2"/>
    <s v="North"/>
    <s v="Technology"/>
    <s v="Accessories"/>
    <s v="Face Accessories"/>
    <n v="4783.1400000000003"/>
    <n v="3"/>
    <n v="0.15"/>
    <n v="-945.22"/>
    <s v="Loss"/>
  </r>
  <r>
    <x v="486"/>
    <d v="2024-10-04T00:00:00"/>
    <d v="2024-10-14T00:00:00"/>
    <s v="Travis George"/>
    <x v="0"/>
    <s v="South"/>
    <s v="Office Supplies"/>
    <s v="Paper"/>
    <s v="Its Paper"/>
    <n v="2440.5100000000002"/>
    <n v="9"/>
    <n v="0.05"/>
    <n v="440.51"/>
    <s v="Profit"/>
  </r>
  <r>
    <x v="487"/>
    <d v="2025-12-01T00:00:00"/>
    <d v="2025-12-11T00:00:00"/>
    <s v="Steven Phillips"/>
    <x v="1"/>
    <s v="South"/>
    <s v="Furniture"/>
    <s v="Tables"/>
    <s v="Make Tables"/>
    <n v="3050.5"/>
    <n v="6"/>
    <n v="0.2"/>
    <n v="868.68"/>
    <s v="Profit"/>
  </r>
  <r>
    <x v="488"/>
    <d v="2025-10-02T00:00:00"/>
    <d v="2025-10-08T00:00:00"/>
    <s v="Karen Greene"/>
    <x v="2"/>
    <s v="East"/>
    <s v="Technology"/>
    <s v="Accessories"/>
    <s v="Listen Accessories"/>
    <n v="4853.93"/>
    <n v="8"/>
    <n v="0.05"/>
    <n v="-601.89"/>
    <s v="Loss"/>
  </r>
  <r>
    <x v="489"/>
    <d v="2026-02-01T00:00:00"/>
    <d v="2026-02-07T00:00:00"/>
    <s v="Lindsay Bell"/>
    <x v="0"/>
    <s v="East"/>
    <s v="Office Supplies"/>
    <s v="Storage"/>
    <s v="Wall Storage"/>
    <n v="3573.78"/>
    <n v="9"/>
    <n v="0.2"/>
    <n v="-287.55"/>
    <s v="Loss"/>
  </r>
  <r>
    <x v="490"/>
    <d v="2024-04-20T00:00:00"/>
    <d v="2024-04-23T00:00:00"/>
    <s v="Joel Johnson"/>
    <x v="2"/>
    <s v="East"/>
    <s v="Office Supplies"/>
    <s v="Paper"/>
    <s v="Generation Paper"/>
    <n v="4907.6099999999997"/>
    <n v="3"/>
    <n v="0.2"/>
    <n v="482.76"/>
    <s v="Profit"/>
  </r>
  <r>
    <x v="491"/>
    <d v="2024-06-09T00:00:00"/>
    <d v="2024-06-15T00:00:00"/>
    <s v="Devin Young"/>
    <x v="2"/>
    <s v="West"/>
    <s v="Office Supplies"/>
    <s v="Binders"/>
    <s v="Music Binders"/>
    <n v="2833.29"/>
    <n v="10"/>
    <n v="0.2"/>
    <n v="902.32"/>
    <s v="Profit"/>
  </r>
  <r>
    <x v="492"/>
    <d v="2023-07-02T00:00:00"/>
    <d v="2023-07-11T00:00:00"/>
    <s v="Jenna Walton"/>
    <x v="0"/>
    <s v="West"/>
    <s v="Office Supplies"/>
    <s v="Storage"/>
    <s v="You Storage"/>
    <n v="1465.34"/>
    <n v="7"/>
    <n v="0"/>
    <n v="128.22"/>
    <s v="Profit"/>
  </r>
  <r>
    <x v="493"/>
    <d v="2025-08-25T00:00:00"/>
    <d v="2025-08-26T00:00:00"/>
    <s v="Cody Robinson"/>
    <x v="0"/>
    <s v="North"/>
    <s v="Furniture"/>
    <s v="Chairs"/>
    <s v="Child Chairs"/>
    <n v="1039.52"/>
    <n v="3"/>
    <n v="0.1"/>
    <n v="182.81"/>
    <s v="Profit"/>
  </r>
  <r>
    <x v="494"/>
    <d v="2025-12-12T00:00:00"/>
    <d v="2025-12-16T00:00:00"/>
    <s v="Erin Moore"/>
    <x v="0"/>
    <s v="South"/>
    <s v="Office Supplies"/>
    <s v="Paper"/>
    <s v="Run Paper"/>
    <n v="3780.29"/>
    <n v="1"/>
    <n v="0.1"/>
    <n v="936.43"/>
    <s v="Profit"/>
  </r>
  <r>
    <x v="495"/>
    <d v="2023-08-17T00:00:00"/>
    <d v="2023-08-26T00:00:00"/>
    <s v="Lindsey Moore"/>
    <x v="2"/>
    <s v="North"/>
    <s v="Office Supplies"/>
    <s v="Storage"/>
    <s v="Cost Storage"/>
    <n v="1974.99"/>
    <n v="9"/>
    <n v="0.2"/>
    <n v="-82.55"/>
    <s v="Loss"/>
  </r>
  <r>
    <x v="496"/>
    <d v="2023-10-02T00:00:00"/>
    <d v="2023-10-09T00:00:00"/>
    <s v="Anne Cooper"/>
    <x v="2"/>
    <s v="East"/>
    <s v="Technology"/>
    <s v="Accessories"/>
    <s v="Church Accessories"/>
    <n v="4785.67"/>
    <n v="6"/>
    <n v="0.2"/>
    <n v="-815.52"/>
    <s v="Loss"/>
  </r>
  <r>
    <x v="497"/>
    <d v="2025-07-03T00:00:00"/>
    <d v="2025-07-11T00:00:00"/>
    <s v="Shawna Perez"/>
    <x v="2"/>
    <s v="South"/>
    <s v="Furniture"/>
    <s v="Bookcases"/>
    <s v="Window Bookcases"/>
    <n v="4158.42"/>
    <n v="6"/>
    <n v="0.2"/>
    <n v="418.5"/>
    <s v="Profit"/>
  </r>
  <r>
    <x v="498"/>
    <d v="2024-04-23T00:00:00"/>
    <d v="2024-04-28T00:00:00"/>
    <s v="Alyssa Martinez Dvm"/>
    <x v="2"/>
    <s v="North"/>
    <s v="Office Supplies"/>
    <s v="Binders"/>
    <s v="College Binders"/>
    <n v="2271.63"/>
    <n v="2"/>
    <n v="0.05"/>
    <n v="748.19"/>
    <s v="Profit"/>
  </r>
  <r>
    <x v="499"/>
    <d v="2023-08-16T00:00:00"/>
    <d v="2023-08-23T00:00:00"/>
    <s v="Brandy Vega"/>
    <x v="1"/>
    <s v="North"/>
    <s v="Technology"/>
    <s v="Phones"/>
    <s v="Memory Phones"/>
    <n v="1431.61"/>
    <n v="5"/>
    <n v="0.05"/>
    <n v="-159.61000000000001"/>
    <s v="Loss"/>
  </r>
  <r>
    <x v="500"/>
    <d v="2025-07-16T00:00:00"/>
    <d v="2025-07-19T00:00:00"/>
    <s v="David Thomas"/>
    <x v="2"/>
    <s v="East"/>
    <s v="Technology"/>
    <s v="Accessories"/>
    <s v="Discuss Accessories"/>
    <n v="247.71"/>
    <n v="6"/>
    <n v="0.2"/>
    <n v="-42.61"/>
    <s v="Loss"/>
  </r>
  <r>
    <x v="501"/>
    <d v="2023-11-29T00:00:00"/>
    <d v="2023-12-08T00:00:00"/>
    <s v="Erin Nelson"/>
    <x v="0"/>
    <s v="North"/>
    <s v="Technology"/>
    <s v="Laptops"/>
    <s v="Civil Laptops"/>
    <n v="1822.52"/>
    <n v="6"/>
    <n v="0.2"/>
    <n v="-144.02000000000001"/>
    <s v="Loss"/>
  </r>
  <r>
    <x v="502"/>
    <d v="2024-01-17T00:00:00"/>
    <d v="2024-01-24T00:00:00"/>
    <s v="Linda Gaines"/>
    <x v="0"/>
    <s v="East"/>
    <s v="Office Supplies"/>
    <s v="Binders"/>
    <s v="News Binders"/>
    <n v="2738.25"/>
    <n v="7"/>
    <n v="0"/>
    <n v="-21.44"/>
    <s v="Loss"/>
  </r>
  <r>
    <x v="503"/>
    <d v="2024-01-19T00:00:00"/>
    <d v="2024-01-24T00:00:00"/>
    <s v="Dustin Shaw"/>
    <x v="2"/>
    <s v="North"/>
    <s v="Technology"/>
    <s v="Accessories"/>
    <s v="Country Accessories"/>
    <n v="1131.3"/>
    <n v="10"/>
    <n v="0.2"/>
    <n v="69.2"/>
    <s v="Profit"/>
  </r>
  <r>
    <x v="504"/>
    <d v="2025-12-18T00:00:00"/>
    <d v="2025-12-24T00:00:00"/>
    <s v="Jessica Christian"/>
    <x v="0"/>
    <s v="East"/>
    <s v="Furniture"/>
    <s v="Bookcases"/>
    <s v="Civil Bookcases"/>
    <n v="2256.0500000000002"/>
    <n v="10"/>
    <n v="0.2"/>
    <n v="-148.66"/>
    <s v="Loss"/>
  </r>
  <r>
    <x v="505"/>
    <d v="2023-10-21T00:00:00"/>
    <d v="2023-10-28T00:00:00"/>
    <s v="Mary Stewart"/>
    <x v="1"/>
    <s v="West"/>
    <s v="Technology"/>
    <s v="Phones"/>
    <s v="Relate Phones"/>
    <n v="1320.12"/>
    <n v="5"/>
    <n v="0"/>
    <n v="397.67"/>
    <s v="Profit"/>
  </r>
  <r>
    <x v="506"/>
    <d v="2025-04-19T00:00:00"/>
    <d v="2025-04-24T00:00:00"/>
    <s v="Unknown"/>
    <x v="0"/>
    <s v="South"/>
    <s v="Technology"/>
    <s v="Phones"/>
    <s v="Mrs Phones"/>
    <n v="4496.49"/>
    <n v="4"/>
    <n v="0.1"/>
    <n v="371.6"/>
    <s v="Profit"/>
  </r>
  <r>
    <x v="507"/>
    <d v="2024-08-11T00:00:00"/>
    <d v="2024-08-12T00:00:00"/>
    <s v="James Hall"/>
    <x v="0"/>
    <s v="West"/>
    <s v="Office Supplies"/>
    <s v="Storage"/>
    <s v="Scientist Storage"/>
    <n v="3153.32"/>
    <n v="4"/>
    <n v="0.2"/>
    <n v="461.12"/>
    <s v="Profit"/>
  </r>
  <r>
    <x v="508"/>
    <d v="2023-09-26T00:00:00"/>
    <d v="2023-10-05T00:00:00"/>
    <s v="Stephanie Howard"/>
    <x v="0"/>
    <s v="South"/>
    <s v="Furniture"/>
    <s v="Chairs"/>
    <s v="Fight Chairs"/>
    <n v="4152.3100000000004"/>
    <n v="7"/>
    <n v="0.2"/>
    <n v="1034.82"/>
    <s v="Profit"/>
  </r>
  <r>
    <x v="509"/>
    <d v="2024-03-17T00:00:00"/>
    <d v="2024-03-23T00:00:00"/>
    <s v="Ian Martinez"/>
    <x v="1"/>
    <s v="North"/>
    <s v="Furniture"/>
    <s v="Tables"/>
    <s v="Grow Tables"/>
    <n v="237.54"/>
    <n v="2"/>
    <n v="0"/>
    <n v="-24.25"/>
    <s v="Loss"/>
  </r>
  <r>
    <x v="510"/>
    <d v="2024-01-06T00:00:00"/>
    <d v="2024-01-11T00:00:00"/>
    <s v="Ann Jones"/>
    <x v="1"/>
    <s v="North"/>
    <s v="Office Supplies"/>
    <s v="Binders"/>
    <s v="Hold Binders"/>
    <n v="2067.7800000000002"/>
    <n v="8"/>
    <n v="0.2"/>
    <n v="46.41"/>
    <s v="Profit"/>
  </r>
  <r>
    <x v="511"/>
    <d v="2026-03-06T00:00:00"/>
    <d v="2026-03-08T00:00:00"/>
    <s v="Dr. Colleen Nichols Dds"/>
    <x v="2"/>
    <s v="North"/>
    <s v="Technology"/>
    <s v="Laptops"/>
    <s v="Seven Laptops"/>
    <n v="2697.43"/>
    <n v="10"/>
    <n v="0"/>
    <n v="582.04999999999995"/>
    <s v="Profit"/>
  </r>
  <r>
    <x v="512"/>
    <s v="04-03-2026"/>
    <d v="2026-03-10T00:00:00"/>
    <s v="Brenda Brown"/>
    <x v="1"/>
    <s v="North"/>
    <s v="Office Supplies"/>
    <s v="Binders"/>
    <s v="Stage Binders"/>
    <n v="4643.84"/>
    <n v="2"/>
    <n v="0.1"/>
    <n v="1081.04"/>
    <s v="Profit"/>
  </r>
  <r>
    <x v="513"/>
    <d v="2025-10-20T00:00:00"/>
    <d v="2025-10-27T00:00:00"/>
    <s v="Tony Bentley"/>
    <x v="0"/>
    <s v="South"/>
    <s v="Technology"/>
    <s v="Accessories"/>
    <s v="Can Accessories"/>
    <n v="2005.81"/>
    <n v="1"/>
    <n v="0.15"/>
    <n v="-228.71"/>
    <s v="Loss"/>
  </r>
  <r>
    <x v="514"/>
    <d v="2026-03-26T00:00:00"/>
    <d v="2026-04-04T00:00:00"/>
    <s v="John Smith"/>
    <x v="2"/>
    <s v="East"/>
    <s v="Office Supplies"/>
    <s v="Paper"/>
    <s v="Write Paper"/>
    <n v="1510.14"/>
    <n v="3"/>
    <n v="0.1"/>
    <n v="260.51"/>
    <s v="Profit"/>
  </r>
  <r>
    <x v="515"/>
    <s v="05-02-2025"/>
    <d v="2025-02-14T00:00:00"/>
    <s v="Mandy Green"/>
    <x v="1"/>
    <s v="North"/>
    <s v="Furniture"/>
    <s v="Bookcases"/>
    <s v="Eat Bookcases"/>
    <n v="749.8"/>
    <n v="1"/>
    <n v="0"/>
    <n v="86.22"/>
    <s v="Profit"/>
  </r>
  <r>
    <x v="516"/>
    <d v="2026-05-17T00:00:00"/>
    <d v="2026-05-23T00:00:00"/>
    <s v="Karen Harrison"/>
    <x v="0"/>
    <s v="East"/>
    <s v="Technology"/>
    <s v="Phones"/>
    <s v="Process Phones"/>
    <n v="1098.0999999999999"/>
    <n v="9"/>
    <n v="0.05"/>
    <n v="-122.41"/>
    <s v="Loss"/>
  </r>
  <r>
    <x v="517"/>
    <d v="2025-09-20T00:00:00"/>
    <d v="2025-09-23T00:00:00"/>
    <s v="Jeffrey Edwards"/>
    <x v="2"/>
    <s v="West"/>
    <s v="Furniture"/>
    <s v="Chairs"/>
    <s v="Analysis Chairs"/>
    <n v="3371.34"/>
    <n v="10"/>
    <n v="0"/>
    <n v="904.41"/>
    <s v="Profit"/>
  </r>
  <r>
    <x v="518"/>
    <d v="2023-10-18T00:00:00"/>
    <d v="2023-10-20T00:00:00"/>
    <s v="Shelley Smith"/>
    <x v="2"/>
    <s v="West"/>
    <s v="Office Supplies"/>
    <s v="Storage"/>
    <s v="Age Storage"/>
    <n v="1488.73"/>
    <n v="2"/>
    <n v="0.1"/>
    <n v="-217.34"/>
    <s v="Loss"/>
  </r>
  <r>
    <x v="519"/>
    <d v="2025-04-02T00:00:00"/>
    <d v="2025-04-05T00:00:00"/>
    <s v="Stephen Fletcher"/>
    <x v="0"/>
    <s v="South"/>
    <s v="Technology"/>
    <s v="Accessories"/>
    <s v="Agent Accessories"/>
    <n v="3372.91"/>
    <n v="4"/>
    <n v="0"/>
    <n v="-145.62"/>
    <s v="Loss"/>
  </r>
  <r>
    <x v="520"/>
    <d v="2025-08-13T00:00:00"/>
    <d v="2025-08-21T00:00:00"/>
    <s v="Brenda Nelson"/>
    <x v="2"/>
    <s v="West"/>
    <s v="Technology"/>
    <s v="Accessories"/>
    <s v="Major Accessories"/>
    <n v="1675.31"/>
    <n v="5"/>
    <n v="0.2"/>
    <n v="203.2"/>
    <s v="Profit"/>
  </r>
  <r>
    <x v="521"/>
    <d v="2026-04-25T00:00:00"/>
    <d v="2026-04-28T00:00:00"/>
    <s v="Kathryn Holder"/>
    <x v="2"/>
    <s v="West"/>
    <s v="Technology"/>
    <s v="Accessories"/>
    <s v="Measure Accessories"/>
    <n v="73.92"/>
    <n v="4"/>
    <n v="0.05"/>
    <n v="14.17"/>
    <s v="Profit"/>
  </r>
  <r>
    <x v="522"/>
    <d v="2025-03-17T00:00:00"/>
    <d v="2025-03-20T00:00:00"/>
    <s v="Caroline Gardner"/>
    <x v="1"/>
    <s v="East"/>
    <s v="Technology"/>
    <s v="Accessories"/>
    <s v="Can Accessories"/>
    <n v="3413.92"/>
    <n v="6"/>
    <n v="0.15"/>
    <n v="186.29"/>
    <s v="Profit"/>
  </r>
  <r>
    <x v="523"/>
    <d v="2024-06-27T00:00:00"/>
    <d v="2024-06-29T00:00:00"/>
    <s v="Melissa Booth"/>
    <x v="0"/>
    <s v="South"/>
    <s v="Technology"/>
    <s v="Laptops"/>
    <s v="Physical Laptops"/>
    <n v="920.06"/>
    <n v="10"/>
    <n v="0"/>
    <n v="241.96"/>
    <s v="Profit"/>
  </r>
  <r>
    <x v="524"/>
    <d v="2024-12-07T00:00:00"/>
    <d v="2024-12-09T00:00:00"/>
    <s v="Megan Serrano"/>
    <x v="2"/>
    <s v="West"/>
    <s v="Technology"/>
    <s v="Laptops"/>
    <s v="Experience Laptops"/>
    <n v="3650.76"/>
    <n v="1"/>
    <n v="0.2"/>
    <n v="538.1"/>
    <s v="Profit"/>
  </r>
  <r>
    <x v="525"/>
    <d v="2024-04-19T00:00:00"/>
    <d v="2024-04-20T00:00:00"/>
    <s v="Steven Holloway"/>
    <x v="0"/>
    <s v="East"/>
    <s v="Office Supplies"/>
    <s v="Binders"/>
    <s v="Character Binders"/>
    <n v="2780.39"/>
    <n v="9"/>
    <n v="0.2"/>
    <n v="165.87"/>
    <s v="Profit"/>
  </r>
  <r>
    <x v="526"/>
    <d v="2025-02-14T00:00:00"/>
    <d v="2025-02-24T00:00:00"/>
    <s v="Angelica Taylor"/>
    <x v="2"/>
    <s v="North"/>
    <s v="Technology"/>
    <s v="Phones"/>
    <s v="Site Phones"/>
    <n v="3679.47"/>
    <n v="5"/>
    <n v="0.05"/>
    <n v="204.53"/>
    <s v="Profit"/>
  </r>
  <r>
    <x v="527"/>
    <d v="2024-01-05T00:00:00"/>
    <d v="2024-01-14T00:00:00"/>
    <s v="Robert Meyers"/>
    <x v="2"/>
    <s v="South"/>
    <s v="Technology"/>
    <s v="Accessories"/>
    <s v="Teach Accessories"/>
    <n v="102.43"/>
    <n v="4"/>
    <n v="0.2"/>
    <n v="18.059999999999999"/>
    <s v="Profit"/>
  </r>
  <r>
    <x v="528"/>
    <d v="2024-10-14T00:00:00"/>
    <d v="2024-10-17T00:00:00"/>
    <s v="Unknown"/>
    <x v="0"/>
    <s v="West"/>
    <s v="Technology"/>
    <s v="Phones"/>
    <s v="Evening Phones"/>
    <n v="2853.47"/>
    <n v="10"/>
    <n v="0.2"/>
    <n v="798.14"/>
    <s v="Profit"/>
  </r>
  <r>
    <x v="529"/>
    <d v="2026-01-09T00:00:00"/>
    <d v="2026-01-13T00:00:00"/>
    <s v="Jonathan Flores"/>
    <x v="0"/>
    <s v="North"/>
    <s v="Technology"/>
    <s v="Phones"/>
    <s v="Tonight Phones"/>
    <n v="3819.29"/>
    <n v="4"/>
    <n v="0"/>
    <n v="-208.55"/>
    <s v="Loss"/>
  </r>
  <r>
    <x v="530"/>
    <d v="2025-05-13T00:00:00"/>
    <d v="2025-05-22T00:00:00"/>
    <s v="Matthew Williams"/>
    <x v="1"/>
    <s v="North"/>
    <s v="Office Supplies"/>
    <s v="Binders"/>
    <s v="Everybody Binders"/>
    <n v="4543.24"/>
    <n v="6"/>
    <n v="0.15"/>
    <n v="264.97000000000003"/>
    <s v="Profit"/>
  </r>
  <r>
    <x v="531"/>
    <d v="2025-05-15T00:00:00"/>
    <d v="2025-05-21T00:00:00"/>
    <s v="Lindsay Gray"/>
    <x v="2"/>
    <s v="East"/>
    <s v="Furniture"/>
    <s v="Bookcases"/>
    <s v="Such Bookcases"/>
    <n v="560.96"/>
    <n v="9"/>
    <n v="0.2"/>
    <n v="143.78"/>
    <s v="Profit"/>
  </r>
  <r>
    <x v="532"/>
    <d v="2023-11-26T00:00:00"/>
    <d v="2023-12-06T00:00:00"/>
    <s v="Anna Wood"/>
    <x v="0"/>
    <s v="East"/>
    <s v="Office Supplies"/>
    <s v="Storage"/>
    <s v="Nothing Storage"/>
    <n v="910.56"/>
    <n v="7"/>
    <n v="0.1"/>
    <n v="112.2"/>
    <s v="Profit"/>
  </r>
  <r>
    <x v="533"/>
    <d v="2023-11-28T00:00:00"/>
    <d v="2023-12-07T00:00:00"/>
    <s v="Angela Mccoy"/>
    <x v="2"/>
    <s v="North"/>
    <s v="Technology"/>
    <s v="Phones"/>
    <s v="Like Phones"/>
    <n v="2058.92"/>
    <n v="6"/>
    <n v="0.15"/>
    <n v="485.83"/>
    <s v="Profit"/>
  </r>
  <r>
    <x v="534"/>
    <d v="2025-04-28T00:00:00"/>
    <d v="2025-05-06T00:00:00"/>
    <s v="Ashley Pittman"/>
    <x v="0"/>
    <s v="South"/>
    <s v="Office Supplies"/>
    <s v="Binders"/>
    <s v="Either Binders"/>
    <n v="869.75"/>
    <n v="2"/>
    <n v="0.2"/>
    <n v="133.87"/>
    <s v="Profit"/>
  </r>
  <r>
    <x v="535"/>
    <d v="2023-08-27T00:00:00"/>
    <d v="2023-09-02T00:00:00"/>
    <s v="Diana Martin"/>
    <x v="1"/>
    <s v="North"/>
    <s v="Furniture"/>
    <s v="Chairs"/>
    <s v="Understand Chairs"/>
    <n v="3030"/>
    <n v="2"/>
    <n v="0.2"/>
    <n v="-222.13"/>
    <s v="Loss"/>
  </r>
  <r>
    <x v="536"/>
    <d v="2025-09-20T00:00:00"/>
    <d v="2025-09-28T00:00:00"/>
    <s v="Roberto Vaughan"/>
    <x v="1"/>
    <s v="North"/>
    <s v="Technology"/>
    <s v="Laptops"/>
    <s v="Because Laptops"/>
    <n v="2421.15"/>
    <n v="10"/>
    <n v="0.05"/>
    <n v="377.68"/>
    <s v="Profit"/>
  </r>
  <r>
    <x v="537"/>
    <d v="2025-01-16T00:00:00"/>
    <d v="2025-01-19T00:00:00"/>
    <s v="Loretta Roberts"/>
    <x v="0"/>
    <s v="South"/>
    <s v="Furniture"/>
    <s v="Chairs"/>
    <s v="Here Chairs"/>
    <n v="2888.76"/>
    <n v="3"/>
    <n v="0.05"/>
    <n v="422.47"/>
    <s v="Profit"/>
  </r>
  <r>
    <x v="538"/>
    <d v="2023-12-18T00:00:00"/>
    <d v="2023-12-23T00:00:00"/>
    <s v="Casey Potts"/>
    <x v="2"/>
    <s v="North"/>
    <s v="Furniture"/>
    <s v="Chairs"/>
    <s v="Information Chairs"/>
    <n v="4616.1099999999997"/>
    <n v="9"/>
    <n v="0.15"/>
    <n v="598.46"/>
    <s v="Profit"/>
  </r>
  <r>
    <x v="539"/>
    <d v="2024-06-04T00:00:00"/>
    <d v="2024-06-09T00:00:00"/>
    <s v="Nichole Richardson"/>
    <x v="1"/>
    <s v="West"/>
    <s v="Office Supplies"/>
    <s v="Storage"/>
    <s v="His Storage"/>
    <n v="4738.91"/>
    <n v="4"/>
    <n v="0.15"/>
    <n v="633.07000000000005"/>
    <s v="Profit"/>
  </r>
  <r>
    <x v="540"/>
    <d v="2024-04-03T00:00:00"/>
    <d v="2024-04-10T00:00:00"/>
    <s v="David Cherry"/>
    <x v="2"/>
    <s v="East"/>
    <s v="Furniture"/>
    <s v="Chairs"/>
    <s v="Spring Chairs"/>
    <n v="3024.15"/>
    <n v="10"/>
    <n v="0.05"/>
    <n v="431.75"/>
    <s v="Profit"/>
  </r>
  <r>
    <x v="541"/>
    <d v="2023-12-06T00:00:00"/>
    <d v="2023-12-12T00:00:00"/>
    <s v="Ashley Roberts"/>
    <x v="1"/>
    <s v="West"/>
    <s v="Furniture"/>
    <s v="Bookcases"/>
    <s v="Economy Bookcases"/>
    <n v="4615.6400000000003"/>
    <n v="10"/>
    <n v="0.2"/>
    <n v="-748.36"/>
    <s v="Loss"/>
  </r>
  <r>
    <x v="542"/>
    <d v="2024-07-05T00:00:00"/>
    <d v="2024-07-06T00:00:00"/>
    <s v="Grace Black"/>
    <x v="0"/>
    <s v="North"/>
    <s v="Furniture"/>
    <s v="Chairs"/>
    <s v="Foot Chairs"/>
    <n v="1051.6300000000001"/>
    <n v="9"/>
    <n v="0.2"/>
    <n v="32.479999999999997"/>
    <s v="Profit"/>
  </r>
  <r>
    <x v="543"/>
    <d v="2023-09-30T00:00:00"/>
    <d v="2023-10-10T00:00:00"/>
    <s v="Ashley Warren"/>
    <x v="0"/>
    <s v="West"/>
    <s v="Furniture"/>
    <s v="Tables"/>
    <s v="Impact Tables"/>
    <n v="3019.08"/>
    <n v="9"/>
    <n v="0.2"/>
    <n v="645.51"/>
    <s v="Profit"/>
  </r>
  <r>
    <x v="544"/>
    <d v="2024-10-08T00:00:00"/>
    <d v="2024-10-18T00:00:00"/>
    <s v="Sarah Sloan"/>
    <x v="2"/>
    <s v="West"/>
    <s v="Office Supplies"/>
    <s v="Binders"/>
    <s v="Forget Binders"/>
    <n v="2719.47"/>
    <n v="1"/>
    <n v="0.2"/>
    <n v="427.17"/>
    <s v="Profit"/>
  </r>
  <r>
    <x v="545"/>
    <d v="2024-05-09T00:00:00"/>
    <d v="2024-05-18T00:00:00"/>
    <s v="Matthew Yang"/>
    <x v="2"/>
    <s v="North"/>
    <s v="Technology"/>
    <s v="Phones"/>
    <s v="Partner Phones"/>
    <n v="2173.33"/>
    <n v="8"/>
    <n v="0.15"/>
    <n v="-15.68"/>
    <s v="Loss"/>
  </r>
  <r>
    <x v="546"/>
    <d v="2024-10-30T00:00:00"/>
    <d v="2024-11-04T00:00:00"/>
    <s v="Kelly Moore"/>
    <x v="2"/>
    <s v="West"/>
    <s v="Technology"/>
    <s v="Phones"/>
    <s v="Material Phones"/>
    <n v="2411.85"/>
    <n v="4"/>
    <n v="0"/>
    <n v="-106.61"/>
    <s v="Loss"/>
  </r>
  <r>
    <x v="547"/>
    <d v="2024-11-26T00:00:00"/>
    <d v="2024-11-27T00:00:00"/>
    <s v="Jennifer Hudson"/>
    <x v="2"/>
    <s v="North"/>
    <s v="Technology"/>
    <s v="Phones"/>
    <s v="Plant Phones"/>
    <n v="3560.29"/>
    <n v="1"/>
    <n v="0.2"/>
    <n v="311.16000000000003"/>
    <s v="Profit"/>
  </r>
  <r>
    <x v="548"/>
    <d v="2024-01-12T00:00:00"/>
    <d v="2024-01-16T00:00:00"/>
    <s v="Erin Anderson"/>
    <x v="0"/>
    <s v="West"/>
    <s v="Technology"/>
    <s v="Laptops"/>
    <s v="Area Laptops"/>
    <n v="3454.45"/>
    <n v="6"/>
    <n v="0.15"/>
    <n v="-2.6"/>
    <s v="Loss"/>
  </r>
  <r>
    <x v="549"/>
    <d v="2023-11-05T00:00:00"/>
    <d v="2023-11-10T00:00:00"/>
    <s v="Angela Price"/>
    <x v="2"/>
    <s v="East"/>
    <s v="Office Supplies"/>
    <s v="Storage"/>
    <s v="Great Storage"/>
    <n v="1343.45"/>
    <n v="9"/>
    <n v="0.15"/>
    <n v="148.54"/>
    <s v="Profit"/>
  </r>
  <r>
    <x v="550"/>
    <d v="2025-08-27T00:00:00"/>
    <d v="2025-08-31T00:00:00"/>
    <s v="Brenda Ryan"/>
    <x v="2"/>
    <s v="West"/>
    <s v="Office Supplies"/>
    <s v="Paper"/>
    <s v="Produce Paper"/>
    <n v="2095.48"/>
    <n v="9"/>
    <n v="0.15"/>
    <n v="-213.12"/>
    <s v="Loss"/>
  </r>
  <r>
    <x v="551"/>
    <d v="2025-10-03T00:00:00"/>
    <d v="2025-10-13T00:00:00"/>
    <s v="Rebecca Christensen"/>
    <x v="2"/>
    <s v="North"/>
    <s v="Technology"/>
    <s v="Accessories"/>
    <s v="Situation Accessories"/>
    <n v="1754.56"/>
    <n v="7"/>
    <n v="0.2"/>
    <n v="-217.67"/>
    <s v="Loss"/>
  </r>
  <r>
    <x v="552"/>
    <d v="2024-06-14T00:00:00"/>
    <d v="2024-06-22T00:00:00"/>
    <s v="Amy Watson"/>
    <x v="1"/>
    <s v="East"/>
    <s v="Office Supplies"/>
    <s v="Binders"/>
    <s v="Above Binders"/>
    <n v="3926.39"/>
    <n v="3"/>
    <n v="0"/>
    <n v="-322.14999999999998"/>
    <s v="Loss"/>
  </r>
  <r>
    <x v="553"/>
    <d v="2025-07-22T00:00:00"/>
    <d v="2025-07-23T00:00:00"/>
    <s v="John Day"/>
    <x v="1"/>
    <s v="West"/>
    <s v="Office Supplies"/>
    <s v="Storage"/>
    <s v="Ball Storage"/>
    <n v="845.65"/>
    <n v="1"/>
    <n v="0"/>
    <n v="213.77"/>
    <s v="Profit"/>
  </r>
  <r>
    <x v="554"/>
    <d v="2025-07-28T00:00:00"/>
    <d v="2025-08-02T00:00:00"/>
    <s v="Gwendolyn Watson"/>
    <x v="1"/>
    <s v="West"/>
    <s v="Furniture"/>
    <s v="Chairs"/>
    <s v="Size Chairs"/>
    <n v="1147.76"/>
    <n v="2"/>
    <n v="0.2"/>
    <n v="-205.72"/>
    <s v="Loss"/>
  </r>
  <r>
    <x v="555"/>
    <d v="2025-02-04T00:00:00"/>
    <d v="2025-02-13T00:00:00"/>
    <s v="Don Pace"/>
    <x v="0"/>
    <s v="West"/>
    <s v="Office Supplies"/>
    <s v="Storage"/>
    <s v="Over Storage"/>
    <n v="1468.02"/>
    <n v="10"/>
    <n v="0"/>
    <n v="469.98"/>
    <s v="Profit"/>
  </r>
  <r>
    <x v="556"/>
    <d v="2026-01-04T00:00:00"/>
    <d v="2026-01-08T00:00:00"/>
    <s v="Monica Bennett"/>
    <x v="2"/>
    <s v="South"/>
    <s v="Technology"/>
    <s v="Phones"/>
    <s v="Condition Phones"/>
    <n v="4260.3100000000004"/>
    <n v="9"/>
    <n v="0.1"/>
    <n v="-395.74"/>
    <s v="Loss"/>
  </r>
  <r>
    <x v="557"/>
    <d v="2026-05-04T00:00:00"/>
    <d v="2026-05-05T00:00:00"/>
    <s v="Joseph Ramirez"/>
    <x v="1"/>
    <s v="West"/>
    <s v="Office Supplies"/>
    <s v="Binders"/>
    <s v="White Binders"/>
    <n v="1830.71"/>
    <n v="1"/>
    <n v="0.05"/>
    <n v="-278.7"/>
    <s v="Loss"/>
  </r>
  <r>
    <x v="558"/>
    <d v="2024-02-08T00:00:00"/>
    <d v="2024-02-15T00:00:00"/>
    <s v="Whitney Zimmerman"/>
    <x v="2"/>
    <s v="North"/>
    <s v="Technology"/>
    <s v="Laptops"/>
    <s v="Into Laptops"/>
    <n v="2056.98"/>
    <n v="4"/>
    <n v="0.2"/>
    <n v="-394.01"/>
    <s v="Loss"/>
  </r>
  <r>
    <x v="559"/>
    <d v="2023-10-02T00:00:00"/>
    <d v="2023-10-07T00:00:00"/>
    <s v="Thomas Nash"/>
    <x v="1"/>
    <s v="South"/>
    <s v="Furniture"/>
    <s v="Bookcases"/>
    <s v="Later Bookcases"/>
    <n v="3644.39"/>
    <n v="9"/>
    <n v="0.2"/>
    <n v="-31.15"/>
    <s v="Loss"/>
  </r>
  <r>
    <x v="560"/>
    <d v="2023-10-20T00:00:00"/>
    <d v="2023-10-28T00:00:00"/>
    <s v="Brenda Davis"/>
    <x v="1"/>
    <s v="North"/>
    <s v="Office Supplies"/>
    <s v="Binders"/>
    <s v="Street Binders"/>
    <n v="4652.08"/>
    <n v="10"/>
    <n v="0"/>
    <n v="-262.33"/>
    <s v="Loss"/>
  </r>
  <r>
    <x v="561"/>
    <d v="2025-08-12T00:00:00"/>
    <d v="2025-08-21T00:00:00"/>
    <s v="Logan Estrada"/>
    <x v="2"/>
    <s v="East"/>
    <s v="Office Supplies"/>
    <s v="Binders"/>
    <s v="Western Binders"/>
    <n v="1506.55"/>
    <n v="2"/>
    <n v="0.2"/>
    <n v="491.42"/>
    <s v="Profit"/>
  </r>
  <r>
    <x v="562"/>
    <d v="2024-10-03T00:00:00"/>
    <d v="2024-10-10T00:00:00"/>
    <s v="Brittany Sharp"/>
    <x v="1"/>
    <s v="West"/>
    <s v="Office Supplies"/>
    <s v="Paper"/>
    <s v="Democrat Paper"/>
    <n v="2837.68"/>
    <n v="4"/>
    <n v="0.1"/>
    <n v="932.69"/>
    <s v="Profit"/>
  </r>
  <r>
    <x v="563"/>
    <d v="2024-08-19T00:00:00"/>
    <d v="2024-08-27T00:00:00"/>
    <s v="Robert Livingston"/>
    <x v="0"/>
    <s v="South"/>
    <s v="Office Supplies"/>
    <s v="Binders"/>
    <s v="Between Binders"/>
    <n v="625.53"/>
    <n v="2"/>
    <n v="0.15"/>
    <n v="92.9"/>
    <s v="Profit"/>
  </r>
  <r>
    <x v="564"/>
    <d v="2025-08-23T00:00:00"/>
    <d v="2025-08-29T00:00:00"/>
    <s v="Tracy Johnson"/>
    <x v="0"/>
    <s v="East"/>
    <s v="Technology"/>
    <s v="Accessories"/>
    <s v="College Accessories"/>
    <n v="2606.6999999999998"/>
    <n v="1"/>
    <n v="0.2"/>
    <n v="671.74"/>
    <s v="Profit"/>
  </r>
  <r>
    <x v="565"/>
    <d v="2025-05-18T00:00:00"/>
    <d v="2025-05-24T00:00:00"/>
    <s v="James Richardson"/>
    <x v="0"/>
    <s v="East"/>
    <s v="Furniture"/>
    <s v="Tables"/>
    <s v="Toward Tables"/>
    <n v="426.34"/>
    <n v="3"/>
    <n v="0.15"/>
    <n v="-11.67"/>
    <s v="Loss"/>
  </r>
  <r>
    <x v="566"/>
    <d v="2025-11-15T00:00:00"/>
    <d v="2025-11-19T00:00:00"/>
    <s v="Eduardo Gomez"/>
    <x v="1"/>
    <s v="South"/>
    <s v="Furniture"/>
    <s v="Bookcases"/>
    <s v="Smile Bookcases"/>
    <n v="2520.0500000000002"/>
    <n v="4"/>
    <n v="0.05"/>
    <n v="515.30999999999995"/>
    <s v="Profit"/>
  </r>
  <r>
    <x v="567"/>
    <d v="2025-04-27T00:00:00"/>
    <d v="2025-05-01T00:00:00"/>
    <s v="Mr. Edward Lester"/>
    <x v="0"/>
    <s v="North"/>
    <s v="Furniture"/>
    <s v="Chairs"/>
    <s v="Machine Chairs"/>
    <n v="4189.8599999999997"/>
    <n v="6"/>
    <n v="0.05"/>
    <n v="957.03"/>
    <s v="Profit"/>
  </r>
  <r>
    <x v="568"/>
    <d v="2024-11-21T00:00:00"/>
    <d v="2024-11-29T00:00:00"/>
    <s v="Gregory Harding"/>
    <x v="1"/>
    <s v="East"/>
    <s v="Office Supplies"/>
    <s v="Storage"/>
    <s v="Party Storage"/>
    <n v="3088.44"/>
    <n v="9"/>
    <n v="0"/>
    <n v="822.78"/>
    <s v="Profit"/>
  </r>
  <r>
    <x v="569"/>
    <d v="2026-04-10T00:00:00"/>
    <d v="2026-04-15T00:00:00"/>
    <s v="Madeline Craig"/>
    <x v="2"/>
    <s v="South"/>
    <s v="Technology"/>
    <s v="Laptops"/>
    <s v="Better Laptops"/>
    <n v="2479.4899999999998"/>
    <n v="9"/>
    <n v="0.1"/>
    <n v="46.7"/>
    <s v="Profit"/>
  </r>
  <r>
    <x v="570"/>
    <d v="2023-07-19T00:00:00"/>
    <d v="2023-07-26T00:00:00"/>
    <s v="Kimberly Griffith"/>
    <x v="1"/>
    <s v="South"/>
    <s v="Furniture"/>
    <s v="Bookcases"/>
    <s v="During Bookcases"/>
    <n v="2417.6799999999998"/>
    <n v="9"/>
    <n v="0"/>
    <n v="184.62"/>
    <s v="Profit"/>
  </r>
  <r>
    <x v="571"/>
    <d v="2023-09-05T00:00:00"/>
    <d v="2023-09-14T00:00:00"/>
    <s v="Anthony Rose"/>
    <x v="1"/>
    <s v="North"/>
    <s v="Technology"/>
    <s v="Phones"/>
    <s v="Early Phones"/>
    <n v="2327.35"/>
    <n v="1"/>
    <n v="0"/>
    <n v="397.41"/>
    <s v="Profit"/>
  </r>
  <r>
    <x v="572"/>
    <d v="2024-07-03T00:00:00"/>
    <d v="2024-07-13T00:00:00"/>
    <s v="Kristina Salas"/>
    <x v="1"/>
    <s v="West"/>
    <s v="Technology"/>
    <s v="Accessories"/>
    <s v="Bad Accessories"/>
    <n v="4316.12"/>
    <n v="3"/>
    <n v="0.2"/>
    <n v="-239.26"/>
    <s v="Loss"/>
  </r>
  <r>
    <x v="573"/>
    <d v="2023-07-18T00:00:00"/>
    <d v="2023-07-24T00:00:00"/>
    <s v="Denise Romero"/>
    <x v="1"/>
    <s v="East"/>
    <s v="Office Supplies"/>
    <s v="Paper"/>
    <s v="Us Paper"/>
    <n v="960.37"/>
    <n v="7"/>
    <n v="0.05"/>
    <n v="29.29"/>
    <s v="Profit"/>
  </r>
  <r>
    <x v="574"/>
    <d v="2025-02-04T00:00:00"/>
    <d v="2025-02-12T00:00:00"/>
    <s v="Patricia Robinson"/>
    <x v="0"/>
    <s v="East"/>
    <s v="Technology"/>
    <s v="Accessories"/>
    <s v="All Accessories"/>
    <n v="940.45"/>
    <n v="3"/>
    <n v="0.2"/>
    <n v="166.75"/>
    <s v="Profit"/>
  </r>
  <r>
    <x v="575"/>
    <d v="2023-06-20T00:00:00"/>
    <d v="2023-06-27T00:00:00"/>
    <s v="Rachel Terry"/>
    <x v="2"/>
    <s v="South"/>
    <s v="Furniture"/>
    <s v="Bookcases"/>
    <s v="Institution Bookcases"/>
    <n v="4288.7299999999996"/>
    <n v="4"/>
    <n v="0.05"/>
    <n v="1029.3800000000001"/>
    <s v="Profit"/>
  </r>
  <r>
    <x v="576"/>
    <d v="2026-01-02T00:00:00"/>
    <d v="2026-01-05T00:00:00"/>
    <s v="Shawn Walker"/>
    <x v="2"/>
    <s v="East"/>
    <s v="Technology"/>
    <s v="Phones"/>
    <s v="Political Phones"/>
    <n v="2136.5300000000002"/>
    <n v="3"/>
    <n v="0.2"/>
    <n v="180.22"/>
    <s v="Profit"/>
  </r>
  <r>
    <x v="577"/>
    <d v="2025-09-26T00:00:00"/>
    <d v="2025-10-01T00:00:00"/>
    <s v="Samantha Macdonald"/>
    <x v="2"/>
    <s v="South"/>
    <s v="Technology"/>
    <s v="Accessories"/>
    <s v="Eat Accessories"/>
    <n v="2832.59"/>
    <n v="10"/>
    <n v="0"/>
    <n v="54.16"/>
    <s v="Profit"/>
  </r>
  <r>
    <x v="578"/>
    <d v="2024-11-08T00:00:00"/>
    <d v="2024-11-13T00:00:00"/>
    <s v="Leslie Gordon"/>
    <x v="1"/>
    <s v="East"/>
    <s v="Furniture"/>
    <s v="Chairs"/>
    <s v="Power Chairs"/>
    <n v="2408.87"/>
    <n v="2"/>
    <n v="0.15"/>
    <n v="504.72"/>
    <s v="Profit"/>
  </r>
  <r>
    <x v="579"/>
    <d v="2025-04-30T00:00:00"/>
    <d v="2025-05-09T00:00:00"/>
    <s v="Rachael Johnston"/>
    <x v="0"/>
    <s v="East"/>
    <s v="Technology"/>
    <s v="Laptops"/>
    <s v="Experience Laptops"/>
    <n v="4662.63"/>
    <n v="5"/>
    <n v="0.1"/>
    <n v="-881.66"/>
    <s v="Loss"/>
  </r>
  <r>
    <x v="580"/>
    <d v="2025-01-03T00:00:00"/>
    <d v="2025-01-07T00:00:00"/>
    <s v="Brandy Thomas"/>
    <x v="1"/>
    <s v="East"/>
    <s v="Office Supplies"/>
    <s v="Storage"/>
    <s v="Season Storage"/>
    <n v="2905.43"/>
    <n v="9"/>
    <n v="0.05"/>
    <n v="983.94"/>
    <s v="Profit"/>
  </r>
  <r>
    <x v="581"/>
    <s v="08-11-2023"/>
    <d v="2023-11-17T00:00:00"/>
    <s v="Daniel Bowman"/>
    <x v="1"/>
    <s v="West"/>
    <s v="Technology"/>
    <s v="Laptops"/>
    <s v="Career Laptops"/>
    <n v="2463.09"/>
    <n v="8"/>
    <n v="0"/>
    <n v="23.62"/>
    <s v="Profit"/>
  </r>
  <r>
    <x v="582"/>
    <d v="2025-01-05T00:00:00"/>
    <d v="2025-01-08T00:00:00"/>
    <s v="Andrew Bennett"/>
    <x v="2"/>
    <s v="West"/>
    <s v="Office Supplies"/>
    <s v="Binders"/>
    <s v="Manage Binders"/>
    <n v="3220.87"/>
    <n v="6"/>
    <n v="0.15"/>
    <n v="474.11"/>
    <s v="Profit"/>
  </r>
  <r>
    <x v="583"/>
    <d v="2024-10-06T00:00:00"/>
    <d v="2024-10-09T00:00:00"/>
    <s v="Brent Morris"/>
    <x v="2"/>
    <s v="East"/>
    <s v="Furniture"/>
    <s v="Chairs"/>
    <s v="Product Chairs"/>
    <n v="1750.95"/>
    <n v="6"/>
    <n v="0.1"/>
    <n v="278.68"/>
    <s v="Profit"/>
  </r>
  <r>
    <x v="584"/>
    <d v="2023-08-19T00:00:00"/>
    <d v="2023-08-26T00:00:00"/>
    <s v="Justin Pennington"/>
    <x v="2"/>
    <s v="West"/>
    <s v="Office Supplies"/>
    <s v="Storage"/>
    <s v="Difficult Storage"/>
    <n v="1392.68"/>
    <n v="8"/>
    <n v="0.1"/>
    <n v="294.33"/>
    <s v="Profit"/>
  </r>
  <r>
    <x v="585"/>
    <d v="2024-09-10T00:00:00"/>
    <d v="2024-09-13T00:00:00"/>
    <s v="Derek Dougherty"/>
    <x v="1"/>
    <s v="North"/>
    <s v="Technology"/>
    <s v="Phones"/>
    <s v="Past Phones"/>
    <n v="4278.3500000000004"/>
    <n v="3"/>
    <n v="0.2"/>
    <n v="-303.57"/>
    <s v="Loss"/>
  </r>
  <r>
    <x v="586"/>
    <d v="2023-09-04T00:00:00"/>
    <d v="2023-09-11T00:00:00"/>
    <s v="David Pace"/>
    <x v="0"/>
    <s v="West"/>
    <s v="Furniture"/>
    <s v="Chairs"/>
    <s v="Executive Chairs"/>
    <n v="559.9"/>
    <n v="2"/>
    <n v="0.15"/>
    <n v="56.91"/>
    <s v="Profit"/>
  </r>
  <r>
    <x v="587"/>
    <d v="2026-03-06T00:00:00"/>
    <d v="2026-03-08T00:00:00"/>
    <s v="Gina Kent"/>
    <x v="1"/>
    <s v="East"/>
    <s v="Office Supplies"/>
    <s v="Binders"/>
    <s v="Second Binders"/>
    <n v="1349.14"/>
    <n v="3"/>
    <n v="0"/>
    <n v="216.08"/>
    <s v="Profit"/>
  </r>
  <r>
    <x v="588"/>
    <d v="2025-01-19T00:00:00"/>
    <d v="2025-01-24T00:00:00"/>
    <s v="Kelly Wilson"/>
    <x v="0"/>
    <s v="North"/>
    <s v="Furniture"/>
    <s v="Chairs"/>
    <s v="Sort Chairs"/>
    <n v="2243.64"/>
    <n v="3"/>
    <n v="0.05"/>
    <n v="201.27"/>
    <s v="Profit"/>
  </r>
  <r>
    <x v="589"/>
    <d v="2023-05-28T00:00:00"/>
    <d v="2023-06-03T00:00:00"/>
    <s v="Jeremy Norris"/>
    <x v="2"/>
    <s v="East"/>
    <s v="Furniture"/>
    <s v="Bookcases"/>
    <s v="Explain Bookcases"/>
    <n v="4308.83"/>
    <n v="6"/>
    <n v="0.15"/>
    <n v="245.42"/>
    <s v="Profit"/>
  </r>
  <r>
    <x v="590"/>
    <d v="2024-02-14T00:00:00"/>
    <d v="2024-02-17T00:00:00"/>
    <s v="Lisa Nguyen"/>
    <x v="1"/>
    <s v="West"/>
    <s v="Office Supplies"/>
    <s v="Paper"/>
    <s v="Heavy Paper"/>
    <n v="4849.2299999999996"/>
    <n v="9"/>
    <n v="0.05"/>
    <n v="605.95000000000005"/>
    <s v="Profit"/>
  </r>
  <r>
    <x v="591"/>
    <d v="2025-07-20T00:00:00"/>
    <d v="2025-07-29T00:00:00"/>
    <s v="Angela Rivas Dvm"/>
    <x v="0"/>
    <s v="West"/>
    <s v="Office Supplies"/>
    <s v="Storage"/>
    <s v="Not Storage"/>
    <n v="1582.82"/>
    <n v="6"/>
    <n v="0.15"/>
    <n v="153.24"/>
    <s v="Profit"/>
  </r>
  <r>
    <x v="592"/>
    <d v="2026-01-17T00:00:00"/>
    <d v="2026-01-24T00:00:00"/>
    <s v="Alexander Patterson"/>
    <x v="0"/>
    <s v="East"/>
    <s v="Technology"/>
    <s v="Accessories"/>
    <s v="Thank Accessories"/>
    <n v="1336.04"/>
    <n v="5"/>
    <n v="0"/>
    <n v="-267.14"/>
    <s v="Loss"/>
  </r>
  <r>
    <x v="593"/>
    <d v="2025-05-17T00:00:00"/>
    <d v="2025-05-26T00:00:00"/>
    <s v="Emily Davis"/>
    <x v="1"/>
    <s v="East"/>
    <s v="Technology"/>
    <s v="Accessories"/>
    <s v="Head Accessories"/>
    <n v="91.17"/>
    <n v="8"/>
    <n v="0.15"/>
    <n v="-3.21"/>
    <s v="Loss"/>
  </r>
  <r>
    <x v="594"/>
    <d v="2023-06-10T00:00:00"/>
    <d v="2023-06-11T00:00:00"/>
    <s v="Felicia Jones"/>
    <x v="1"/>
    <s v="West"/>
    <s v="Office Supplies"/>
    <s v="Binders"/>
    <s v="Quite Binders"/>
    <n v="2763.65"/>
    <n v="4"/>
    <n v="0.15"/>
    <n v="788.16"/>
    <s v="Profit"/>
  </r>
  <r>
    <x v="595"/>
    <d v="2023-07-06T00:00:00"/>
    <d v="2023-07-13T00:00:00"/>
    <s v="Robert Davis"/>
    <x v="2"/>
    <s v="South"/>
    <s v="Furniture"/>
    <s v="Chairs"/>
    <s v="Turn Chairs"/>
    <n v="4150.71"/>
    <n v="4"/>
    <n v="0.1"/>
    <n v="-649.30999999999995"/>
    <s v="Loss"/>
  </r>
  <r>
    <x v="596"/>
    <d v="2024-03-24T00:00:00"/>
    <d v="2024-03-29T00:00:00"/>
    <s v="Jose Johnson"/>
    <x v="0"/>
    <s v="South"/>
    <s v="Office Supplies"/>
    <s v="Storage"/>
    <s v="True Storage"/>
    <n v="1459.15"/>
    <n v="9"/>
    <n v="0.1"/>
    <n v="39.54"/>
    <s v="Profit"/>
  </r>
  <r>
    <x v="597"/>
    <d v="2026-02-08T00:00:00"/>
    <d v="2026-02-10T00:00:00"/>
    <s v="Tony Conrad"/>
    <x v="2"/>
    <s v="West"/>
    <s v="Furniture"/>
    <s v="Tables"/>
    <s v="Of Tables"/>
    <n v="3202.62"/>
    <n v="10"/>
    <n v="0.15"/>
    <n v="-161.18"/>
    <s v="Loss"/>
  </r>
  <r>
    <x v="598"/>
    <d v="2023-09-05T00:00:00"/>
    <d v="2023-09-06T00:00:00"/>
    <s v="Raymond Jenkins"/>
    <x v="0"/>
    <s v="East"/>
    <s v="Furniture"/>
    <s v="Tables"/>
    <s v="Above Tables"/>
    <n v="803.14"/>
    <n v="9"/>
    <n v="0"/>
    <n v="-78.489999999999995"/>
    <s v="Loss"/>
  </r>
  <r>
    <x v="599"/>
    <d v="2026-02-17T00:00:00"/>
    <d v="2026-02-25T00:00:00"/>
    <s v="Penny Cobb"/>
    <x v="1"/>
    <s v="South"/>
    <s v="Technology"/>
    <s v="Phones"/>
    <s v="Yes Phones"/>
    <n v="3649.18"/>
    <n v="4"/>
    <n v="0"/>
    <n v="-427.41"/>
    <s v="Loss"/>
  </r>
  <r>
    <x v="600"/>
    <d v="2023-09-26T00:00:00"/>
    <d v="2023-10-01T00:00:00"/>
    <s v="Andrea Sandoval"/>
    <x v="0"/>
    <s v="East"/>
    <s v="Technology"/>
    <s v="Accessories"/>
    <s v="Rock Accessories"/>
    <n v="3939.34"/>
    <n v="8"/>
    <n v="0.1"/>
    <n v="216.77"/>
    <s v="Profit"/>
  </r>
  <r>
    <x v="601"/>
    <d v="2025-09-11T00:00:00"/>
    <d v="2025-09-12T00:00:00"/>
    <s v="Cindy Rogers"/>
    <x v="0"/>
    <s v="South"/>
    <s v="Furniture"/>
    <s v="Chairs"/>
    <s v="Law Chairs"/>
    <n v="1369.19"/>
    <n v="7"/>
    <n v="0"/>
    <n v="135.22"/>
    <s v="Profit"/>
  </r>
  <r>
    <x v="602"/>
    <d v="2023-06-02T00:00:00"/>
    <d v="2023-06-03T00:00:00"/>
    <s v="Tina Santos"/>
    <x v="1"/>
    <s v="South"/>
    <s v="Technology"/>
    <s v="Accessories"/>
    <s v="Consumer Accessories"/>
    <n v="653.71"/>
    <n v="4"/>
    <n v="0.15"/>
    <n v="146.54"/>
    <s v="Profit"/>
  </r>
  <r>
    <x v="603"/>
    <d v="2025-08-13T00:00:00"/>
    <d v="2025-08-17T00:00:00"/>
    <s v="Trevor Hubbard"/>
    <x v="0"/>
    <s v="West"/>
    <s v="Office Supplies"/>
    <s v="Binders"/>
    <s v="News Binders"/>
    <n v="2331.13"/>
    <n v="2"/>
    <n v="0.2"/>
    <n v="387.68"/>
    <s v="Profit"/>
  </r>
  <r>
    <x v="604"/>
    <d v="2025-06-05T00:00:00"/>
    <d v="2025-06-10T00:00:00"/>
    <s v="Richard White"/>
    <x v="2"/>
    <s v="North"/>
    <s v="Technology"/>
    <s v="Laptops"/>
    <s v="Require Laptops"/>
    <n v="4684.2700000000004"/>
    <n v="3"/>
    <n v="0.2"/>
    <n v="939.34"/>
    <s v="Profit"/>
  </r>
  <r>
    <x v="605"/>
    <d v="2024-08-08T00:00:00"/>
    <d v="2024-08-13T00:00:00"/>
    <s v="John Roy"/>
    <x v="0"/>
    <s v="South"/>
    <s v="Technology"/>
    <s v="Accessories"/>
    <s v="Entire Accessories"/>
    <n v="1033.68"/>
    <n v="1"/>
    <n v="0.2"/>
    <n v="-82.92"/>
    <s v="Loss"/>
  </r>
  <r>
    <x v="606"/>
    <d v="2025-03-09T00:00:00"/>
    <d v="2025-03-15T00:00:00"/>
    <s v="Megan Collins"/>
    <x v="0"/>
    <s v="North"/>
    <s v="Office Supplies"/>
    <s v="Paper"/>
    <s v="Word Paper"/>
    <n v="124.59"/>
    <n v="5"/>
    <n v="0.2"/>
    <n v="-16.72"/>
    <s v="Loss"/>
  </r>
  <r>
    <x v="607"/>
    <d v="2026-02-28T00:00:00"/>
    <d v="2026-03-08T00:00:00"/>
    <s v="Robert Cummings"/>
    <x v="0"/>
    <s v="South"/>
    <s v="Furniture"/>
    <s v="Bookcases"/>
    <s v="Tend Bookcases"/>
    <n v="3457.61"/>
    <n v="3"/>
    <n v="0.1"/>
    <n v="774.29"/>
    <s v="Profit"/>
  </r>
  <r>
    <x v="608"/>
    <d v="2025-09-23T00:00:00"/>
    <d v="2025-10-03T00:00:00"/>
    <s v="Carlos Estrada"/>
    <x v="0"/>
    <s v="North"/>
    <s v="Technology"/>
    <s v="Phones"/>
    <s v="Quite Phones"/>
    <n v="1725.19"/>
    <n v="1"/>
    <n v="0"/>
    <n v="-7.7"/>
    <s v="Loss"/>
  </r>
  <r>
    <x v="609"/>
    <d v="2024-09-02T00:00:00"/>
    <d v="2024-09-06T00:00:00"/>
    <s v="Jennifer Peterson"/>
    <x v="1"/>
    <s v="South"/>
    <s v="Furniture"/>
    <s v="Tables"/>
    <s v="Choose Tables"/>
    <n v="1617.86"/>
    <n v="9"/>
    <n v="0.2"/>
    <n v="349.75"/>
    <s v="Profit"/>
  </r>
  <r>
    <x v="610"/>
    <d v="2025-01-29T00:00:00"/>
    <d v="2025-02-05T00:00:00"/>
    <s v="Louis Foster"/>
    <x v="1"/>
    <s v="West"/>
    <s v="Furniture"/>
    <s v="Bookcases"/>
    <s v="Tree Bookcases"/>
    <n v="1822.93"/>
    <n v="3"/>
    <n v="0.1"/>
    <n v="536.41999999999996"/>
    <s v="Profit"/>
  </r>
  <r>
    <x v="611"/>
    <d v="2024-07-09T00:00:00"/>
    <d v="2024-07-18T00:00:00"/>
    <s v="Matthew Allen"/>
    <x v="1"/>
    <s v="East"/>
    <s v="Office Supplies"/>
    <s v="Paper"/>
    <s v="Begin Paper"/>
    <n v="3500.34"/>
    <n v="4"/>
    <n v="0.2"/>
    <n v="-340.78"/>
    <s v="Loss"/>
  </r>
  <r>
    <x v="612"/>
    <s v="24-06-2025"/>
    <d v="2025-06-29T00:00:00"/>
    <s v="Jeffrey Smith"/>
    <x v="2"/>
    <s v="South"/>
    <s v="Office Supplies"/>
    <s v="Paper"/>
    <s v="Risk Paper"/>
    <n v="4344.93"/>
    <n v="10"/>
    <n v="0.2"/>
    <n v="-485.81"/>
    <s v="Loss"/>
  </r>
  <r>
    <x v="613"/>
    <d v="2023-10-02T00:00:00"/>
    <d v="2023-10-07T00:00:00"/>
    <s v="Mr. Michael Blake"/>
    <x v="2"/>
    <s v="West"/>
    <s v="Technology"/>
    <s v="Accessories"/>
    <s v="Focus Accessories"/>
    <n v="2730.95"/>
    <n v="8"/>
    <n v="0"/>
    <n v="619.26"/>
    <s v="Profit"/>
  </r>
  <r>
    <x v="614"/>
    <d v="2025-02-01T00:00:00"/>
    <d v="2025-02-02T00:00:00"/>
    <s v="Julia Jones"/>
    <x v="2"/>
    <s v="North"/>
    <s v="Office Supplies"/>
    <s v="Binders"/>
    <s v="Phone Binders"/>
    <n v="3117.69"/>
    <n v="6"/>
    <n v="0.2"/>
    <n v="-214.08"/>
    <s v="Loss"/>
  </r>
  <r>
    <x v="615"/>
    <d v="2024-09-16T00:00:00"/>
    <d v="2024-09-23T00:00:00"/>
    <s v="Cynthia Roberts"/>
    <x v="1"/>
    <s v="East"/>
    <s v="Office Supplies"/>
    <s v="Storage"/>
    <s v="Argue Storage"/>
    <n v="989.85"/>
    <n v="8"/>
    <n v="0.2"/>
    <n v="-114.06"/>
    <s v="Loss"/>
  </r>
  <r>
    <x v="616"/>
    <d v="2023-11-24T00:00:00"/>
    <d v="2023-11-30T00:00:00"/>
    <s v="Andrew Schneider"/>
    <x v="0"/>
    <s v="South"/>
    <s v="Technology"/>
    <s v="Laptops"/>
    <s v="When Laptops"/>
    <n v="596.79999999999995"/>
    <n v="9"/>
    <n v="0.2"/>
    <n v="-97.47"/>
    <s v="Loss"/>
  </r>
  <r>
    <x v="617"/>
    <s v="01-12-2025"/>
    <d v="2025-12-03T00:00:00"/>
    <s v="Jennifer Jacobs"/>
    <x v="1"/>
    <s v="West"/>
    <s v="Furniture"/>
    <s v="Chairs"/>
    <s v="Buy Chairs"/>
    <n v="2452.58"/>
    <n v="2"/>
    <n v="0"/>
    <n v="279.73"/>
    <s v="Profit"/>
  </r>
  <r>
    <x v="618"/>
    <d v="2023-07-16T00:00:00"/>
    <d v="2023-07-26T00:00:00"/>
    <s v="Derek Alvarado"/>
    <x v="0"/>
    <s v="North"/>
    <s v="Office Supplies"/>
    <s v="Storage"/>
    <s v="Anything Storage"/>
    <n v="1316.9"/>
    <n v="6"/>
    <n v="0.05"/>
    <n v="175.51"/>
    <s v="Profit"/>
  </r>
  <r>
    <x v="619"/>
    <d v="2023-12-01T00:00:00"/>
    <d v="2023-12-09T00:00:00"/>
    <s v="Pamela Taylor"/>
    <x v="0"/>
    <s v="East"/>
    <s v="Furniture"/>
    <s v="Bookcases"/>
    <s v="Outside Bookcases"/>
    <n v="4645.6000000000004"/>
    <n v="2"/>
    <n v="0.15"/>
    <n v="1117.55"/>
    <s v="Profit"/>
  </r>
  <r>
    <x v="620"/>
    <d v="2024-08-22T00:00:00"/>
    <d v="2024-08-29T00:00:00"/>
    <s v="Kristina Kennedy"/>
    <x v="0"/>
    <s v="North"/>
    <s v="Office Supplies"/>
    <s v="Storage"/>
    <s v="Minute Storage"/>
    <n v="4119.03"/>
    <n v="1"/>
    <n v="0.2"/>
    <n v="-221.61"/>
    <s v="Loss"/>
  </r>
  <r>
    <x v="621"/>
    <d v="2023-08-30T00:00:00"/>
    <d v="2023-09-03T00:00:00"/>
    <s v="Jillian Lawrence"/>
    <x v="2"/>
    <s v="West"/>
    <s v="Technology"/>
    <s v="Phones"/>
    <s v="Couple Phones"/>
    <n v="4804.8999999999996"/>
    <n v="2"/>
    <n v="0"/>
    <n v="955.43"/>
    <s v="Profit"/>
  </r>
  <r>
    <x v="622"/>
    <d v="2023-11-27T00:00:00"/>
    <d v="2023-12-06T00:00:00"/>
    <s v="Daniel Campbell"/>
    <x v="2"/>
    <s v="West"/>
    <s v="Furniture"/>
    <s v="Chairs"/>
    <s v="Carry Chairs"/>
    <n v="3301.54"/>
    <n v="10"/>
    <n v="0.2"/>
    <n v="1060.21"/>
    <s v="Profit"/>
  </r>
  <r>
    <x v="623"/>
    <d v="2026-05-12T00:00:00"/>
    <d v="2026-05-22T00:00:00"/>
    <s v="Andre Fox"/>
    <x v="0"/>
    <s v="South"/>
    <s v="Office Supplies"/>
    <s v="Binders"/>
    <s v="Source Binders"/>
    <n v="1821.92"/>
    <n v="8"/>
    <n v="0.2"/>
    <n v="302.23"/>
    <s v="Profit"/>
  </r>
  <r>
    <x v="624"/>
    <d v="2025-04-18T00:00:00"/>
    <d v="2025-04-25T00:00:00"/>
    <s v="Debra Peterson"/>
    <x v="1"/>
    <s v="East"/>
    <s v="Furniture"/>
    <s v="Bookcases"/>
    <s v="Space Bookcases"/>
    <n v="2548.23"/>
    <n v="3"/>
    <n v="0.2"/>
    <n v="889.69"/>
    <s v="Profit"/>
  </r>
  <r>
    <x v="625"/>
    <d v="2026-02-28T00:00:00"/>
    <d v="2026-03-06T00:00:00"/>
    <s v="Allison Hess"/>
    <x v="2"/>
    <s v="East"/>
    <s v="Technology"/>
    <s v="Laptops"/>
    <s v="Hit Laptops"/>
    <n v="4232.03"/>
    <n v="7"/>
    <n v="0.2"/>
    <n v="155.84"/>
    <s v="Profit"/>
  </r>
  <r>
    <x v="626"/>
    <d v="2026-05-03T00:00:00"/>
    <d v="2026-05-13T00:00:00"/>
    <s v="Johnny Flores"/>
    <x v="1"/>
    <s v="East"/>
    <s v="Office Supplies"/>
    <s v="Binders"/>
    <s v="High Binders"/>
    <n v="2750.85"/>
    <n v="7"/>
    <n v="0.2"/>
    <n v="851.06"/>
    <s v="Profit"/>
  </r>
  <r>
    <x v="627"/>
    <d v="2025-11-22T00:00:00"/>
    <d v="2025-11-29T00:00:00"/>
    <s v="Jason Gregory"/>
    <x v="2"/>
    <s v="South"/>
    <s v="Technology"/>
    <s v="Accessories"/>
    <s v="Left Accessories"/>
    <n v="50.97"/>
    <n v="1"/>
    <n v="0.1"/>
    <n v="6.51"/>
    <s v="Profit"/>
  </r>
  <r>
    <x v="628"/>
    <d v="2023-12-06T00:00:00"/>
    <d v="2023-12-11T00:00:00"/>
    <s v="Douglas Anderson"/>
    <x v="2"/>
    <s v="East"/>
    <s v="Technology"/>
    <s v="Phones"/>
    <s v="Real Phones"/>
    <n v="4922.75"/>
    <n v="4"/>
    <n v="0.1"/>
    <n v="-925.79"/>
    <s v="Loss"/>
  </r>
  <r>
    <x v="629"/>
    <d v="2026-04-05T00:00:00"/>
    <d v="2026-04-14T00:00:00"/>
    <s v="Antonio Vargas"/>
    <x v="1"/>
    <s v="East"/>
    <s v="Office Supplies"/>
    <s v="Storage"/>
    <s v="Individual Storage"/>
    <n v="2874.81"/>
    <n v="10"/>
    <n v="0.05"/>
    <n v="-425.88"/>
    <s v="Loss"/>
  </r>
  <r>
    <x v="630"/>
    <d v="2025-10-13T00:00:00"/>
    <d v="2025-10-18T00:00:00"/>
    <s v="Michael Martin"/>
    <x v="1"/>
    <s v="North"/>
    <s v="Furniture"/>
    <s v="Chairs"/>
    <s v="Son Chairs"/>
    <n v="1867.06"/>
    <n v="10"/>
    <n v="0.05"/>
    <n v="-134.15"/>
    <s v="Loss"/>
  </r>
  <r>
    <x v="631"/>
    <d v="2024-08-14T00:00:00"/>
    <d v="2024-08-24T00:00:00"/>
    <s v="Paul Chavez"/>
    <x v="1"/>
    <s v="South"/>
    <s v="Office Supplies"/>
    <s v="Paper"/>
    <s v="Operation Paper"/>
    <n v="4593.51"/>
    <n v="2"/>
    <n v="0.2"/>
    <n v="-98.39"/>
    <s v="Loss"/>
  </r>
  <r>
    <x v="632"/>
    <d v="2025-05-14T00:00:00"/>
    <d v="2025-05-24T00:00:00"/>
    <s v="Adam Coleman"/>
    <x v="0"/>
    <s v="West"/>
    <s v="Technology"/>
    <s v="Laptops"/>
    <s v="Forward Laptops"/>
    <n v="4106.6000000000004"/>
    <n v="2"/>
    <n v="0.2"/>
    <n v="629.29999999999995"/>
    <s v="Profit"/>
  </r>
  <r>
    <x v="633"/>
    <d v="2023-11-27T00:00:00"/>
    <d v="2023-12-03T00:00:00"/>
    <s v="Keith Pham"/>
    <x v="0"/>
    <s v="South"/>
    <s v="Furniture"/>
    <s v="Chairs"/>
    <s v="Contain Chairs"/>
    <n v="1772.25"/>
    <n v="7"/>
    <n v="0.15"/>
    <n v="552.29999999999995"/>
    <s v="Profit"/>
  </r>
  <r>
    <x v="634"/>
    <d v="2024-06-09T00:00:00"/>
    <d v="2024-06-19T00:00:00"/>
    <s v="Eduardo West"/>
    <x v="0"/>
    <s v="East"/>
    <s v="Office Supplies"/>
    <s v="Storage"/>
    <s v="Simply Storage"/>
    <n v="4646.83"/>
    <n v="7"/>
    <n v="0"/>
    <n v="-150.41"/>
    <s v="Loss"/>
  </r>
  <r>
    <x v="635"/>
    <d v="2024-12-21T00:00:00"/>
    <d v="2024-12-24T00:00:00"/>
    <s v="Steven Levy"/>
    <x v="2"/>
    <s v="West"/>
    <s v="Office Supplies"/>
    <s v="Storage"/>
    <s v="Hope Storage"/>
    <n v="1667.82"/>
    <n v="4"/>
    <n v="0.05"/>
    <n v="-287.22000000000003"/>
    <s v="Loss"/>
  </r>
  <r>
    <x v="636"/>
    <d v="2024-06-09T00:00:00"/>
    <d v="2024-06-19T00:00:00"/>
    <s v="Dean Alvarez"/>
    <x v="1"/>
    <s v="South"/>
    <s v="Technology"/>
    <s v="Laptops"/>
    <s v="Concern Laptops"/>
    <n v="2548.41"/>
    <n v="4"/>
    <n v="0.15"/>
    <n v="-103.51"/>
    <s v="Loss"/>
  </r>
  <r>
    <x v="637"/>
    <d v="2024-12-15T00:00:00"/>
    <d v="2024-12-17T00:00:00"/>
    <s v="Michael Martin"/>
    <x v="0"/>
    <s v="West"/>
    <s v="Furniture"/>
    <s v="Tables"/>
    <s v="We Tables"/>
    <n v="2405.48"/>
    <n v="1"/>
    <n v="0.2"/>
    <n v="47.04"/>
    <s v="Profit"/>
  </r>
  <r>
    <x v="638"/>
    <d v="2023-08-30T00:00:00"/>
    <d v="2023-09-02T00:00:00"/>
    <s v="Kayla Cook"/>
    <x v="1"/>
    <s v="South"/>
    <s v="Office Supplies"/>
    <s v="Paper"/>
    <s v="Throw Paper"/>
    <n v="3822.06"/>
    <n v="8"/>
    <n v="0.2"/>
    <n v="-347.96"/>
    <s v="Loss"/>
  </r>
  <r>
    <x v="639"/>
    <d v="2023-06-22T00:00:00"/>
    <d v="2023-07-01T00:00:00"/>
    <s v="Sarah Walker"/>
    <x v="1"/>
    <s v="North"/>
    <s v="Office Supplies"/>
    <s v="Storage"/>
    <s v="Different Storage"/>
    <n v="1268.92"/>
    <n v="2"/>
    <n v="0.1"/>
    <n v="288.33"/>
    <s v="Profit"/>
  </r>
  <r>
    <x v="640"/>
    <d v="2025-12-18T00:00:00"/>
    <d v="2025-12-25T00:00:00"/>
    <s v="Jason Velasquez"/>
    <x v="2"/>
    <s v="North"/>
    <s v="Furniture"/>
    <s v="Bookcases"/>
    <s v="Record Bookcases"/>
    <n v="2146.5300000000002"/>
    <n v="6"/>
    <n v="0.05"/>
    <n v="-50.65"/>
    <s v="Loss"/>
  </r>
  <r>
    <x v="641"/>
    <d v="2026-01-09T00:00:00"/>
    <d v="2026-01-15T00:00:00"/>
    <s v="Rebecca Ray"/>
    <x v="0"/>
    <s v="South"/>
    <s v="Technology"/>
    <s v="Phones"/>
    <s v="Themselves Phones"/>
    <n v="3100.29"/>
    <n v="8"/>
    <n v="0.2"/>
    <n v="-371.41"/>
    <s v="Loss"/>
  </r>
  <r>
    <x v="642"/>
    <d v="2023-07-27T00:00:00"/>
    <d v="2023-08-02T00:00:00"/>
    <s v="Jason Williams"/>
    <x v="2"/>
    <s v="South"/>
    <s v="Furniture"/>
    <s v="Bookcases"/>
    <s v="Such Bookcases"/>
    <n v="822.16"/>
    <n v="2"/>
    <n v="0"/>
    <n v="170"/>
    <s v="Profit"/>
  </r>
  <r>
    <x v="643"/>
    <d v="2024-03-18T00:00:00"/>
    <d v="2024-03-24T00:00:00"/>
    <s v="Lucas Kelley"/>
    <x v="0"/>
    <s v="East"/>
    <s v="Technology"/>
    <s v="Phones"/>
    <s v="Organization Phones"/>
    <n v="3484.29"/>
    <n v="2"/>
    <n v="0.1"/>
    <n v="165.62"/>
    <s v="Profit"/>
  </r>
  <r>
    <x v="644"/>
    <d v="2024-12-18T00:00:00"/>
    <d v="2024-12-27T00:00:00"/>
    <s v="Melissa White"/>
    <x v="2"/>
    <s v="West"/>
    <s v="Furniture"/>
    <s v="Bookcases"/>
    <s v="Either Bookcases"/>
    <n v="1098.78"/>
    <n v="9"/>
    <n v="0.2"/>
    <n v="233.71"/>
    <s v="Profit"/>
  </r>
  <r>
    <x v="645"/>
    <s v="10-01-2025"/>
    <d v="2025-01-13T00:00:00"/>
    <s v="Shawn Sloan"/>
    <x v="2"/>
    <s v="North"/>
    <s v="Office Supplies"/>
    <s v="Storage"/>
    <s v="Provide Storage"/>
    <n v="3490.6"/>
    <n v="1"/>
    <n v="0.15"/>
    <n v="421.15"/>
    <s v="Profit"/>
  </r>
  <r>
    <x v="646"/>
    <d v="2024-01-17T00:00:00"/>
    <d v="2024-01-18T00:00:00"/>
    <s v="Douglas Perez"/>
    <x v="2"/>
    <s v="North"/>
    <s v="Technology"/>
    <s v="Phones"/>
    <s v="Lead Phones"/>
    <n v="1455.87"/>
    <n v="10"/>
    <n v="0.1"/>
    <n v="-248.67"/>
    <s v="Loss"/>
  </r>
  <r>
    <x v="647"/>
    <d v="2026-05-02T00:00:00"/>
    <d v="2026-05-07T00:00:00"/>
    <s v="Amanda Carrillo"/>
    <x v="2"/>
    <s v="West"/>
    <s v="Furniture"/>
    <s v="Tables"/>
    <s v="Music Tables"/>
    <n v="3331.76"/>
    <n v="6"/>
    <n v="0"/>
    <n v="-631.39"/>
    <s v="Loss"/>
  </r>
  <r>
    <x v="648"/>
    <d v="2025-02-21T00:00:00"/>
    <d v="2025-03-02T00:00:00"/>
    <s v="Amanda Bauer"/>
    <x v="2"/>
    <s v="North"/>
    <s v="Furniture"/>
    <s v="Tables"/>
    <s v="Sometimes Tables"/>
    <n v="4884.2299999999996"/>
    <n v="2"/>
    <n v="0.1"/>
    <n v="325.11"/>
    <s v="Profit"/>
  </r>
  <r>
    <x v="649"/>
    <d v="2025-01-03T00:00:00"/>
    <d v="2025-01-12T00:00:00"/>
    <s v="Joseph Campbell"/>
    <x v="0"/>
    <s v="East"/>
    <s v="Furniture"/>
    <s v="Chairs"/>
    <s v="Whether Chairs"/>
    <n v="4835.62"/>
    <n v="9"/>
    <n v="0.2"/>
    <n v="-909.97"/>
    <s v="Loss"/>
  </r>
  <r>
    <x v="650"/>
    <s v="15-02-2025"/>
    <d v="2025-02-22T00:00:00"/>
    <s v="Steven Morrison"/>
    <x v="1"/>
    <s v="East"/>
    <s v="Technology"/>
    <s v="Accessories"/>
    <s v="Thus Accessories"/>
    <n v="3734.73"/>
    <n v="1"/>
    <n v="0.1"/>
    <n v="658.7"/>
    <s v="Profit"/>
  </r>
  <r>
    <x v="651"/>
    <d v="2024-09-25T00:00:00"/>
    <d v="2024-09-30T00:00:00"/>
    <s v="Alicia Perez"/>
    <x v="0"/>
    <s v="East"/>
    <s v="Furniture"/>
    <s v="Bookcases"/>
    <s v="Tend Bookcases"/>
    <n v="4068.87"/>
    <n v="5"/>
    <n v="0.15"/>
    <n v="1178.8399999999999"/>
    <s v="Profit"/>
  </r>
  <r>
    <x v="652"/>
    <d v="2026-05-07T00:00:00"/>
    <d v="2026-05-13T00:00:00"/>
    <s v="Timothy Gibbs"/>
    <x v="2"/>
    <s v="South"/>
    <s v="Furniture"/>
    <s v="Chairs"/>
    <s v="Week Chairs"/>
    <n v="4491.0200000000004"/>
    <n v="3"/>
    <n v="0"/>
    <n v="904.67"/>
    <s v="Profit"/>
  </r>
  <r>
    <x v="653"/>
    <d v="2025-09-02T00:00:00"/>
    <d v="2025-09-12T00:00:00"/>
    <s v="James Malone"/>
    <x v="2"/>
    <s v="South"/>
    <s v="Technology"/>
    <s v="Phones"/>
    <s v="Including Phones"/>
    <n v="806.11"/>
    <n v="5"/>
    <n v="0.2"/>
    <n v="-15.23"/>
    <s v="Loss"/>
  </r>
  <r>
    <x v="654"/>
    <d v="2025-09-17T00:00:00"/>
    <d v="2025-09-20T00:00:00"/>
    <s v="Kevin Christian"/>
    <x v="2"/>
    <s v="South"/>
    <s v="Furniture"/>
    <s v="Bookcases"/>
    <s v="Firm Bookcases"/>
    <n v="2926.1"/>
    <n v="4"/>
    <n v="0.05"/>
    <n v="-87.93"/>
    <s v="Loss"/>
  </r>
  <r>
    <x v="655"/>
    <d v="2023-11-16T00:00:00"/>
    <d v="2023-11-26T00:00:00"/>
    <s v="Jake Middleton"/>
    <x v="2"/>
    <s v="North"/>
    <s v="Technology"/>
    <s v="Phones"/>
    <s v="Choose Phones"/>
    <n v="4589.7"/>
    <n v="6"/>
    <n v="0"/>
    <n v="488.97"/>
    <s v="Profit"/>
  </r>
  <r>
    <x v="656"/>
    <d v="2025-09-17T00:00:00"/>
    <d v="2025-09-20T00:00:00"/>
    <s v="Karen Ponce"/>
    <x v="1"/>
    <s v="West"/>
    <s v="Furniture"/>
    <s v="Tables"/>
    <s v="Country Tables"/>
    <n v="3649.04"/>
    <n v="6"/>
    <n v="0.15"/>
    <n v="1199.29"/>
    <s v="Profit"/>
  </r>
  <r>
    <x v="657"/>
    <d v="2025-03-24T00:00:00"/>
    <d v="2025-03-29T00:00:00"/>
    <s v="Angel Peterson"/>
    <x v="0"/>
    <s v="East"/>
    <s v="Office Supplies"/>
    <s v="Storage"/>
    <s v="Away Storage"/>
    <n v="802.19"/>
    <n v="4"/>
    <n v="0"/>
    <n v="-102.4"/>
    <s v="Loss"/>
  </r>
  <r>
    <x v="658"/>
    <d v="2024-01-03T00:00:00"/>
    <d v="2024-01-13T00:00:00"/>
    <s v="Amber Foster"/>
    <x v="1"/>
    <s v="North"/>
    <s v="Office Supplies"/>
    <s v="Storage"/>
    <s v="Current Storage"/>
    <n v="1193.01"/>
    <n v="4"/>
    <n v="0.05"/>
    <n v="212.42"/>
    <s v="Profit"/>
  </r>
  <r>
    <x v="659"/>
    <d v="2025-11-30T00:00:00"/>
    <d v="2025-12-03T00:00:00"/>
    <s v="David Reese"/>
    <x v="1"/>
    <s v="South"/>
    <s v="Office Supplies"/>
    <s v="Paper"/>
    <s v="Citizen Paper"/>
    <n v="2536.5100000000002"/>
    <n v="10"/>
    <n v="0.15"/>
    <n v="486.02"/>
    <s v="Profit"/>
  </r>
  <r>
    <x v="660"/>
    <d v="2025-09-30T00:00:00"/>
    <d v="2025-10-08T00:00:00"/>
    <s v="Patricia Reid"/>
    <x v="0"/>
    <s v="East"/>
    <s v="Technology"/>
    <s v="Accessories"/>
    <s v="Real Accessories"/>
    <n v="730.69"/>
    <n v="4"/>
    <n v="0.05"/>
    <n v="-133.19"/>
    <s v="Loss"/>
  </r>
  <r>
    <x v="661"/>
    <d v="2026-03-13T00:00:00"/>
    <d v="2026-03-17T00:00:00"/>
    <s v="Ashley Ho"/>
    <x v="1"/>
    <s v="West"/>
    <s v="Technology"/>
    <s v="Phones"/>
    <s v="Market Phones"/>
    <n v="3800.99"/>
    <n v="2"/>
    <n v="0.05"/>
    <n v="1177.95"/>
    <s v="Profit"/>
  </r>
  <r>
    <x v="662"/>
    <d v="2025-08-09T00:00:00"/>
    <d v="2025-08-17T00:00:00"/>
    <s v="Sarah Lopez"/>
    <x v="2"/>
    <s v="West"/>
    <s v="Office Supplies"/>
    <s v="Paper"/>
    <s v="Whose Paper"/>
    <n v="4443.5600000000004"/>
    <n v="7"/>
    <n v="0.15"/>
    <n v="1008.32"/>
    <s v="Profit"/>
  </r>
  <r>
    <x v="663"/>
    <d v="2024-06-01T00:00:00"/>
    <d v="2024-06-08T00:00:00"/>
    <s v="David Friedman"/>
    <x v="2"/>
    <s v="North"/>
    <s v="Office Supplies"/>
    <s v="Paper"/>
    <s v="Method Paper"/>
    <n v="3076.95"/>
    <n v="10"/>
    <n v="0.2"/>
    <n v="291.95999999999998"/>
    <s v="Profit"/>
  </r>
  <r>
    <x v="664"/>
    <d v="2026-04-21T00:00:00"/>
    <d v="2026-04-29T00:00:00"/>
    <s v="Margaret Adams"/>
    <x v="1"/>
    <s v="North"/>
    <s v="Office Supplies"/>
    <s v="Binders"/>
    <s v="Game Binders"/>
    <n v="2311.66"/>
    <n v="1"/>
    <n v="0.05"/>
    <n v="197.15"/>
    <s v="Profit"/>
  </r>
  <r>
    <x v="665"/>
    <d v="2025-12-09T00:00:00"/>
    <d v="2025-12-18T00:00:00"/>
    <s v="Erin Howell"/>
    <x v="1"/>
    <s v="East"/>
    <s v="Office Supplies"/>
    <s v="Paper"/>
    <s v="Local Paper"/>
    <n v="3837.54"/>
    <n v="1"/>
    <n v="0.05"/>
    <n v="-152.93"/>
    <s v="Loss"/>
  </r>
  <r>
    <x v="666"/>
    <d v="2025-09-13T00:00:00"/>
    <d v="2025-09-16T00:00:00"/>
    <s v="Jordan Martinez"/>
    <x v="0"/>
    <s v="West"/>
    <s v="Technology"/>
    <s v="Accessories"/>
    <s v="Forget Accessories"/>
    <n v="2141.19"/>
    <n v="10"/>
    <n v="0"/>
    <n v="384.29"/>
    <s v="Profit"/>
  </r>
  <r>
    <x v="667"/>
    <s v="24-01-2024"/>
    <d v="2024-01-26T00:00:00"/>
    <s v="Victor Allen"/>
    <x v="2"/>
    <s v="South"/>
    <s v="Office Supplies"/>
    <s v="Paper"/>
    <s v="Though Paper"/>
    <n v="3627.1"/>
    <n v="2"/>
    <n v="0.05"/>
    <n v="828.07"/>
    <s v="Profit"/>
  </r>
  <r>
    <x v="668"/>
    <d v="2023-06-21T00:00:00"/>
    <d v="2023-06-27T00:00:00"/>
    <s v="Jessica Ferguson"/>
    <x v="2"/>
    <s v="South"/>
    <s v="Technology"/>
    <s v="Accessories"/>
    <s v="Until Accessories"/>
    <n v="2281.88"/>
    <n v="3"/>
    <n v="0.15"/>
    <n v="284.49"/>
    <s v="Profit"/>
  </r>
  <r>
    <x v="669"/>
    <d v="2024-06-17T00:00:00"/>
    <d v="2024-06-22T00:00:00"/>
    <s v="Joshua Dalton"/>
    <x v="0"/>
    <s v="North"/>
    <s v="Technology"/>
    <s v="Phones"/>
    <s v="Candidate Phones"/>
    <n v="1654.17"/>
    <n v="3"/>
    <n v="0.2"/>
    <n v="336.28"/>
    <s v="Profit"/>
  </r>
  <r>
    <x v="670"/>
    <d v="2025-01-07T00:00:00"/>
    <d v="2025-01-13T00:00:00"/>
    <s v="Karen Curtis"/>
    <x v="2"/>
    <s v="South"/>
    <s v="Office Supplies"/>
    <s v="Paper"/>
    <s v="Cost Paper"/>
    <n v="472.27"/>
    <n v="7"/>
    <n v="0.2"/>
    <n v="111.02"/>
    <s v="Profit"/>
  </r>
  <r>
    <x v="671"/>
    <d v="2024-12-03T00:00:00"/>
    <d v="2024-12-10T00:00:00"/>
    <s v="Kathleen Matthews"/>
    <x v="2"/>
    <s v="South"/>
    <s v="Technology"/>
    <s v="Laptops"/>
    <s v="Bill Laptops"/>
    <n v="267.33999999999997"/>
    <n v="3"/>
    <n v="0.1"/>
    <n v="29.68"/>
    <s v="Profit"/>
  </r>
  <r>
    <x v="672"/>
    <d v="2023-07-24T00:00:00"/>
    <d v="2023-07-27T00:00:00"/>
    <s v="Lauren Bentley"/>
    <x v="2"/>
    <s v="West"/>
    <s v="Furniture"/>
    <s v="Chairs"/>
    <s v="Forget Chairs"/>
    <n v="3857.33"/>
    <n v="1"/>
    <n v="0.15"/>
    <n v="-117.9"/>
    <s v="Loss"/>
  </r>
  <r>
    <x v="673"/>
    <d v="2025-02-22T00:00:00"/>
    <d v="2025-02-25T00:00:00"/>
    <s v="Jerry Russell"/>
    <x v="1"/>
    <s v="North"/>
    <s v="Technology"/>
    <s v="Laptops"/>
    <s v="Scene Laptops"/>
    <n v="631.89"/>
    <n v="3"/>
    <n v="0.05"/>
    <n v="-125.15"/>
    <s v="Loss"/>
  </r>
  <r>
    <x v="674"/>
    <d v="2025-10-01T00:00:00"/>
    <d v="2025-10-09T00:00:00"/>
    <s v="Joann Maldonado"/>
    <x v="0"/>
    <s v="South"/>
    <s v="Technology"/>
    <s v="Accessories"/>
    <s v="Police Accessories"/>
    <n v="2740.33"/>
    <n v="1"/>
    <n v="0.2"/>
    <n v="782.33"/>
    <s v="Profit"/>
  </r>
  <r>
    <x v="675"/>
    <d v="2024-02-14T00:00:00"/>
    <d v="2024-02-22T00:00:00"/>
    <s v="Ashley Best"/>
    <x v="0"/>
    <s v="South"/>
    <s v="Office Supplies"/>
    <s v="Storage"/>
    <s v="Imagine Storage"/>
    <n v="2296.0100000000002"/>
    <n v="8"/>
    <n v="0"/>
    <n v="300.02"/>
    <s v="Profit"/>
  </r>
  <r>
    <x v="676"/>
    <d v="2023-10-14T00:00:00"/>
    <d v="2023-10-24T00:00:00"/>
    <s v="Brenda Hebert"/>
    <x v="0"/>
    <s v="East"/>
    <s v="Office Supplies"/>
    <s v="Paper"/>
    <s v="Even Paper"/>
    <n v="3161.75"/>
    <n v="4"/>
    <n v="0"/>
    <n v="-310.92"/>
    <s v="Loss"/>
  </r>
  <r>
    <x v="677"/>
    <d v="2025-04-07T00:00:00"/>
    <d v="2025-04-08T00:00:00"/>
    <s v="Karen Smith"/>
    <x v="0"/>
    <s v="North"/>
    <s v="Furniture"/>
    <s v="Chairs"/>
    <s v="Win Chairs"/>
    <n v="3351.63"/>
    <n v="10"/>
    <n v="0.1"/>
    <n v="-59.96"/>
    <s v="Loss"/>
  </r>
  <r>
    <x v="678"/>
    <d v="2026-03-13T00:00:00"/>
    <d v="2026-03-16T00:00:00"/>
    <s v="Franklin Davis"/>
    <x v="2"/>
    <s v="South"/>
    <s v="Furniture"/>
    <s v="Tables"/>
    <s v="Knowledge Tables"/>
    <n v="848.61"/>
    <n v="5"/>
    <n v="0.2"/>
    <n v="138.75"/>
    <s v="Profit"/>
  </r>
  <r>
    <x v="679"/>
    <d v="2024-03-17T00:00:00"/>
    <d v="2024-03-27T00:00:00"/>
    <s v="Christine Ray"/>
    <x v="1"/>
    <s v="East"/>
    <s v="Technology"/>
    <s v="Laptops"/>
    <s v="Western Laptops"/>
    <n v="1832.93"/>
    <n v="1"/>
    <n v="0"/>
    <n v="408.16"/>
    <s v="Profit"/>
  </r>
  <r>
    <x v="680"/>
    <d v="2024-03-03T00:00:00"/>
    <d v="2024-03-10T00:00:00"/>
    <s v="Unknown"/>
    <x v="0"/>
    <s v="East"/>
    <s v="Technology"/>
    <s v="Phones"/>
    <s v="Truth Phones"/>
    <n v="4224.38"/>
    <n v="2"/>
    <n v="0.1"/>
    <n v="249.02"/>
    <s v="Profit"/>
  </r>
  <r>
    <x v="681"/>
    <d v="2023-06-08T00:00:00"/>
    <d v="2023-06-15T00:00:00"/>
    <s v="David Logan"/>
    <x v="2"/>
    <s v="North"/>
    <s v="Technology"/>
    <s v="Laptops"/>
    <s v="Yourself Laptops"/>
    <n v="2647"/>
    <n v="4"/>
    <n v="0.2"/>
    <n v="-444.69"/>
    <s v="Loss"/>
  </r>
  <r>
    <x v="682"/>
    <d v="2025-09-04T00:00:00"/>
    <d v="2025-09-14T00:00:00"/>
    <s v="Breanna Palmer"/>
    <x v="1"/>
    <s v="East"/>
    <s v="Technology"/>
    <s v="Laptops"/>
    <s v="Inside Laptops"/>
    <n v="4672.76"/>
    <n v="5"/>
    <n v="0.15"/>
    <n v="630.19000000000005"/>
    <s v="Profit"/>
  </r>
  <r>
    <x v="683"/>
    <d v="2026-01-13T00:00:00"/>
    <d v="2026-01-23T00:00:00"/>
    <s v="Jason Butler"/>
    <x v="2"/>
    <s v="West"/>
    <s v="Office Supplies"/>
    <s v="Storage"/>
    <s v="Wear Storage"/>
    <n v="1801.57"/>
    <n v="3"/>
    <n v="0.2"/>
    <n v="197.18"/>
    <s v="Profit"/>
  </r>
  <r>
    <x v="684"/>
    <d v="2024-08-30T00:00:00"/>
    <d v="2024-09-09T00:00:00"/>
    <s v="Laura Morrow"/>
    <x v="0"/>
    <s v="West"/>
    <s v="Technology"/>
    <s v="Phones"/>
    <s v="Affect Phones"/>
    <n v="1201.97"/>
    <n v="5"/>
    <n v="0.05"/>
    <n v="-239.35"/>
    <s v="Loss"/>
  </r>
  <r>
    <x v="685"/>
    <d v="2024-09-13T00:00:00"/>
    <d v="2024-09-17T00:00:00"/>
    <s v="Jennifer Baker"/>
    <x v="1"/>
    <s v="West"/>
    <s v="Office Supplies"/>
    <s v="Binders"/>
    <s v="Design Binders"/>
    <n v="4007.84"/>
    <n v="7"/>
    <n v="0.15"/>
    <n v="-701.29"/>
    <s v="Loss"/>
  </r>
  <r>
    <x v="686"/>
    <d v="2025-01-09T00:00:00"/>
    <d v="2025-01-13T00:00:00"/>
    <s v="Gabriel House"/>
    <x v="2"/>
    <s v="West"/>
    <s v="Furniture"/>
    <s v="Bookcases"/>
    <s v="Summer Bookcases"/>
    <n v="3465.58"/>
    <n v="5"/>
    <n v="0"/>
    <n v="-106.48"/>
    <s v="Loss"/>
  </r>
  <r>
    <x v="687"/>
    <d v="2026-02-22T00:00:00"/>
    <d v="2026-02-28T00:00:00"/>
    <s v="Jeffrey Vaughn"/>
    <x v="0"/>
    <s v="South"/>
    <s v="Furniture"/>
    <s v="Chairs"/>
    <s v="How Chairs"/>
    <n v="1739.74"/>
    <n v="10"/>
    <n v="0.2"/>
    <n v="570.74"/>
    <s v="Profit"/>
  </r>
  <r>
    <x v="688"/>
    <d v="2024-12-12T00:00:00"/>
    <d v="2024-12-20T00:00:00"/>
    <s v="Michael Hernandez"/>
    <x v="0"/>
    <s v="West"/>
    <s v="Technology"/>
    <s v="Accessories"/>
    <s v="Tend Accessories"/>
    <n v="4585.01"/>
    <n v="1"/>
    <n v="0.2"/>
    <n v="-574.66"/>
    <s v="Loss"/>
  </r>
  <r>
    <x v="689"/>
    <d v="2024-04-08T00:00:00"/>
    <d v="2024-04-16T00:00:00"/>
    <s v="Stephanie Cabrera Dvm"/>
    <x v="2"/>
    <s v="East"/>
    <s v="Office Supplies"/>
    <s v="Paper"/>
    <s v="Deep Paper"/>
    <n v="3930.75"/>
    <n v="7"/>
    <n v="0.2"/>
    <n v="-665.03"/>
    <s v="Loss"/>
  </r>
  <r>
    <x v="690"/>
    <d v="2025-10-25T00:00:00"/>
    <d v="2025-10-31T00:00:00"/>
    <s v="Brian Gonzalez"/>
    <x v="1"/>
    <s v="West"/>
    <s v="Office Supplies"/>
    <s v="Storage"/>
    <s v="Develop Storage"/>
    <n v="2798.13"/>
    <n v="1"/>
    <n v="0.05"/>
    <n v="328.97"/>
    <s v="Profit"/>
  </r>
  <r>
    <x v="691"/>
    <d v="2024-12-24T00:00:00"/>
    <d v="2024-12-29T00:00:00"/>
    <s v="Jennifer Parks"/>
    <x v="0"/>
    <s v="West"/>
    <s v="Furniture"/>
    <s v="Chairs"/>
    <s v="Environment Chairs"/>
    <n v="4211.66"/>
    <n v="6"/>
    <n v="0.15"/>
    <n v="608.92999999999995"/>
    <s v="Profit"/>
  </r>
  <r>
    <x v="692"/>
    <d v="2024-08-02T00:00:00"/>
    <d v="2024-08-04T00:00:00"/>
    <s v="Joseph White"/>
    <x v="2"/>
    <s v="North"/>
    <s v="Furniture"/>
    <s v="Bookcases"/>
    <s v="Morning Bookcases"/>
    <n v="4329.74"/>
    <n v="5"/>
    <n v="0.2"/>
    <n v="1176.83"/>
    <s v="Profit"/>
  </r>
  <r>
    <x v="693"/>
    <d v="2025-03-19T00:00:00"/>
    <d v="2025-03-21T00:00:00"/>
    <s v="Holly Phillips"/>
    <x v="1"/>
    <s v="South"/>
    <s v="Technology"/>
    <s v="Accessories"/>
    <s v="Join Accessories"/>
    <n v="2510.42"/>
    <n v="4"/>
    <n v="0.1"/>
    <n v="121.88"/>
    <s v="Profit"/>
  </r>
  <r>
    <x v="694"/>
    <d v="2025-08-25T00:00:00"/>
    <d v="2025-08-28T00:00:00"/>
    <s v="Valerie Smith"/>
    <x v="1"/>
    <s v="North"/>
    <s v="Office Supplies"/>
    <s v="Paper"/>
    <s v="Forward Paper"/>
    <n v="605.54"/>
    <n v="1"/>
    <n v="0.05"/>
    <n v="183.08"/>
    <s v="Profit"/>
  </r>
  <r>
    <x v="695"/>
    <d v="2026-02-16T00:00:00"/>
    <d v="2026-02-19T00:00:00"/>
    <s v="Elizabeth Harris"/>
    <x v="1"/>
    <s v="East"/>
    <s v="Technology"/>
    <s v="Laptops"/>
    <s v="Way Laptops"/>
    <n v="991.55"/>
    <n v="8"/>
    <n v="0.2"/>
    <n v="278.26"/>
    <s v="Profit"/>
  </r>
  <r>
    <x v="696"/>
    <d v="2024-06-16T00:00:00"/>
    <d v="2024-06-25T00:00:00"/>
    <s v="Alexis Murillo"/>
    <x v="1"/>
    <s v="West"/>
    <s v="Furniture"/>
    <s v="Chairs"/>
    <s v="Make Chairs"/>
    <n v="3399.75"/>
    <n v="3"/>
    <n v="0.05"/>
    <n v="674.9"/>
    <s v="Profit"/>
  </r>
  <r>
    <x v="697"/>
    <d v="2025-07-18T00:00:00"/>
    <d v="2025-07-20T00:00:00"/>
    <s v="Angela Wilkins"/>
    <x v="0"/>
    <s v="East"/>
    <s v="Office Supplies"/>
    <s v="Storage"/>
    <s v="Exist Storage"/>
    <n v="70.34"/>
    <n v="1"/>
    <n v="0.2"/>
    <n v="18.739999999999998"/>
    <s v="Profit"/>
  </r>
  <r>
    <x v="698"/>
    <d v="2024-06-28T00:00:00"/>
    <d v="2024-06-30T00:00:00"/>
    <s v="John Roberts"/>
    <x v="1"/>
    <s v="South"/>
    <s v="Technology"/>
    <s v="Phones"/>
    <s v="Language Phones"/>
    <n v="2626.86"/>
    <n v="5"/>
    <n v="0"/>
    <n v="309.07"/>
    <s v="Profit"/>
  </r>
  <r>
    <x v="699"/>
    <d v="2026-01-14T00:00:00"/>
    <d v="2026-01-18T00:00:00"/>
    <s v="Stacy Austin"/>
    <x v="2"/>
    <s v="North"/>
    <s v="Technology"/>
    <s v="Phones"/>
    <s v="Cultural Phones"/>
    <n v="1468.51"/>
    <n v="9"/>
    <n v="0.1"/>
    <n v="330.46"/>
    <s v="Profit"/>
  </r>
  <r>
    <x v="700"/>
    <d v="2025-09-22T00:00:00"/>
    <d v="2025-09-25T00:00:00"/>
    <s v="Anthony Garcia"/>
    <x v="0"/>
    <s v="South"/>
    <s v="Technology"/>
    <s v="Phones"/>
    <s v="West Phones"/>
    <n v="1404.5"/>
    <n v="1"/>
    <n v="0.2"/>
    <n v="151.4"/>
    <s v="Profit"/>
  </r>
  <r>
    <x v="701"/>
    <d v="2024-01-19T00:00:00"/>
    <d v="2024-01-28T00:00:00"/>
    <s v="Kimberly Dixon"/>
    <x v="2"/>
    <s v="South"/>
    <s v="Office Supplies"/>
    <s v="Paper"/>
    <s v="Paper Paper"/>
    <n v="1626.5"/>
    <n v="3"/>
    <n v="0.2"/>
    <n v="393.94"/>
    <s v="Profit"/>
  </r>
  <r>
    <x v="702"/>
    <d v="2024-11-18T00:00:00"/>
    <d v="2024-11-23T00:00:00"/>
    <s v="Terri Lopez"/>
    <x v="0"/>
    <s v="North"/>
    <s v="Furniture"/>
    <s v="Chairs"/>
    <s v="Week Chairs"/>
    <n v="3085.65"/>
    <n v="6"/>
    <n v="0.2"/>
    <n v="135.79"/>
    <s v="Profit"/>
  </r>
  <r>
    <x v="703"/>
    <d v="2026-04-23T00:00:00"/>
    <d v="2026-04-24T00:00:00"/>
    <s v="Jeffery Adams"/>
    <x v="0"/>
    <s v="West"/>
    <s v="Technology"/>
    <s v="Laptops"/>
    <s v="Garden Laptops"/>
    <n v="574.34"/>
    <n v="1"/>
    <n v="0"/>
    <n v="19.850000000000001"/>
    <s v="Profit"/>
  </r>
  <r>
    <x v="704"/>
    <d v="2026-01-04T00:00:00"/>
    <d v="2026-01-09T00:00:00"/>
    <s v="Ralph Walls"/>
    <x v="2"/>
    <s v="North"/>
    <s v="Office Supplies"/>
    <s v="Paper"/>
    <s v="Away Paper"/>
    <n v="1695.04"/>
    <n v="4"/>
    <n v="0.2"/>
    <n v="368.03"/>
    <s v="Profit"/>
  </r>
  <r>
    <x v="705"/>
    <d v="2025-03-03T00:00:00"/>
    <d v="2025-03-06T00:00:00"/>
    <s v="David Lambert"/>
    <x v="2"/>
    <s v="West"/>
    <s v="Technology"/>
    <s v="Laptops"/>
    <s v="Night Laptops"/>
    <n v="509.94"/>
    <n v="8"/>
    <n v="0"/>
    <n v="25.79"/>
    <s v="Profit"/>
  </r>
  <r>
    <x v="706"/>
    <d v="2025-05-20T00:00:00"/>
    <d v="2025-05-24T00:00:00"/>
    <s v="David Hernandez"/>
    <x v="1"/>
    <s v="South"/>
    <s v="Technology"/>
    <s v="Phones"/>
    <s v="Significant Phones"/>
    <n v="761.42"/>
    <n v="10"/>
    <n v="0.1"/>
    <n v="230.01"/>
    <s v="Profit"/>
  </r>
  <r>
    <x v="707"/>
    <d v="2023-11-27T00:00:00"/>
    <d v="2023-12-03T00:00:00"/>
    <s v="Jacob Hammond"/>
    <x v="0"/>
    <s v="West"/>
    <s v="Office Supplies"/>
    <s v="Storage"/>
    <s v="My Storage"/>
    <n v="3954.45"/>
    <n v="6"/>
    <n v="0.15"/>
    <n v="269.41000000000003"/>
    <s v="Profit"/>
  </r>
  <r>
    <x v="708"/>
    <d v="2025-10-02T00:00:00"/>
    <d v="2025-10-10T00:00:00"/>
    <s v="Joseph Davis"/>
    <x v="2"/>
    <s v="South"/>
    <s v="Furniture"/>
    <s v="Tables"/>
    <s v="Computer Tables"/>
    <n v="2333.15"/>
    <n v="3"/>
    <n v="0.1"/>
    <n v="518.82000000000005"/>
    <s v="Profit"/>
  </r>
  <r>
    <x v="709"/>
    <d v="2025-01-13T00:00:00"/>
    <d v="2025-01-20T00:00:00"/>
    <s v="Margaret Dennis"/>
    <x v="0"/>
    <s v="East"/>
    <s v="Office Supplies"/>
    <s v="Binders"/>
    <s v="Score Binders"/>
    <n v="4096.8900000000003"/>
    <n v="2"/>
    <n v="0.1"/>
    <n v="433.79"/>
    <s v="Profit"/>
  </r>
  <r>
    <x v="710"/>
    <d v="2024-04-24T00:00:00"/>
    <d v="2024-05-01T00:00:00"/>
    <s v="Tara Mcdonald"/>
    <x v="0"/>
    <s v="West"/>
    <s v="Office Supplies"/>
    <s v="Paper"/>
    <s v="Last Paper"/>
    <n v="2973.15"/>
    <n v="4"/>
    <n v="0.2"/>
    <n v="-196.14"/>
    <s v="Loss"/>
  </r>
  <r>
    <x v="711"/>
    <d v="2024-06-09T00:00:00"/>
    <d v="2024-06-15T00:00:00"/>
    <s v="Daniel Kelly"/>
    <x v="1"/>
    <s v="East"/>
    <s v="Technology"/>
    <s v="Phones"/>
    <s v="Meeting Phones"/>
    <n v="1080.78"/>
    <n v="10"/>
    <n v="0.15"/>
    <n v="250.06"/>
    <s v="Profit"/>
  </r>
  <r>
    <x v="712"/>
    <d v="2023-12-11T00:00:00"/>
    <d v="2023-12-15T00:00:00"/>
    <s v="Roberta Acevedo"/>
    <x v="2"/>
    <s v="West"/>
    <s v="Office Supplies"/>
    <s v="Storage"/>
    <s v="Senior Storage"/>
    <n v="906.77"/>
    <n v="2"/>
    <n v="0.2"/>
    <n v="282.89"/>
    <s v="Profit"/>
  </r>
  <r>
    <x v="713"/>
    <d v="2025-09-26T00:00:00"/>
    <d v="2025-10-06T00:00:00"/>
    <s v="Victoria Watkins"/>
    <x v="0"/>
    <s v="East"/>
    <s v="Furniture"/>
    <s v="Bookcases"/>
    <s v="Anyone Bookcases"/>
    <n v="2341.4"/>
    <n v="9"/>
    <n v="0"/>
    <n v="590.29999999999995"/>
    <s v="Profit"/>
  </r>
  <r>
    <x v="714"/>
    <d v="2025-05-21T00:00:00"/>
    <d v="2025-05-31T00:00:00"/>
    <s v="Jeffrey Brown"/>
    <x v="2"/>
    <s v="North"/>
    <s v="Technology"/>
    <s v="Phones"/>
    <s v="Office Phones"/>
    <n v="588.29"/>
    <n v="10"/>
    <n v="0.15"/>
    <n v="-11.72"/>
    <s v="Loss"/>
  </r>
  <r>
    <x v="715"/>
    <d v="2025-12-07T00:00:00"/>
    <d v="2025-12-10T00:00:00"/>
    <s v="David Richards"/>
    <x v="1"/>
    <s v="East"/>
    <s v="Furniture"/>
    <s v="Chairs"/>
    <s v="Consumer Chairs"/>
    <n v="4441.9399999999996"/>
    <n v="1"/>
    <n v="0.05"/>
    <n v="726.19"/>
    <s v="Profit"/>
  </r>
  <r>
    <x v="716"/>
    <d v="2024-06-15T00:00:00"/>
    <d v="2024-06-25T00:00:00"/>
    <s v="Aaron Smith"/>
    <x v="1"/>
    <s v="East"/>
    <s v="Technology"/>
    <s v="Laptops"/>
    <s v="About Laptops"/>
    <n v="2263.44"/>
    <n v="4"/>
    <n v="0.2"/>
    <n v="639.61"/>
    <s v="Profit"/>
  </r>
  <r>
    <x v="717"/>
    <d v="2025-08-10T00:00:00"/>
    <d v="2025-08-16T00:00:00"/>
    <s v="Danielle Miller"/>
    <x v="2"/>
    <s v="West"/>
    <s v="Technology"/>
    <s v="Laptops"/>
    <s v="Story Laptops"/>
    <n v="4951.93"/>
    <n v="10"/>
    <n v="0"/>
    <n v="675.05"/>
    <s v="Profit"/>
  </r>
  <r>
    <x v="718"/>
    <d v="2025-01-19T00:00:00"/>
    <d v="2025-01-20T00:00:00"/>
    <s v="Jeff Lowe"/>
    <x v="2"/>
    <s v="East"/>
    <s v="Furniture"/>
    <s v="Tables"/>
    <s v="According Tables"/>
    <n v="1877.65"/>
    <n v="9"/>
    <n v="0"/>
    <n v="-374.66"/>
    <s v="Loss"/>
  </r>
  <r>
    <x v="719"/>
    <d v="2025-08-21T00:00:00"/>
    <d v="2025-08-22T00:00:00"/>
    <s v="James Garcia"/>
    <x v="2"/>
    <s v="West"/>
    <s v="Furniture"/>
    <s v="Tables"/>
    <s v="Newspaper Tables"/>
    <n v="1214.44"/>
    <n v="10"/>
    <n v="0.15"/>
    <n v="174.72"/>
    <s v="Profit"/>
  </r>
  <r>
    <x v="720"/>
    <d v="2024-11-10T00:00:00"/>
    <d v="2024-11-17T00:00:00"/>
    <s v="Ernest Wang"/>
    <x v="2"/>
    <s v="West"/>
    <s v="Technology"/>
    <s v="Accessories"/>
    <s v="Win Accessories"/>
    <n v="2748.34"/>
    <n v="3"/>
    <n v="0.15"/>
    <n v="-339.45"/>
    <s v="Loss"/>
  </r>
  <r>
    <x v="721"/>
    <d v="2026-01-20T00:00:00"/>
    <d v="2026-01-23T00:00:00"/>
    <s v="James Shaw"/>
    <x v="2"/>
    <s v="North"/>
    <s v="Technology"/>
    <s v="Accessories"/>
    <s v="Personal Accessories"/>
    <n v="1477.93"/>
    <n v="3"/>
    <n v="0.05"/>
    <n v="-286.14999999999998"/>
    <s v="Loss"/>
  </r>
  <r>
    <x v="722"/>
    <d v="2024-02-07T00:00:00"/>
    <d v="2024-02-15T00:00:00"/>
    <s v="Derrick Weber"/>
    <x v="1"/>
    <s v="West"/>
    <s v="Furniture"/>
    <s v="Bookcases"/>
    <s v="Agent Bookcases"/>
    <n v="3306.74"/>
    <n v="3"/>
    <n v="0"/>
    <n v="-411.78"/>
    <s v="Loss"/>
  </r>
  <r>
    <x v="723"/>
    <d v="2026-04-18T00:00:00"/>
    <d v="2026-04-25T00:00:00"/>
    <s v="Tracie Davenport"/>
    <x v="1"/>
    <s v="West"/>
    <s v="Office Supplies"/>
    <s v="Storage"/>
    <s v="Teacher Storage"/>
    <n v="3135.08"/>
    <n v="8"/>
    <n v="0.2"/>
    <n v="104.3"/>
    <s v="Profit"/>
  </r>
  <r>
    <x v="724"/>
    <d v="2026-03-28T00:00:00"/>
    <d v="2026-03-31T00:00:00"/>
    <s v="Jennifer Bishop"/>
    <x v="2"/>
    <s v="South"/>
    <s v="Technology"/>
    <s v="Phones"/>
    <s v="Institution Phones"/>
    <n v="2152.62"/>
    <n v="1"/>
    <n v="0.2"/>
    <n v="159.26"/>
    <s v="Profit"/>
  </r>
  <r>
    <x v="725"/>
    <d v="2024-06-13T00:00:00"/>
    <d v="2024-06-18T00:00:00"/>
    <s v="Rebecca Daniel"/>
    <x v="0"/>
    <s v="West"/>
    <s v="Office Supplies"/>
    <s v="Storage"/>
    <s v="Director Storage"/>
    <n v="2083.65"/>
    <n v="9"/>
    <n v="0.2"/>
    <n v="3.82"/>
    <s v="Profit"/>
  </r>
  <r>
    <x v="726"/>
    <d v="2026-02-13T00:00:00"/>
    <d v="2026-02-15T00:00:00"/>
    <s v="Dr. Ryan Bailey"/>
    <x v="2"/>
    <s v="East"/>
    <s v="Office Supplies"/>
    <s v="Paper"/>
    <s v="Generation Paper"/>
    <n v="2922.33"/>
    <n v="2"/>
    <n v="0.05"/>
    <n v="589.15"/>
    <s v="Profit"/>
  </r>
  <r>
    <x v="727"/>
    <d v="2024-12-04T00:00:00"/>
    <d v="2024-12-06T00:00:00"/>
    <s v="Mr. Andrew Anderson"/>
    <x v="2"/>
    <s v="North"/>
    <s v="Technology"/>
    <s v="Laptops"/>
    <s v="Fire Laptops"/>
    <n v="2640.62"/>
    <n v="10"/>
    <n v="0"/>
    <n v="-171.96"/>
    <s v="Loss"/>
  </r>
  <r>
    <x v="728"/>
    <d v="2026-02-04T00:00:00"/>
    <d v="2026-02-13T00:00:00"/>
    <s v="Juan Norman"/>
    <x v="1"/>
    <s v="North"/>
    <s v="Office Supplies"/>
    <s v="Storage"/>
    <s v="Player Storage"/>
    <n v="4000.59"/>
    <n v="5"/>
    <n v="0.2"/>
    <n v="-684"/>
    <s v="Loss"/>
  </r>
  <r>
    <x v="729"/>
    <d v="2026-01-07T00:00:00"/>
    <d v="2026-01-16T00:00:00"/>
    <s v="Duane Johnston"/>
    <x v="1"/>
    <s v="East"/>
    <s v="Technology"/>
    <s v="Accessories"/>
    <s v="Explain Accessories"/>
    <n v="4534.97"/>
    <n v="10"/>
    <n v="0.2"/>
    <n v="-80.12"/>
    <s v="Loss"/>
  </r>
  <r>
    <x v="730"/>
    <d v="2024-01-17T00:00:00"/>
    <d v="2024-01-18T00:00:00"/>
    <s v="Michael Miller"/>
    <x v="2"/>
    <s v="East"/>
    <s v="Technology"/>
    <s v="Phones"/>
    <s v="Ask Phones"/>
    <n v="3490.5"/>
    <n v="10"/>
    <n v="0.2"/>
    <n v="-114.35"/>
    <s v="Loss"/>
  </r>
  <r>
    <x v="731"/>
    <d v="2026-05-17T00:00:00"/>
    <d v="2026-05-25T00:00:00"/>
    <s v="Christopher Gonzalez"/>
    <x v="1"/>
    <s v="North"/>
    <s v="Furniture"/>
    <s v="Bookcases"/>
    <s v="Position Bookcases"/>
    <n v="2911.8"/>
    <n v="10"/>
    <n v="0"/>
    <n v="468.73"/>
    <s v="Profit"/>
  </r>
  <r>
    <x v="732"/>
    <d v="2024-09-25T00:00:00"/>
    <d v="2024-09-27T00:00:00"/>
    <s v="Mark Chen"/>
    <x v="2"/>
    <s v="East"/>
    <s v="Technology"/>
    <s v="Accessories"/>
    <s v="Material Accessories"/>
    <n v="677.77"/>
    <n v="2"/>
    <n v="0.1"/>
    <n v="-41.6"/>
    <s v="Loss"/>
  </r>
  <r>
    <x v="733"/>
    <d v="2023-06-16T00:00:00"/>
    <d v="2023-06-17T00:00:00"/>
    <s v="Pamela Baxter"/>
    <x v="2"/>
    <s v="South"/>
    <s v="Technology"/>
    <s v="Accessories"/>
    <s v="Director Accessories"/>
    <n v="3720.07"/>
    <n v="10"/>
    <n v="0.05"/>
    <n v="1118.1500000000001"/>
    <s v="Profit"/>
  </r>
  <r>
    <x v="734"/>
    <d v="2025-02-02T00:00:00"/>
    <d v="2025-02-08T00:00:00"/>
    <s v="Shannon Morgan"/>
    <x v="0"/>
    <s v="North"/>
    <s v="Office Supplies"/>
    <s v="Paper"/>
    <s v="There Paper"/>
    <n v="4048.81"/>
    <n v="5"/>
    <n v="0.2"/>
    <n v="-283.79000000000002"/>
    <s v="Loss"/>
  </r>
  <r>
    <x v="735"/>
    <d v="2023-11-22T00:00:00"/>
    <d v="2023-11-25T00:00:00"/>
    <s v="Joanna Weiss"/>
    <x v="1"/>
    <s v="West"/>
    <s v="Technology"/>
    <s v="Phones"/>
    <s v="New Phones"/>
    <n v="2997.94"/>
    <n v="3"/>
    <n v="0.15"/>
    <n v="641.62"/>
    <s v="Profit"/>
  </r>
  <r>
    <x v="736"/>
    <d v="2023-11-26T00:00:00"/>
    <d v="2023-12-04T00:00:00"/>
    <s v="Unknown"/>
    <x v="1"/>
    <s v="North"/>
    <s v="Furniture"/>
    <s v="Bookcases"/>
    <s v="Raise Bookcases"/>
    <n v="3643.7"/>
    <n v="3"/>
    <n v="0.05"/>
    <n v="429.11"/>
    <s v="Profit"/>
  </r>
  <r>
    <x v="737"/>
    <d v="2024-08-02T00:00:00"/>
    <d v="2024-08-04T00:00:00"/>
    <s v="Jody Martinez"/>
    <x v="1"/>
    <s v="South"/>
    <s v="Office Supplies"/>
    <s v="Paper"/>
    <s v="Will Paper"/>
    <n v="309.99"/>
    <n v="8"/>
    <n v="0.15"/>
    <n v="19.2"/>
    <s v="Profit"/>
  </r>
  <r>
    <x v="738"/>
    <d v="2023-11-26T00:00:00"/>
    <d v="2023-12-03T00:00:00"/>
    <s v="Jason Moss"/>
    <x v="0"/>
    <s v="East"/>
    <s v="Technology"/>
    <s v="Laptops"/>
    <s v="Couple Laptops"/>
    <n v="2399.2199999999998"/>
    <n v="3"/>
    <n v="0.2"/>
    <n v="668.55"/>
    <s v="Profit"/>
  </r>
  <r>
    <x v="739"/>
    <d v="2025-04-28T00:00:00"/>
    <d v="2025-05-04T00:00:00"/>
    <s v="Gregory Mills"/>
    <x v="2"/>
    <s v="East"/>
    <s v="Technology"/>
    <s v="Accessories"/>
    <s v="During Accessories"/>
    <n v="4810.7299999999996"/>
    <n v="1"/>
    <n v="0"/>
    <n v="1466.03"/>
    <s v="Profit"/>
  </r>
  <r>
    <x v="740"/>
    <d v="2026-03-22T00:00:00"/>
    <d v="2026-03-27T00:00:00"/>
    <s v="Edward Carlson"/>
    <x v="2"/>
    <s v="West"/>
    <s v="Technology"/>
    <s v="Laptops"/>
    <s v="History Laptops"/>
    <n v="1708.09"/>
    <n v="5"/>
    <n v="0"/>
    <n v="-101.74"/>
    <s v="Loss"/>
  </r>
  <r>
    <x v="741"/>
    <d v="2024-03-13T00:00:00"/>
    <d v="2024-03-17T00:00:00"/>
    <s v="Justin Tate"/>
    <x v="2"/>
    <s v="South"/>
    <s v="Technology"/>
    <s v="Laptops"/>
    <s v="Career Laptops"/>
    <n v="3684.85"/>
    <n v="10"/>
    <n v="0.05"/>
    <n v="316.8"/>
    <s v="Profit"/>
  </r>
  <r>
    <x v="742"/>
    <d v="2025-11-21T00:00:00"/>
    <d v="2025-11-22T00:00:00"/>
    <s v="Benjamin Hughes"/>
    <x v="2"/>
    <s v="West"/>
    <s v="Technology"/>
    <s v="Laptops"/>
    <s v="Assume Laptops"/>
    <n v="3380.37"/>
    <n v="2"/>
    <n v="0"/>
    <n v="88.52"/>
    <s v="Profit"/>
  </r>
  <r>
    <x v="743"/>
    <d v="2024-10-01T00:00:00"/>
    <d v="2024-10-07T00:00:00"/>
    <s v="Eric Fernandez"/>
    <x v="0"/>
    <s v="North"/>
    <s v="Office Supplies"/>
    <s v="Paper"/>
    <s v="Garden Paper"/>
    <n v="1136.1099999999999"/>
    <n v="5"/>
    <n v="0.1"/>
    <n v="-106.57"/>
    <s v="Loss"/>
  </r>
  <r>
    <x v="744"/>
    <d v="2025-04-21T00:00:00"/>
    <d v="2025-04-25T00:00:00"/>
    <s v="Tamara Williams"/>
    <x v="0"/>
    <s v="South"/>
    <s v="Furniture"/>
    <s v="Bookcases"/>
    <s v="His Bookcases"/>
    <n v="4754.92"/>
    <n v="2"/>
    <n v="0.2"/>
    <n v="1553.85"/>
    <s v="Profit"/>
  </r>
  <r>
    <x v="745"/>
    <d v="2025-07-14T00:00:00"/>
    <d v="2025-07-24T00:00:00"/>
    <s v="Austin Charles"/>
    <x v="1"/>
    <s v="East"/>
    <s v="Technology"/>
    <s v="Laptops"/>
    <s v="Raise Laptops"/>
    <n v="4025.84"/>
    <n v="3"/>
    <n v="0"/>
    <n v="735.16"/>
    <s v="Profit"/>
  </r>
  <r>
    <x v="746"/>
    <d v="2026-02-11T00:00:00"/>
    <d v="2026-02-13T00:00:00"/>
    <s v="Unknown"/>
    <x v="2"/>
    <s v="East"/>
    <s v="Technology"/>
    <s v="Laptops"/>
    <s v="For Laptops"/>
    <n v="3211.96"/>
    <n v="5"/>
    <n v="0.15"/>
    <n v="580.47"/>
    <s v="Profit"/>
  </r>
  <r>
    <x v="747"/>
    <d v="2024-02-23T00:00:00"/>
    <d v="2024-02-25T00:00:00"/>
    <s v="Melissa Cox"/>
    <x v="0"/>
    <s v="East"/>
    <s v="Technology"/>
    <s v="Phones"/>
    <s v="Fall Phones"/>
    <n v="1422.57"/>
    <n v="1"/>
    <n v="0.15"/>
    <n v="19.52"/>
    <s v="Profit"/>
  </r>
  <r>
    <x v="748"/>
    <d v="2024-10-05T00:00:00"/>
    <d v="2024-10-13T00:00:00"/>
    <s v="Dr. Jason Jackson"/>
    <x v="2"/>
    <s v="West"/>
    <s v="Technology"/>
    <s v="Phones"/>
    <s v="Society Phones"/>
    <n v="393.52"/>
    <n v="4"/>
    <n v="0.2"/>
    <n v="6.28"/>
    <s v="Profit"/>
  </r>
  <r>
    <x v="749"/>
    <d v="2026-03-23T00:00:00"/>
    <d v="2026-04-01T00:00:00"/>
    <s v="Dylan Whitehead"/>
    <x v="1"/>
    <s v="East"/>
    <s v="Furniture"/>
    <s v="Chairs"/>
    <s v="Five Chairs"/>
    <n v="3855.1"/>
    <n v="4"/>
    <n v="0.2"/>
    <n v="593.04999999999995"/>
    <s v="Profi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x v="0"/>
    <d v="2023-09-08T00:00:00"/>
    <d v="2023-09-09T00:00:00"/>
    <s v="Traci Sanchez"/>
    <s v="Consumer"/>
    <s v="North"/>
    <x v="0"/>
    <s v="Binders"/>
    <s v="Happy Binders"/>
    <n v="3720.67"/>
    <n v="4"/>
    <n v="0.05"/>
    <n v="-458.59"/>
    <s v="Loss"/>
  </r>
  <r>
    <x v="1"/>
    <d v="2026-03-05T00:00:00"/>
    <d v="2026-03-06T00:00:00"/>
    <s v="Norman Jordan"/>
    <s v="Consumer"/>
    <s v="South"/>
    <x v="0"/>
    <s v="Paper"/>
    <s v="Fight Paper"/>
    <n v="197.5"/>
    <n v="4"/>
    <n v="0.05"/>
    <n v="15.39"/>
    <s v="Profit"/>
  </r>
  <r>
    <x v="2"/>
    <d v="2023-11-05T00:00:00"/>
    <d v="2023-11-14T00:00:00"/>
    <s v="Thomas Scott"/>
    <s v="Consumer"/>
    <s v="South"/>
    <x v="0"/>
    <s v="Storage"/>
    <s v="Process Storage"/>
    <n v="2126.62"/>
    <n v="8"/>
    <n v="0.2"/>
    <n v="-99.94"/>
    <s v="Loss"/>
  </r>
  <r>
    <x v="3"/>
    <d v="2024-08-19T00:00:00"/>
    <d v="2024-08-25T00:00:00"/>
    <s v="Samuel Diaz"/>
    <s v="Corporate"/>
    <s v="North"/>
    <x v="0"/>
    <s v="Paper"/>
    <s v="Prepare Paper"/>
    <n v="1425.46"/>
    <n v="4"/>
    <n v="0.1"/>
    <n v="-204.96"/>
    <s v="Loss"/>
  </r>
  <r>
    <x v="4"/>
    <d v="2025-07-22T00:00:00"/>
    <d v="2025-08-01T00:00:00"/>
    <s v="Tiffany Ruiz"/>
    <s v="Consumer"/>
    <s v="West"/>
    <x v="1"/>
    <s v="Accessories"/>
    <s v="Coach Accessories"/>
    <n v="1359.38"/>
    <n v="1"/>
    <n v="0.2"/>
    <n v="71.62"/>
    <s v="Profit"/>
  </r>
  <r>
    <x v="5"/>
    <d v="2024-02-13T00:00:00"/>
    <d v="2024-02-18T00:00:00"/>
    <s v="Stephanie Rodriguez"/>
    <s v="Home Office"/>
    <s v="North"/>
    <x v="2"/>
    <s v="Bookcases"/>
    <s v="Task Bookcases"/>
    <n v="4155.55"/>
    <n v="10"/>
    <n v="0.1"/>
    <n v="488.46"/>
    <s v="Profit"/>
  </r>
  <r>
    <x v="6"/>
    <d v="2025-12-27T00:00:00"/>
    <d v="2025-12-31T00:00:00"/>
    <s v="Barbara Mora"/>
    <s v="Corporate"/>
    <s v="East"/>
    <x v="2"/>
    <s v="Bookcases"/>
    <s v="Available Bookcases"/>
    <n v="3876.69"/>
    <n v="2"/>
    <n v="0.05"/>
    <n v="1072.1600000000001"/>
    <s v="Profit"/>
  </r>
  <r>
    <x v="7"/>
    <d v="2023-12-28T00:00:00"/>
    <d v="2024-01-03T00:00:00"/>
    <s v="Gloria Brown"/>
    <s v="Home Office"/>
    <s v="North"/>
    <x v="1"/>
    <s v="Laptops"/>
    <s v="Beautiful Laptops"/>
    <n v="855.14"/>
    <n v="6"/>
    <n v="0.05"/>
    <n v="144.16999999999999"/>
    <s v="Profit"/>
  </r>
  <r>
    <x v="8"/>
    <d v="2024-03-23T00:00:00"/>
    <d v="2024-03-26T00:00:00"/>
    <s v="Stephen Adkins"/>
    <s v="Corporate"/>
    <s v="South"/>
    <x v="0"/>
    <s v="Storage"/>
    <s v="Purpose Storage"/>
    <n v="2693.99"/>
    <n v="4"/>
    <n v="0.05"/>
    <n v="146.13"/>
    <s v="Profit"/>
  </r>
  <r>
    <x v="9"/>
    <d v="2026-02-27T00:00:00"/>
    <d v="2026-02-28T00:00:00"/>
    <s v="Rachel Mathews"/>
    <s v="Consumer"/>
    <s v="South"/>
    <x v="0"/>
    <s v="Paper"/>
    <s v="Last Paper"/>
    <n v="1183.79"/>
    <n v="1"/>
    <n v="0.1"/>
    <n v="24.43"/>
    <s v="Profit"/>
  </r>
  <r>
    <x v="10"/>
    <d v="2024-08-20T00:00:00"/>
    <d v="2024-08-26T00:00:00"/>
    <s v="Jacqueline Johnson"/>
    <s v="Home Office"/>
    <s v="West"/>
    <x v="0"/>
    <s v="Storage"/>
    <s v="Prepare Storage"/>
    <n v="1102.5"/>
    <n v="8"/>
    <n v="0.15"/>
    <n v="315.95"/>
    <s v="Profit"/>
  </r>
  <r>
    <x v="11"/>
    <d v="2024-10-09T00:00:00"/>
    <d v="2024-10-12T00:00:00"/>
    <s v="Kevin Anderson"/>
    <s v="Home Office"/>
    <s v="West"/>
    <x v="2"/>
    <s v="Tables"/>
    <s v="Live Tables"/>
    <n v="1270.81"/>
    <n v="9"/>
    <n v="0.2"/>
    <n v="-70.52"/>
    <s v="Loss"/>
  </r>
  <r>
    <x v="12"/>
    <d v="2024-08-20T00:00:00"/>
    <d v="2024-08-26T00:00:00"/>
    <s v="Kenneth Sullivan"/>
    <s v="Consumer"/>
    <s v="North"/>
    <x v="0"/>
    <s v="Paper"/>
    <s v="Example Paper"/>
    <n v="1135.6400000000001"/>
    <n v="3"/>
    <n v="0.2"/>
    <n v="81.12"/>
    <s v="Profit"/>
  </r>
  <r>
    <x v="13"/>
    <d v="2024-02-16T00:00:00"/>
    <d v="2024-02-19T00:00:00"/>
    <s v="John Bates"/>
    <s v="Corporate"/>
    <s v="West"/>
    <x v="2"/>
    <s v="Bookcases"/>
    <s v="Individual Bookcases"/>
    <n v="3970.79"/>
    <n v="7"/>
    <n v="0.2"/>
    <n v="-655.42"/>
    <s v="Loss"/>
  </r>
  <r>
    <x v="14"/>
    <d v="2023-10-15T00:00:00"/>
    <d v="2023-10-24T00:00:00"/>
    <s v="Patrick Horn"/>
    <s v="Home Office"/>
    <s v="East"/>
    <x v="0"/>
    <s v="Paper"/>
    <s v="Tough Paper"/>
    <n v="4310.8599999999997"/>
    <n v="1"/>
    <n v="0.2"/>
    <n v="846.64"/>
    <s v="Profit"/>
  </r>
  <r>
    <x v="15"/>
    <d v="2024-01-06T00:00:00"/>
    <d v="2024-01-08T00:00:00"/>
    <s v="Danny Clark"/>
    <s v="Home Office"/>
    <s v="East"/>
    <x v="0"/>
    <s v="Paper"/>
    <s v="Cover Paper"/>
    <n v="1502.83"/>
    <n v="3"/>
    <n v="0.15"/>
    <n v="-297.88"/>
    <s v="Loss"/>
  </r>
  <r>
    <x v="16"/>
    <d v="2023-11-03T00:00:00"/>
    <d v="2023-11-12T00:00:00"/>
    <s v="Thomas Olson"/>
    <s v="Consumer"/>
    <s v="South"/>
    <x v="0"/>
    <s v="Binders"/>
    <s v="Thousand Binders"/>
    <n v="4567.51"/>
    <n v="5"/>
    <n v="0.2"/>
    <n v="361.81"/>
    <s v="Profit"/>
  </r>
  <r>
    <x v="17"/>
    <d v="2025-01-12T00:00:00"/>
    <d v="2025-01-21T00:00:00"/>
    <s v="Jeffrey Levy"/>
    <s v="Corporate"/>
    <s v="North"/>
    <x v="1"/>
    <s v="Phones"/>
    <s v="Ahead Phones"/>
    <n v="4769.82"/>
    <n v="9"/>
    <n v="0"/>
    <n v="617.30999999999995"/>
    <s v="Profit"/>
  </r>
  <r>
    <x v="18"/>
    <d v="2023-12-02T00:00:00"/>
    <d v="2023-12-07T00:00:00"/>
    <s v="James Hamilton"/>
    <s v="Consumer"/>
    <s v="West"/>
    <x v="2"/>
    <s v="Tables"/>
    <s v="Build Tables"/>
    <n v="1235.29"/>
    <n v="4"/>
    <n v="0.2"/>
    <n v="396.31"/>
    <s v="Profit"/>
  </r>
  <r>
    <x v="19"/>
    <d v="2025-01-05T00:00:00"/>
    <d v="2025-01-08T00:00:00"/>
    <s v="Joshua Smith"/>
    <s v="Home Office"/>
    <s v="West"/>
    <x v="2"/>
    <s v="Bookcases"/>
    <s v="Cell Bookcases"/>
    <n v="685.54"/>
    <n v="8"/>
    <n v="0.2"/>
    <n v="-74.849999999999994"/>
    <s v="Loss"/>
  </r>
  <r>
    <x v="20"/>
    <d v="2026-05-12T00:00:00"/>
    <d v="2026-05-16T00:00:00"/>
    <s v="Lorraine Ruiz"/>
    <s v="Corporate"/>
    <s v="West"/>
    <x v="2"/>
    <s v="Bookcases"/>
    <s v="Suddenly Bookcases"/>
    <n v="3579.1"/>
    <n v="7"/>
    <n v="0.2"/>
    <n v="563.47"/>
    <s v="Profit"/>
  </r>
  <r>
    <x v="21"/>
    <d v="2025-11-28T00:00:00"/>
    <d v="2025-12-02T00:00:00"/>
    <s v="Terri Miller"/>
    <s v="Home Office"/>
    <s v="South"/>
    <x v="2"/>
    <s v="Chairs"/>
    <s v="Forget Chairs"/>
    <n v="366.93"/>
    <n v="1"/>
    <n v="0.2"/>
    <n v="38.4"/>
    <s v="Profit"/>
  </r>
  <r>
    <x v="22"/>
    <d v="2024-04-01T00:00:00"/>
    <d v="2024-04-02T00:00:00"/>
    <s v="Stacey Lewis"/>
    <s v="Consumer"/>
    <s v="East"/>
    <x v="2"/>
    <s v="Chairs"/>
    <s v="Than Chairs"/>
    <n v="1183.26"/>
    <n v="1"/>
    <n v="0.1"/>
    <n v="-190.54"/>
    <s v="Loss"/>
  </r>
  <r>
    <x v="23"/>
    <d v="2025-05-19T00:00:00"/>
    <d v="2025-05-23T00:00:00"/>
    <s v="Amanda Roberts"/>
    <s v="Corporate"/>
    <s v="West"/>
    <x v="0"/>
    <s v="Paper"/>
    <s v="Culture Paper"/>
    <n v="2719.21"/>
    <n v="10"/>
    <n v="0.2"/>
    <n v="163.07"/>
    <s v="Profit"/>
  </r>
  <r>
    <x v="24"/>
    <d v="2024-09-29T00:00:00"/>
    <d v="2024-10-01T00:00:00"/>
    <s v="William Fernandez"/>
    <s v="Home Office"/>
    <s v="North"/>
    <x v="2"/>
    <s v="Chairs"/>
    <s v="Cultural Chairs"/>
    <n v="3311.96"/>
    <n v="6"/>
    <n v="0.15"/>
    <n v="86.46"/>
    <s v="Profit"/>
  </r>
  <r>
    <x v="25"/>
    <d v="2024-12-21T00:00:00"/>
    <d v="2024-12-23T00:00:00"/>
    <s v="Nicholas Taylor"/>
    <s v="Consumer"/>
    <s v="West"/>
    <x v="0"/>
    <s v="Storage"/>
    <s v="Make Storage"/>
    <n v="350.03"/>
    <n v="6"/>
    <n v="0"/>
    <n v="-22.14"/>
    <s v="Loss"/>
  </r>
  <r>
    <x v="26"/>
    <d v="2024-05-29T00:00:00"/>
    <d v="2024-06-01T00:00:00"/>
    <s v="Amanda Roy"/>
    <s v="Home Office"/>
    <s v="North"/>
    <x v="2"/>
    <s v="Tables"/>
    <s v="His Tables"/>
    <n v="1428.8"/>
    <n v="4"/>
    <n v="0"/>
    <n v="62.47"/>
    <s v="Profit"/>
  </r>
  <r>
    <x v="27"/>
    <d v="2025-01-26T00:00:00"/>
    <d v="2025-02-04T00:00:00"/>
    <s v="Charles Moore"/>
    <s v="Corporate"/>
    <s v="West"/>
    <x v="2"/>
    <s v="Bookcases"/>
    <s v="Yeah Bookcases"/>
    <n v="4188.34"/>
    <n v="2"/>
    <n v="0.05"/>
    <n v="-454.56"/>
    <s v="Loss"/>
  </r>
  <r>
    <x v="28"/>
    <d v="2024-03-01T00:00:00"/>
    <d v="2024-03-02T00:00:00"/>
    <s v="Linda Wells"/>
    <s v="Corporate"/>
    <s v="East"/>
    <x v="2"/>
    <s v="Tables"/>
    <s v="Important Tables"/>
    <n v="864.95"/>
    <n v="1"/>
    <n v="0.15"/>
    <n v="-46.83"/>
    <s v="Loss"/>
  </r>
  <r>
    <x v="29"/>
    <d v="2023-06-11T00:00:00"/>
    <d v="2023-06-20T00:00:00"/>
    <s v="Daniel King"/>
    <s v="Consumer"/>
    <s v="North"/>
    <x v="1"/>
    <s v="Laptops"/>
    <s v="Themselves Laptops"/>
    <n v="3326.26"/>
    <n v="8"/>
    <n v="0.05"/>
    <n v="-317.83999999999997"/>
    <s v="Loss"/>
  </r>
  <r>
    <x v="30"/>
    <d v="2026-05-03T00:00:00"/>
    <d v="2026-05-12T00:00:00"/>
    <s v="Ricardo Ramirez"/>
    <s v="Corporate"/>
    <s v="South"/>
    <x v="0"/>
    <s v="Storage"/>
    <s v="Growth Storage"/>
    <n v="351.74"/>
    <n v="6"/>
    <n v="0"/>
    <n v="-60.65"/>
    <s v="Loss"/>
  </r>
  <r>
    <x v="31"/>
    <d v="2025-10-31T00:00:00"/>
    <d v="2025-11-02T00:00:00"/>
    <s v="Erika Ellis"/>
    <s v="Consumer"/>
    <s v="West"/>
    <x v="2"/>
    <s v="Bookcases"/>
    <s v="One Bookcases"/>
    <n v="4264.1499999999996"/>
    <n v="2"/>
    <n v="0.2"/>
    <n v="-693.44"/>
    <s v="Loss"/>
  </r>
  <r>
    <x v="32"/>
    <d v="2025-12-17T00:00:00"/>
    <d v="2025-12-21T00:00:00"/>
    <s v="Pamela Norman"/>
    <s v="Home Office"/>
    <s v="East"/>
    <x v="2"/>
    <s v="Bookcases"/>
    <s v="Wait Bookcases"/>
    <n v="2915.65"/>
    <n v="1"/>
    <n v="0.2"/>
    <n v="-451.66"/>
    <s v="Loss"/>
  </r>
  <r>
    <x v="33"/>
    <d v="2024-03-17T00:00:00"/>
    <d v="2024-03-23T00:00:00"/>
    <s v="Dennis Stewart"/>
    <s v="Corporate"/>
    <s v="West"/>
    <x v="1"/>
    <s v="Phones"/>
    <s v="Stay Phones"/>
    <n v="1231.5"/>
    <n v="7"/>
    <n v="0.05"/>
    <n v="208.65"/>
    <s v="Profit"/>
  </r>
  <r>
    <x v="34"/>
    <d v="2025-05-05T00:00:00"/>
    <d v="2025-05-06T00:00:00"/>
    <s v="Ms. Colleen Smith Dds"/>
    <s v="Consumer"/>
    <s v="East"/>
    <x v="1"/>
    <s v="Phones"/>
    <s v="Available Phones"/>
    <n v="2318.5100000000002"/>
    <n v="10"/>
    <n v="0"/>
    <n v="-370.28"/>
    <s v="Loss"/>
  </r>
  <r>
    <x v="35"/>
    <d v="2025-03-08T00:00:00"/>
    <d v="2025-03-10T00:00:00"/>
    <s v="Katelyn Williams"/>
    <s v="Home Office"/>
    <s v="East"/>
    <x v="2"/>
    <s v="Tables"/>
    <s v="Son Tables"/>
    <n v="4402.3900000000003"/>
    <n v="6"/>
    <n v="0.1"/>
    <n v="-498.52"/>
    <s v="Loss"/>
  </r>
  <r>
    <x v="36"/>
    <s v="07-11-2023"/>
    <d v="2023-11-16T00:00:00"/>
    <s v="Shannon Wagner"/>
    <s v="Consumer"/>
    <s v="South"/>
    <x v="0"/>
    <s v="Storage"/>
    <s v="With Storage"/>
    <n v="88.72"/>
    <n v="9"/>
    <n v="0.1"/>
    <n v="27.72"/>
    <s v="Profit"/>
  </r>
  <r>
    <x v="37"/>
    <d v="2025-06-07T00:00:00"/>
    <d v="2025-06-09T00:00:00"/>
    <s v="Kelli Johnson"/>
    <s v="Consumer"/>
    <s v="East"/>
    <x v="1"/>
    <s v="Phones"/>
    <s v="This Phones"/>
    <n v="3724.96"/>
    <n v="3"/>
    <n v="0.1"/>
    <n v="-167.75"/>
    <s v="Loss"/>
  </r>
  <r>
    <x v="38"/>
    <d v="2023-06-10T00:00:00"/>
    <d v="2023-06-15T00:00:00"/>
    <s v="Rebecca Blake"/>
    <s v="Corporate"/>
    <s v="East"/>
    <x v="2"/>
    <s v="Bookcases"/>
    <s v="Throughout Bookcases"/>
    <n v="2551.77"/>
    <n v="5"/>
    <n v="0"/>
    <n v="-380.82"/>
    <s v="Loss"/>
  </r>
  <r>
    <x v="39"/>
    <d v="2026-03-08T00:00:00"/>
    <d v="2026-03-14T00:00:00"/>
    <s v="Brian Gallagher"/>
    <s v="Home Office"/>
    <s v="West"/>
    <x v="2"/>
    <s v="Chairs"/>
    <s v="According Chairs"/>
    <n v="3867.04"/>
    <n v="5"/>
    <n v="0.05"/>
    <n v="803.1"/>
    <s v="Profit"/>
  </r>
  <r>
    <x v="40"/>
    <d v="2025-07-08T00:00:00"/>
    <d v="2025-07-10T00:00:00"/>
    <s v="Melissa Burgess"/>
    <s v="Corporate"/>
    <s v="South"/>
    <x v="0"/>
    <s v="Binders"/>
    <s v="Three Binders"/>
    <n v="422.46"/>
    <n v="3"/>
    <n v="0.2"/>
    <n v="-76.12"/>
    <s v="Loss"/>
  </r>
  <r>
    <x v="41"/>
    <d v="2026-05-16T00:00:00"/>
    <d v="2026-05-17T00:00:00"/>
    <s v="Jenna Hill"/>
    <s v="Consumer"/>
    <s v="North"/>
    <x v="1"/>
    <s v="Phones"/>
    <s v="Employee Phones"/>
    <n v="1575.88"/>
    <n v="1"/>
    <n v="0.1"/>
    <n v="-133.1"/>
    <s v="Loss"/>
  </r>
  <r>
    <x v="42"/>
    <d v="2026-02-04T00:00:00"/>
    <d v="2026-02-11T00:00:00"/>
    <s v="Steven Moody"/>
    <s v="Consumer"/>
    <s v="West"/>
    <x v="1"/>
    <s v="Laptops"/>
    <s v="Writer Laptops"/>
    <n v="4870.49"/>
    <n v="3"/>
    <n v="0.05"/>
    <n v="1341.98"/>
    <s v="Profit"/>
  </r>
  <r>
    <x v="43"/>
    <d v="2025-07-01T00:00:00"/>
    <d v="2025-07-07T00:00:00"/>
    <s v="Donald Prince"/>
    <s v="Consumer"/>
    <s v="East"/>
    <x v="2"/>
    <s v="Chairs"/>
    <s v="Development Chairs"/>
    <n v="3922.81"/>
    <n v="7"/>
    <n v="0.2"/>
    <n v="1079.7"/>
    <s v="Profit"/>
  </r>
  <r>
    <x v="44"/>
    <d v="2024-09-14T00:00:00"/>
    <d v="2024-09-16T00:00:00"/>
    <s v="Michael Robinson"/>
    <s v="Corporate"/>
    <s v="East"/>
    <x v="2"/>
    <s v="Bookcases"/>
    <s v="These Bookcases"/>
    <n v="1943.58"/>
    <n v="1"/>
    <n v="0.15"/>
    <n v="-150.94"/>
    <s v="Loss"/>
  </r>
  <r>
    <x v="45"/>
    <d v="2023-10-31T00:00:00"/>
    <d v="2023-11-04T00:00:00"/>
    <s v="Christina Cooper"/>
    <s v="Consumer"/>
    <s v="East"/>
    <x v="1"/>
    <s v="Phones"/>
    <s v="Live Phones"/>
    <n v="167.14"/>
    <n v="4"/>
    <n v="0.15"/>
    <n v="-3.25"/>
    <s v="Loss"/>
  </r>
  <r>
    <x v="46"/>
    <d v="2025-04-10T00:00:00"/>
    <d v="2025-04-19T00:00:00"/>
    <s v="David Anderson"/>
    <s v="Consumer"/>
    <s v="East"/>
    <x v="1"/>
    <s v="Laptops"/>
    <s v="Interesting Laptops"/>
    <n v="2028.41"/>
    <n v="9"/>
    <n v="0.1"/>
    <n v="642.15"/>
    <s v="Profit"/>
  </r>
  <r>
    <x v="47"/>
    <d v="2024-04-27T00:00:00"/>
    <d v="2024-05-02T00:00:00"/>
    <s v="Ann Conner"/>
    <s v="Corporate"/>
    <s v="West"/>
    <x v="2"/>
    <s v="Bookcases"/>
    <s v="Effort Bookcases"/>
    <n v="239.37"/>
    <n v="10"/>
    <n v="0.15"/>
    <n v="-2.36"/>
    <s v="Loss"/>
  </r>
  <r>
    <x v="48"/>
    <d v="2025-12-16T00:00:00"/>
    <d v="2025-12-18T00:00:00"/>
    <s v="David Morgan"/>
    <s v="Home Office"/>
    <s v="West"/>
    <x v="0"/>
    <s v="Storage"/>
    <s v="Man Storage"/>
    <n v="1956.72"/>
    <n v="10"/>
    <n v="0.05"/>
    <n v="-117.21"/>
    <s v="Loss"/>
  </r>
  <r>
    <x v="49"/>
    <d v="2025-02-27T00:00:00"/>
    <d v="2025-03-08T00:00:00"/>
    <s v="Andrea Carrillo"/>
    <s v="Home Office"/>
    <s v="East"/>
    <x v="2"/>
    <s v="Bookcases"/>
    <s v="Chair Bookcases"/>
    <n v="3449.94"/>
    <n v="4"/>
    <n v="0.1"/>
    <n v="128.38"/>
    <s v="Profit"/>
  </r>
  <r>
    <x v="50"/>
    <d v="2024-04-03T00:00:00"/>
    <d v="2024-04-05T00:00:00"/>
    <s v="Laura James"/>
    <s v="Corporate"/>
    <s v="East"/>
    <x v="0"/>
    <s v="Paper"/>
    <s v="News Paper"/>
    <n v="3612.78"/>
    <n v="5"/>
    <n v="0.2"/>
    <n v="-108"/>
    <s v="Loss"/>
  </r>
  <r>
    <x v="51"/>
    <d v="2025-06-22T00:00:00"/>
    <d v="2025-06-27T00:00:00"/>
    <s v="Charles Torres"/>
    <s v="Corporate"/>
    <s v="South"/>
    <x v="1"/>
    <s v="Laptops"/>
    <s v="Open Laptops"/>
    <n v="2794.34"/>
    <n v="4"/>
    <n v="0.15"/>
    <n v="463.05"/>
    <s v="Profit"/>
  </r>
  <r>
    <x v="52"/>
    <s v="24-01-2024"/>
    <d v="2024-01-29T00:00:00"/>
    <s v="Alexander Taylor"/>
    <s v="Corporate"/>
    <s v="East"/>
    <x v="0"/>
    <s v="Storage"/>
    <s v="History Storage"/>
    <n v="2060.0700000000002"/>
    <n v="1"/>
    <n v="0.1"/>
    <n v="-86.93"/>
    <s v="Loss"/>
  </r>
  <r>
    <x v="53"/>
    <d v="2025-10-09T00:00:00"/>
    <d v="2025-10-17T00:00:00"/>
    <s v="Walter Lindsey"/>
    <s v="Home Office"/>
    <s v="South"/>
    <x v="1"/>
    <s v="Accessories"/>
    <s v="Stay Accessories"/>
    <n v="3394.35"/>
    <n v="9"/>
    <n v="0.15"/>
    <n v="802.95"/>
    <s v="Profit"/>
  </r>
  <r>
    <x v="54"/>
    <d v="2025-03-04T00:00:00"/>
    <d v="2025-03-09T00:00:00"/>
    <s v="Jennifer Downs"/>
    <s v="Consumer"/>
    <s v="East"/>
    <x v="0"/>
    <s v="Binders"/>
    <s v="Support Binders"/>
    <n v="2601.4899999999998"/>
    <n v="10"/>
    <n v="0.1"/>
    <n v="-386.68"/>
    <s v="Loss"/>
  </r>
  <r>
    <x v="55"/>
    <d v="2024-05-12T00:00:00"/>
    <d v="2024-05-15T00:00:00"/>
    <s v="Tara Ferguson"/>
    <s v="Consumer"/>
    <s v="West"/>
    <x v="2"/>
    <s v="Chairs"/>
    <s v="Just Chairs"/>
    <n v="170.91"/>
    <n v="4"/>
    <n v="0.15"/>
    <n v="23.28"/>
    <s v="Profit"/>
  </r>
  <r>
    <x v="56"/>
    <d v="2025-04-26T00:00:00"/>
    <d v="2025-05-06T00:00:00"/>
    <s v="Brittany Woodward"/>
    <s v="Consumer"/>
    <s v="North"/>
    <x v="1"/>
    <s v="Laptops"/>
    <s v="Laugh Laptops"/>
    <n v="1012.45"/>
    <n v="7"/>
    <n v="0.15"/>
    <n v="20.059999999999999"/>
    <s v="Profit"/>
  </r>
  <r>
    <x v="57"/>
    <d v="2024-03-15T00:00:00"/>
    <d v="2024-03-19T00:00:00"/>
    <s v="Johnathan Logan"/>
    <s v="Consumer"/>
    <s v="North"/>
    <x v="2"/>
    <s v="Tables"/>
    <s v="Baby Tables"/>
    <n v="920.64"/>
    <n v="9"/>
    <n v="0.15"/>
    <n v="-158.69999999999999"/>
    <s v="Loss"/>
  </r>
  <r>
    <x v="58"/>
    <d v="2024-03-13T00:00:00"/>
    <d v="2024-03-21T00:00:00"/>
    <s v="Maria Walker"/>
    <s v="Corporate"/>
    <s v="West"/>
    <x v="1"/>
    <s v="Phones"/>
    <s v="Memory Phones"/>
    <n v="3354.51"/>
    <n v="9"/>
    <n v="0.2"/>
    <n v="-85.49"/>
    <s v="Loss"/>
  </r>
  <r>
    <x v="59"/>
    <d v="2025-07-23T00:00:00"/>
    <d v="2025-07-26T00:00:00"/>
    <s v="Robert Willis"/>
    <s v="Consumer"/>
    <s v="East"/>
    <x v="0"/>
    <s v="Paper"/>
    <s v="Different Paper"/>
    <n v="3731.09"/>
    <n v="8"/>
    <n v="0.15"/>
    <n v="-214.33"/>
    <s v="Loss"/>
  </r>
  <r>
    <x v="60"/>
    <d v="2025-02-03T00:00:00"/>
    <d v="2025-02-07T00:00:00"/>
    <s v="Wanda Byrd"/>
    <s v="Corporate"/>
    <s v="East"/>
    <x v="0"/>
    <s v="Paper"/>
    <s v="Fact Paper"/>
    <n v="1409.26"/>
    <n v="2"/>
    <n v="0.2"/>
    <n v="-60.39"/>
    <s v="Loss"/>
  </r>
  <r>
    <x v="61"/>
    <d v="2023-09-21T00:00:00"/>
    <d v="2023-09-23T00:00:00"/>
    <s v="John Potts"/>
    <s v="Home Office"/>
    <s v="South"/>
    <x v="1"/>
    <s v="Laptops"/>
    <s v="Shake Laptops"/>
    <n v="734.95"/>
    <n v="4"/>
    <n v="0.15"/>
    <n v="133.52000000000001"/>
    <s v="Profit"/>
  </r>
  <r>
    <x v="62"/>
    <d v="2024-04-08T00:00:00"/>
    <d v="2024-04-15T00:00:00"/>
    <s v="Monica Kelley"/>
    <s v="Corporate"/>
    <s v="West"/>
    <x v="2"/>
    <s v="Tables"/>
    <s v="Power Tables"/>
    <n v="1687.86"/>
    <n v="8"/>
    <n v="0.15"/>
    <n v="-279.77"/>
    <s v="Loss"/>
  </r>
  <r>
    <x v="63"/>
    <d v="2024-03-22T00:00:00"/>
    <d v="2024-03-23T00:00:00"/>
    <s v="Justin Farrell"/>
    <s v="Corporate"/>
    <s v="East"/>
    <x v="0"/>
    <s v="Storage"/>
    <s v="These Storage"/>
    <n v="4290.82"/>
    <n v="10"/>
    <n v="0.15"/>
    <n v="267.48"/>
    <s v="Profit"/>
  </r>
  <r>
    <x v="64"/>
    <d v="2026-04-10T00:00:00"/>
    <d v="2026-04-19T00:00:00"/>
    <s v="Joseph Sanchez"/>
    <s v="Corporate"/>
    <s v="South"/>
    <x v="1"/>
    <s v="Accessories"/>
    <s v="Still Accessories"/>
    <n v="3750.2"/>
    <n v="9"/>
    <n v="0.2"/>
    <n v="1101.79"/>
    <s v="Profit"/>
  </r>
  <r>
    <x v="65"/>
    <d v="2024-07-09T00:00:00"/>
    <d v="2024-07-17T00:00:00"/>
    <s v="Kenneth Dunn"/>
    <s v="Corporate"/>
    <s v="South"/>
    <x v="1"/>
    <s v="Accessories"/>
    <s v="Interest Accessories"/>
    <n v="193.67"/>
    <n v="6"/>
    <n v="0.2"/>
    <n v="33.61"/>
    <s v="Profit"/>
  </r>
  <r>
    <x v="66"/>
    <d v="2023-07-27T00:00:00"/>
    <d v="2023-08-06T00:00:00"/>
    <s v="Christina Henry"/>
    <s v="Consumer"/>
    <s v="North"/>
    <x v="1"/>
    <s v="Phones"/>
    <s v="Moment Phones"/>
    <n v="2693.91"/>
    <n v="7"/>
    <n v="0.2"/>
    <n v="297.45"/>
    <s v="Profit"/>
  </r>
  <r>
    <x v="67"/>
    <d v="2026-04-11T00:00:00"/>
    <d v="2026-04-14T00:00:00"/>
    <s v="Jessica Smith"/>
    <s v="Corporate"/>
    <s v="South"/>
    <x v="0"/>
    <s v="Paper"/>
    <s v="Write Paper"/>
    <n v="4340.91"/>
    <n v="3"/>
    <n v="0"/>
    <n v="-247.06"/>
    <s v="Loss"/>
  </r>
  <r>
    <x v="68"/>
    <d v="2023-08-10T00:00:00"/>
    <d v="2023-08-16T00:00:00"/>
    <s v="Daniel Williamson"/>
    <s v="Corporate"/>
    <s v="East"/>
    <x v="1"/>
    <s v="Accessories"/>
    <s v="By Accessories"/>
    <n v="3818.09"/>
    <n v="7"/>
    <n v="0.1"/>
    <n v="815.56"/>
    <s v="Profit"/>
  </r>
  <r>
    <x v="69"/>
    <d v="2025-12-02T00:00:00"/>
    <d v="2025-12-03T00:00:00"/>
    <s v="Sean Miranda"/>
    <s v="Consumer"/>
    <s v="North"/>
    <x v="2"/>
    <s v="Tables"/>
    <s v="Number Tables"/>
    <n v="3757.67"/>
    <n v="1"/>
    <n v="0.1"/>
    <n v="-288.13"/>
    <s v="Loss"/>
  </r>
  <r>
    <x v="70"/>
    <d v="2023-12-04T00:00:00"/>
    <d v="2023-12-08T00:00:00"/>
    <s v="Kelly Yoder"/>
    <s v="Corporate"/>
    <s v="North"/>
    <x v="2"/>
    <s v="Chairs"/>
    <s v="Next Chairs"/>
    <n v="4204.18"/>
    <n v="10"/>
    <n v="0.05"/>
    <n v="-289.25"/>
    <s v="Loss"/>
  </r>
  <r>
    <x v="71"/>
    <d v="2023-06-25T00:00:00"/>
    <d v="2023-07-03T00:00:00"/>
    <s v="Cristian Graham"/>
    <s v="Home Office"/>
    <s v="North"/>
    <x v="0"/>
    <s v="Binders"/>
    <s v="Back Binders"/>
    <n v="3512.35"/>
    <n v="6"/>
    <n v="0.05"/>
    <n v="467.99"/>
    <s v="Profit"/>
  </r>
  <r>
    <x v="72"/>
    <d v="2023-06-04T00:00:00"/>
    <d v="2023-06-06T00:00:00"/>
    <s v="Patricia Rojas"/>
    <s v="Corporate"/>
    <s v="West"/>
    <x v="2"/>
    <s v="Tables"/>
    <s v="Despite Tables"/>
    <n v="2914.49"/>
    <n v="5"/>
    <n v="0.2"/>
    <n v="502.87"/>
    <s v="Profit"/>
  </r>
  <r>
    <x v="73"/>
    <d v="2025-12-01T00:00:00"/>
    <d v="2025-12-03T00:00:00"/>
    <s v="Elizabeth Martin"/>
    <s v="Corporate"/>
    <s v="North"/>
    <x v="0"/>
    <s v="Binders"/>
    <s v="Generation Binders"/>
    <n v="2980.88"/>
    <n v="4"/>
    <n v="0"/>
    <n v="546.86"/>
    <s v="Profit"/>
  </r>
  <r>
    <x v="74"/>
    <d v="2023-05-25T00:00:00"/>
    <d v="2023-05-31T00:00:00"/>
    <s v="Mr. Nicholas Fischer Iii"/>
    <s v="Corporate"/>
    <s v="North"/>
    <x v="0"/>
    <s v="Binders"/>
    <s v="Whose Binders"/>
    <n v="2687.09"/>
    <n v="6"/>
    <n v="0"/>
    <n v="210.34"/>
    <s v="Profit"/>
  </r>
  <r>
    <x v="75"/>
    <d v="2024-03-19T00:00:00"/>
    <d v="2024-03-21T00:00:00"/>
    <s v="Michael Whitney"/>
    <s v="Corporate"/>
    <s v="South"/>
    <x v="1"/>
    <s v="Accessories"/>
    <s v="Give Accessories"/>
    <n v="2195.94"/>
    <n v="6"/>
    <n v="0.2"/>
    <n v="637.63"/>
    <s v="Profit"/>
  </r>
  <r>
    <x v="76"/>
    <s v="17-09-2023"/>
    <d v="2023-09-26T00:00:00"/>
    <s v="William Gonzalez"/>
    <s v="Home Office"/>
    <s v="West"/>
    <x v="1"/>
    <s v="Phones"/>
    <s v="Type Phones"/>
    <n v="4829.09"/>
    <n v="5"/>
    <n v="0.2"/>
    <n v="1180.76"/>
    <s v="Profit"/>
  </r>
  <r>
    <x v="77"/>
    <d v="2024-11-18T00:00:00"/>
    <d v="2024-11-28T00:00:00"/>
    <s v="Gabriel Daniels"/>
    <s v="Corporate"/>
    <s v="South"/>
    <x v="1"/>
    <s v="Accessories"/>
    <s v="Theory Accessories"/>
    <n v="1378.56"/>
    <n v="4"/>
    <n v="0"/>
    <n v="-64.23"/>
    <s v="Loss"/>
  </r>
  <r>
    <x v="78"/>
    <d v="2024-09-16T00:00:00"/>
    <d v="2024-09-26T00:00:00"/>
    <s v="Monica Price"/>
    <s v="Corporate"/>
    <s v="South"/>
    <x v="1"/>
    <s v="Laptops"/>
    <s v="While Laptops"/>
    <n v="3357.53"/>
    <n v="6"/>
    <n v="0"/>
    <n v="241.3"/>
    <s v="Profit"/>
  </r>
  <r>
    <x v="79"/>
    <d v="2024-07-12T00:00:00"/>
    <d v="2024-07-18T00:00:00"/>
    <s v="Christine Wood"/>
    <s v="Home Office"/>
    <s v="East"/>
    <x v="1"/>
    <s v="Phones"/>
    <s v="Wrong Phones"/>
    <n v="3999.27"/>
    <n v="6"/>
    <n v="0.1"/>
    <n v="1136.5"/>
    <s v="Profit"/>
  </r>
  <r>
    <x v="80"/>
    <d v="2024-07-20T00:00:00"/>
    <d v="2024-07-29T00:00:00"/>
    <s v="Christopher Becker"/>
    <s v="Corporate"/>
    <s v="South"/>
    <x v="0"/>
    <s v="Binders"/>
    <s v="It Binders"/>
    <n v="4742.91"/>
    <n v="2"/>
    <n v="0.05"/>
    <n v="929.81"/>
    <s v="Profit"/>
  </r>
  <r>
    <x v="81"/>
    <d v="2024-04-29T00:00:00"/>
    <d v="2024-05-07T00:00:00"/>
    <s v="Brandon Barker"/>
    <s v="Corporate"/>
    <s v="South"/>
    <x v="0"/>
    <s v="Paper"/>
    <s v="Everybody Paper"/>
    <n v="2268.46"/>
    <n v="1"/>
    <n v="0"/>
    <n v="-86.59"/>
    <s v="Loss"/>
  </r>
  <r>
    <x v="82"/>
    <d v="2025-06-19T00:00:00"/>
    <d v="2025-06-29T00:00:00"/>
    <s v="Teresa Velazquez"/>
    <s v="Home Office"/>
    <s v="East"/>
    <x v="1"/>
    <s v="Laptops"/>
    <s v="Power Laptops"/>
    <n v="1876.65"/>
    <n v="9"/>
    <n v="0.2"/>
    <n v="-20.52"/>
    <s v="Loss"/>
  </r>
  <r>
    <x v="83"/>
    <d v="2025-01-19T00:00:00"/>
    <d v="2025-01-27T00:00:00"/>
    <s v="Kristen Payne"/>
    <s v="Consumer"/>
    <s v="East"/>
    <x v="1"/>
    <s v="Laptops"/>
    <s v="Small Laptops"/>
    <n v="1391.04"/>
    <n v="5"/>
    <n v="0.05"/>
    <n v="-185.9"/>
    <s v="Loss"/>
  </r>
  <r>
    <x v="84"/>
    <d v="2023-07-31T00:00:00"/>
    <d v="2023-08-09T00:00:00"/>
    <s v="Brittany Bradley"/>
    <s v="Corporate"/>
    <s v="East"/>
    <x v="2"/>
    <s v="Bookcases"/>
    <s v="Adult Bookcases"/>
    <n v="4756.84"/>
    <n v="3"/>
    <n v="0.05"/>
    <n v="-385.25"/>
    <s v="Loss"/>
  </r>
  <r>
    <x v="85"/>
    <d v="2025-04-13T00:00:00"/>
    <d v="2025-04-22T00:00:00"/>
    <s v="Christy Harris"/>
    <s v="Corporate"/>
    <s v="South"/>
    <x v="0"/>
    <s v="Storage"/>
    <s v="Fear Storage"/>
    <n v="3004.11"/>
    <n v="2"/>
    <n v="0.05"/>
    <n v="-111.35"/>
    <s v="Loss"/>
  </r>
  <r>
    <x v="86"/>
    <d v="2025-05-19T00:00:00"/>
    <d v="2025-05-28T00:00:00"/>
    <s v="Jeremy Hood"/>
    <s v="Home Office"/>
    <s v="South"/>
    <x v="1"/>
    <s v="Phones"/>
    <s v="Drug Phones"/>
    <n v="676.59"/>
    <n v="1"/>
    <n v="0"/>
    <n v="70.599999999999994"/>
    <s v="Profit"/>
  </r>
  <r>
    <x v="87"/>
    <d v="2025-12-30T00:00:00"/>
    <d v="2026-01-01T00:00:00"/>
    <s v="Daniel Clark"/>
    <s v="Corporate"/>
    <s v="East"/>
    <x v="0"/>
    <s v="Paper"/>
    <s v="Since Paper"/>
    <n v="4369.96"/>
    <n v="10"/>
    <n v="0.1"/>
    <n v="254.19"/>
    <s v="Profit"/>
  </r>
  <r>
    <x v="88"/>
    <d v="2025-08-09T00:00:00"/>
    <d v="2025-08-14T00:00:00"/>
    <s v="Jill Ayers"/>
    <s v="Corporate"/>
    <s v="West"/>
    <x v="2"/>
    <s v="Chairs"/>
    <s v="Third Chairs"/>
    <n v="4708.26"/>
    <n v="8"/>
    <n v="0"/>
    <n v="1187.25"/>
    <s v="Profit"/>
  </r>
  <r>
    <x v="89"/>
    <d v="2024-05-11T00:00:00"/>
    <d v="2024-05-12T00:00:00"/>
    <s v="Ryan Moss"/>
    <s v="Consumer"/>
    <s v="North"/>
    <x v="2"/>
    <s v="Bookcases"/>
    <s v="Else Bookcases"/>
    <n v="801.05"/>
    <n v="10"/>
    <n v="0.1"/>
    <n v="-122.68"/>
    <s v="Loss"/>
  </r>
  <r>
    <x v="90"/>
    <d v="2026-02-01T00:00:00"/>
    <d v="2026-02-11T00:00:00"/>
    <s v="Douglas Becker"/>
    <s v="Corporate"/>
    <s v="West"/>
    <x v="0"/>
    <s v="Paper"/>
    <s v="Decide Paper"/>
    <n v="3000.83"/>
    <n v="10"/>
    <n v="0.05"/>
    <n v="680.08"/>
    <s v="Profit"/>
  </r>
  <r>
    <x v="91"/>
    <d v="2026-02-13T00:00:00"/>
    <d v="2026-02-23T00:00:00"/>
    <s v="Elizabeth Woods"/>
    <s v="Home Office"/>
    <s v="North"/>
    <x v="1"/>
    <s v="Accessories"/>
    <s v="Young Accessories"/>
    <n v="4950.6499999999996"/>
    <n v="5"/>
    <n v="0.2"/>
    <n v="700.84"/>
    <s v="Profit"/>
  </r>
  <r>
    <x v="92"/>
    <d v="2025-06-07T00:00:00"/>
    <d v="2025-06-11T00:00:00"/>
    <s v="Daniel Adams"/>
    <s v="Home Office"/>
    <s v="North"/>
    <x v="2"/>
    <s v="Bookcases"/>
    <s v="Soldier Bookcases"/>
    <n v="1360"/>
    <n v="2"/>
    <n v="0.05"/>
    <n v="-92.58"/>
    <s v="Loss"/>
  </r>
  <r>
    <x v="93"/>
    <d v="2023-12-11T00:00:00"/>
    <d v="2023-12-18T00:00:00"/>
    <s v="Rhonda Perez"/>
    <s v="Consumer"/>
    <s v="East"/>
    <x v="2"/>
    <s v="Chairs"/>
    <s v="Forget Chairs"/>
    <n v="2279.9899999999998"/>
    <n v="10"/>
    <n v="0.15"/>
    <n v="-90.76"/>
    <s v="Loss"/>
  </r>
  <r>
    <x v="94"/>
    <d v="2025-08-02T00:00:00"/>
    <d v="2025-08-10T00:00:00"/>
    <s v="Amanda Watkins"/>
    <s v="Home Office"/>
    <s v="South"/>
    <x v="0"/>
    <s v="Paper"/>
    <s v="What Paper"/>
    <n v="402.34"/>
    <n v="4"/>
    <n v="0.1"/>
    <n v="93.87"/>
    <s v="Profit"/>
  </r>
  <r>
    <x v="95"/>
    <s v="17-08-2024"/>
    <d v="2024-08-26T00:00:00"/>
    <s v="Kimberly Wood"/>
    <s v="Consumer"/>
    <s v="North"/>
    <x v="1"/>
    <s v="Phones"/>
    <s v="Admit Phones"/>
    <n v="1162.81"/>
    <n v="3"/>
    <n v="0.1"/>
    <n v="296.11"/>
    <s v="Profit"/>
  </r>
  <r>
    <x v="96"/>
    <d v="2024-01-07T00:00:00"/>
    <d v="2024-01-17T00:00:00"/>
    <s v="Eric Collins"/>
    <s v="Corporate"/>
    <s v="East"/>
    <x v="2"/>
    <s v="Tables"/>
    <s v="Year Tables"/>
    <n v="3757.34"/>
    <n v="10"/>
    <n v="0.1"/>
    <n v="156.06"/>
    <s v="Profit"/>
  </r>
  <r>
    <x v="97"/>
    <d v="2024-01-08T00:00:00"/>
    <d v="2024-01-13T00:00:00"/>
    <s v="Unknown"/>
    <s v="Consumer"/>
    <s v="West"/>
    <x v="0"/>
    <s v="Paper"/>
    <s v="Chance Paper"/>
    <n v="2527.34"/>
    <n v="8"/>
    <n v="0.15"/>
    <n v="-393.65"/>
    <s v="Loss"/>
  </r>
  <r>
    <x v="98"/>
    <d v="2025-10-06T00:00:00"/>
    <d v="2025-10-16T00:00:00"/>
    <s v="Yolanda Burke"/>
    <s v="Home Office"/>
    <s v="North"/>
    <x v="0"/>
    <s v="Paper"/>
    <s v="Fall Paper"/>
    <n v="1289.32"/>
    <n v="2"/>
    <n v="0.05"/>
    <n v="424.25"/>
    <s v="Profit"/>
  </r>
  <r>
    <x v="99"/>
    <d v="2026-03-27T00:00:00"/>
    <d v="2026-04-06T00:00:00"/>
    <s v="Sara Miller"/>
    <s v="Corporate"/>
    <s v="East"/>
    <x v="0"/>
    <s v="Paper"/>
    <s v="Song Paper"/>
    <n v="249.15"/>
    <n v="3"/>
    <n v="0.15"/>
    <n v="21.28"/>
    <s v="Profit"/>
  </r>
  <r>
    <x v="100"/>
    <d v="2024-06-06T00:00:00"/>
    <d v="2024-06-13T00:00:00"/>
    <s v="Jacqueline Hernandez"/>
    <s v="Corporate"/>
    <s v="East"/>
    <x v="2"/>
    <s v="Bookcases"/>
    <s v="End Bookcases"/>
    <n v="3192.18"/>
    <n v="8"/>
    <n v="0"/>
    <n v="186.76"/>
    <s v="Profit"/>
  </r>
  <r>
    <x v="101"/>
    <d v="2024-11-29T00:00:00"/>
    <d v="2024-12-01T00:00:00"/>
    <s v="Frederick Norris"/>
    <s v="Corporate"/>
    <s v="West"/>
    <x v="1"/>
    <s v="Laptops"/>
    <s v="Role Laptops"/>
    <n v="4295.78"/>
    <n v="6"/>
    <n v="0.15"/>
    <n v="779.77"/>
    <s v="Profit"/>
  </r>
  <r>
    <x v="102"/>
    <d v="2024-12-10T00:00:00"/>
    <d v="2024-12-18T00:00:00"/>
    <s v="Richard Day"/>
    <s v="Corporate"/>
    <s v="North"/>
    <x v="0"/>
    <s v="Binders"/>
    <s v="Money Binders"/>
    <n v="485.9"/>
    <n v="5"/>
    <n v="0.1"/>
    <n v="-66.2"/>
    <s v="Loss"/>
  </r>
  <r>
    <x v="103"/>
    <d v="2026-05-08T00:00:00"/>
    <d v="2026-05-16T00:00:00"/>
    <s v="Michelle Ryan"/>
    <s v="Corporate"/>
    <s v="West"/>
    <x v="0"/>
    <s v="Storage"/>
    <s v="Somebody Storage"/>
    <n v="2095.58"/>
    <n v="4"/>
    <n v="0.2"/>
    <n v="-2.14"/>
    <s v="Loss"/>
  </r>
  <r>
    <x v="104"/>
    <d v="2023-10-14T00:00:00"/>
    <d v="2023-10-19T00:00:00"/>
    <s v="Robert Rice"/>
    <s v="Corporate"/>
    <s v="West"/>
    <x v="2"/>
    <s v="Chairs"/>
    <s v="Manager Chairs"/>
    <n v="2768.64"/>
    <n v="5"/>
    <n v="0.15"/>
    <n v="787.58"/>
    <s v="Profit"/>
  </r>
  <r>
    <x v="105"/>
    <d v="2024-09-16T00:00:00"/>
    <d v="2024-09-26T00:00:00"/>
    <s v="Samantha Hernandez Phd"/>
    <s v="Home Office"/>
    <s v="West"/>
    <x v="2"/>
    <s v="Bookcases"/>
    <s v="Something Bookcases"/>
    <n v="4006.6"/>
    <n v="3"/>
    <n v="0.1"/>
    <n v="412.53"/>
    <s v="Profit"/>
  </r>
  <r>
    <x v="106"/>
    <d v="2025-01-26T00:00:00"/>
    <d v="2025-01-28T00:00:00"/>
    <s v="Gregory Munoz"/>
    <s v="Corporate"/>
    <s v="East"/>
    <x v="2"/>
    <s v="Chairs"/>
    <s v="Role Chairs"/>
    <n v="2334.17"/>
    <n v="2"/>
    <n v="0.2"/>
    <n v="601.47"/>
    <s v="Profit"/>
  </r>
  <r>
    <x v="107"/>
    <d v="2023-08-31T00:00:00"/>
    <d v="2023-09-05T00:00:00"/>
    <s v="Dawn Lee"/>
    <s v="Home Office"/>
    <s v="South"/>
    <x v="0"/>
    <s v="Storage"/>
    <s v="Task Storage"/>
    <n v="2106.6799999999998"/>
    <n v="8"/>
    <n v="0.15"/>
    <n v="-138.93"/>
    <s v="Loss"/>
  </r>
  <r>
    <x v="108"/>
    <d v="2026-03-28T00:00:00"/>
    <d v="2026-04-07T00:00:00"/>
    <s v="Michael Bell"/>
    <s v="Home Office"/>
    <s v="East"/>
    <x v="1"/>
    <s v="Phones"/>
    <s v="Kitchen Phones"/>
    <n v="2565.79"/>
    <n v="3"/>
    <n v="0"/>
    <n v="-123.32"/>
    <s v="Loss"/>
  </r>
  <r>
    <x v="109"/>
    <d v="2025-12-11T00:00:00"/>
    <d v="2025-12-12T00:00:00"/>
    <s v="Lisa Phelps"/>
    <s v="Home Office"/>
    <s v="West"/>
    <x v="0"/>
    <s v="Paper"/>
    <s v="Record Paper"/>
    <n v="1450.05"/>
    <n v="5"/>
    <n v="0.2"/>
    <n v="172.49"/>
    <s v="Profit"/>
  </r>
  <r>
    <x v="110"/>
    <d v="2023-12-03T00:00:00"/>
    <d v="2023-12-12T00:00:00"/>
    <s v="Blake Butler"/>
    <s v="Corporate"/>
    <s v="West"/>
    <x v="2"/>
    <s v="Tables"/>
    <s v="Customer Tables"/>
    <n v="2447.4899999999998"/>
    <n v="6"/>
    <n v="0.2"/>
    <n v="537.41999999999996"/>
    <s v="Profit"/>
  </r>
  <r>
    <x v="111"/>
    <d v="2025-02-04T00:00:00"/>
    <d v="2025-02-08T00:00:00"/>
    <s v="Tonya Turner"/>
    <s v="Home Office"/>
    <s v="West"/>
    <x v="1"/>
    <s v="Phones"/>
    <s v="Cold Phones"/>
    <n v="2880.4"/>
    <n v="4"/>
    <n v="0.15"/>
    <n v="-506.93"/>
    <s v="Loss"/>
  </r>
  <r>
    <x v="112"/>
    <d v="2024-10-02T00:00:00"/>
    <d v="2024-10-09T00:00:00"/>
    <s v="Tina Brady"/>
    <s v="Consumer"/>
    <s v="East"/>
    <x v="0"/>
    <s v="Paper"/>
    <s v="Mission Paper"/>
    <n v="4942.6499999999996"/>
    <n v="3"/>
    <n v="0.15"/>
    <n v="1634.3"/>
    <s v="Profit"/>
  </r>
  <r>
    <x v="113"/>
    <d v="2025-06-04T00:00:00"/>
    <d v="2025-06-06T00:00:00"/>
    <s v="Alexander Cook"/>
    <s v="Corporate"/>
    <s v="South"/>
    <x v="2"/>
    <s v="Tables"/>
    <s v="Every Tables"/>
    <n v="2653.46"/>
    <n v="8"/>
    <n v="0"/>
    <n v="523.64"/>
    <s v="Profit"/>
  </r>
  <r>
    <x v="114"/>
    <d v="2023-08-31T00:00:00"/>
    <d v="2023-09-05T00:00:00"/>
    <s v="Andrew Gardner"/>
    <s v="Corporate"/>
    <s v="West"/>
    <x v="2"/>
    <s v="Tables"/>
    <s v="Collection Tables"/>
    <n v="1725.88"/>
    <n v="7"/>
    <n v="0.2"/>
    <n v="-268.94"/>
    <s v="Loss"/>
  </r>
  <r>
    <x v="115"/>
    <d v="2026-02-12T00:00:00"/>
    <d v="2026-02-20T00:00:00"/>
    <s v="Rita Perry"/>
    <s v="Home Office"/>
    <s v="East"/>
    <x v="1"/>
    <s v="Laptops"/>
    <s v="So Laptops"/>
    <n v="4368.3"/>
    <n v="1"/>
    <n v="0.2"/>
    <n v="-709.27"/>
    <s v="Loss"/>
  </r>
  <r>
    <x v="116"/>
    <d v="2026-04-08T00:00:00"/>
    <d v="2026-04-10T00:00:00"/>
    <s v="William Miller Jr."/>
    <s v="Consumer"/>
    <s v="West"/>
    <x v="2"/>
    <s v="Bookcases"/>
    <s v="Decision Bookcases"/>
    <n v="2198.16"/>
    <n v="2"/>
    <n v="0.2"/>
    <n v="411.36"/>
    <s v="Profit"/>
  </r>
  <r>
    <x v="117"/>
    <d v="2024-04-12T00:00:00"/>
    <d v="2024-04-17T00:00:00"/>
    <s v="Henry Williams"/>
    <s v="Corporate"/>
    <s v="East"/>
    <x v="2"/>
    <s v="Bookcases"/>
    <s v="Case Bookcases"/>
    <n v="4521.95"/>
    <n v="1"/>
    <n v="0.1"/>
    <n v="1075.68"/>
    <s v="Profit"/>
  </r>
  <r>
    <x v="118"/>
    <d v="2024-05-18T00:00:00"/>
    <d v="2024-05-21T00:00:00"/>
    <s v="Alexis Robertson"/>
    <s v="Consumer"/>
    <s v="South"/>
    <x v="1"/>
    <s v="Accessories"/>
    <s v="Century Accessories"/>
    <n v="1258.78"/>
    <n v="7"/>
    <n v="0.2"/>
    <n v="220.27"/>
    <s v="Profit"/>
  </r>
  <r>
    <x v="119"/>
    <d v="2024-02-29T00:00:00"/>
    <d v="2024-03-10T00:00:00"/>
    <s v="Andrew Wang"/>
    <s v="Home Office"/>
    <s v="South"/>
    <x v="2"/>
    <s v="Chairs"/>
    <s v="Whole Chairs"/>
    <n v="4360.66"/>
    <n v="10"/>
    <n v="0.2"/>
    <n v="-294.52999999999997"/>
    <s v="Loss"/>
  </r>
  <r>
    <x v="120"/>
    <d v="2025-10-31T00:00:00"/>
    <d v="2025-11-05T00:00:00"/>
    <s v="James Collier"/>
    <s v="Home Office"/>
    <s v="South"/>
    <x v="2"/>
    <s v="Tables"/>
    <s v="Anything Tables"/>
    <n v="2324.87"/>
    <n v="1"/>
    <n v="0.15"/>
    <n v="687.38"/>
    <s v="Profit"/>
  </r>
  <r>
    <x v="121"/>
    <d v="2025-01-05T00:00:00"/>
    <d v="2025-01-11T00:00:00"/>
    <s v="Christopher Lee"/>
    <s v="Home Office"/>
    <s v="East"/>
    <x v="2"/>
    <s v="Tables"/>
    <s v="Human Tables"/>
    <n v="4938.88"/>
    <n v="5"/>
    <n v="0.2"/>
    <n v="1625.46"/>
    <s v="Profit"/>
  </r>
  <r>
    <x v="122"/>
    <d v="2023-12-13T00:00:00"/>
    <d v="2023-12-17T00:00:00"/>
    <s v="Heather George"/>
    <s v="Home Office"/>
    <s v="East"/>
    <x v="1"/>
    <s v="Accessories"/>
    <s v="Consumer Accessories"/>
    <n v="4996.8999999999996"/>
    <n v="8"/>
    <n v="0"/>
    <n v="-347.47"/>
    <s v="Loss"/>
  </r>
  <r>
    <x v="123"/>
    <d v="2024-04-03T00:00:00"/>
    <d v="2024-04-08T00:00:00"/>
    <s v="Andrea Sanchez"/>
    <s v="Home Office"/>
    <s v="North"/>
    <x v="0"/>
    <s v="Paper"/>
    <s v="Thing Paper"/>
    <n v="158.6"/>
    <n v="7"/>
    <n v="0.1"/>
    <n v="-31.01"/>
    <s v="Loss"/>
  </r>
  <r>
    <x v="124"/>
    <d v="2023-08-09T00:00:00"/>
    <d v="2023-08-17T00:00:00"/>
    <s v="Travis Perkins"/>
    <s v="Corporate"/>
    <s v="South"/>
    <x v="0"/>
    <s v="Storage"/>
    <s v="Son Storage"/>
    <n v="4172.55"/>
    <n v="5"/>
    <n v="0.05"/>
    <n v="558.64"/>
    <s v="Profit"/>
  </r>
  <r>
    <x v="125"/>
    <d v="2025-04-07T00:00:00"/>
    <d v="2025-04-17T00:00:00"/>
    <s v="Mark Mora"/>
    <s v="Home Office"/>
    <s v="North"/>
    <x v="0"/>
    <s v="Binders"/>
    <s v="Garden Binders"/>
    <n v="1290.5999999999999"/>
    <n v="3"/>
    <n v="0.2"/>
    <n v="-189.15"/>
    <s v="Loss"/>
  </r>
  <r>
    <x v="126"/>
    <d v="2024-03-31T00:00:00"/>
    <d v="2024-04-01T00:00:00"/>
    <s v="Megan Ortega"/>
    <s v="Corporate"/>
    <s v="West"/>
    <x v="1"/>
    <s v="Accessories"/>
    <s v="Him Accessories"/>
    <n v="2918.89"/>
    <n v="3"/>
    <n v="0"/>
    <n v="876.53"/>
    <s v="Profit"/>
  </r>
  <r>
    <x v="127"/>
    <d v="2023-11-02T00:00:00"/>
    <d v="2023-11-05T00:00:00"/>
    <s v="Curtis Morris"/>
    <s v="Corporate"/>
    <s v="South"/>
    <x v="2"/>
    <s v="Chairs"/>
    <s v="Song Chairs"/>
    <n v="3943.24"/>
    <n v="6"/>
    <n v="0.2"/>
    <n v="299.64"/>
    <s v="Profit"/>
  </r>
  <r>
    <x v="128"/>
    <d v="2024-02-16T00:00:00"/>
    <d v="2024-02-21T00:00:00"/>
    <s v="Richard Brown"/>
    <s v="Consumer"/>
    <s v="South"/>
    <x v="1"/>
    <s v="Accessories"/>
    <s v="Help Accessories"/>
    <n v="3745.47"/>
    <n v="6"/>
    <n v="0"/>
    <n v="215.67"/>
    <s v="Profit"/>
  </r>
  <r>
    <x v="129"/>
    <d v="2024-11-05T00:00:00"/>
    <d v="2024-11-12T00:00:00"/>
    <s v="Shannon Smith"/>
    <s v="Corporate"/>
    <s v="North"/>
    <x v="2"/>
    <s v="Bookcases"/>
    <s v="Piece Bookcases"/>
    <n v="4837.99"/>
    <n v="9"/>
    <n v="0.1"/>
    <n v="-727.31"/>
    <s v="Loss"/>
  </r>
  <r>
    <x v="130"/>
    <d v="2025-03-12T00:00:00"/>
    <d v="2025-03-14T00:00:00"/>
    <s v="Robert Armstrong"/>
    <s v="Home Office"/>
    <s v="East"/>
    <x v="1"/>
    <s v="Laptops"/>
    <s v="Term Laptops"/>
    <n v="2301.19"/>
    <n v="5"/>
    <n v="0.2"/>
    <n v="22.01"/>
    <s v="Profit"/>
  </r>
  <r>
    <x v="131"/>
    <d v="2025-04-16T00:00:00"/>
    <d v="2025-04-20T00:00:00"/>
    <s v="Marcia Jackson"/>
    <s v="Home Office"/>
    <s v="South"/>
    <x v="2"/>
    <s v="Bookcases"/>
    <s v="Often Bookcases"/>
    <n v="2383.81"/>
    <n v="10"/>
    <n v="0.2"/>
    <n v="-46.71"/>
    <s v="Loss"/>
  </r>
  <r>
    <x v="132"/>
    <s v="02-05-2025"/>
    <d v="2025-05-10T00:00:00"/>
    <s v="Maria Cardenas"/>
    <s v="Consumer"/>
    <s v="North"/>
    <x v="0"/>
    <s v="Binders"/>
    <s v="Just Binders"/>
    <n v="4551.47"/>
    <n v="5"/>
    <n v="0.2"/>
    <n v="111.8"/>
    <s v="Profit"/>
  </r>
  <r>
    <x v="133"/>
    <d v="2025-06-15T00:00:00"/>
    <d v="2025-06-23T00:00:00"/>
    <s v="Unknown"/>
    <s v="Corporate"/>
    <s v="East"/>
    <x v="2"/>
    <s v="Tables"/>
    <s v="Sound Tables"/>
    <n v="624.79999999999995"/>
    <n v="4"/>
    <n v="0.2"/>
    <n v="-78.34"/>
    <s v="Loss"/>
  </r>
  <r>
    <x v="134"/>
    <d v="2026-01-11T00:00:00"/>
    <d v="2026-01-20T00:00:00"/>
    <s v="Jennifer Carter"/>
    <s v="Corporate"/>
    <s v="West"/>
    <x v="0"/>
    <s v="Storage"/>
    <s v="Wear Storage"/>
    <n v="2124.6799999999998"/>
    <n v="3"/>
    <n v="0.15"/>
    <n v="340.39"/>
    <s v="Profit"/>
  </r>
  <r>
    <x v="135"/>
    <d v="2025-04-29T00:00:00"/>
    <d v="2025-05-05T00:00:00"/>
    <s v="Austin Brown"/>
    <s v="Consumer"/>
    <s v="East"/>
    <x v="1"/>
    <s v="Phones"/>
    <s v="Cause Phones"/>
    <n v="1125.48"/>
    <n v="8"/>
    <n v="0.05"/>
    <n v="304.44"/>
    <s v="Profit"/>
  </r>
  <r>
    <x v="136"/>
    <d v="2023-07-24T00:00:00"/>
    <d v="2023-07-30T00:00:00"/>
    <s v="Alice Villanueva"/>
    <s v="Corporate"/>
    <s v="North"/>
    <x v="0"/>
    <s v="Storage"/>
    <s v="Site Storage"/>
    <n v="349.72"/>
    <n v="5"/>
    <n v="0.05"/>
    <n v="116.29"/>
    <s v="Profit"/>
  </r>
  <r>
    <x v="137"/>
    <d v="2026-03-18T00:00:00"/>
    <d v="2026-03-28T00:00:00"/>
    <s v="Cheryl Curtis"/>
    <s v="Consumer"/>
    <s v="South"/>
    <x v="0"/>
    <s v="Binders"/>
    <s v="Professor Binders"/>
    <n v="4856.91"/>
    <n v="1"/>
    <n v="0.1"/>
    <n v="-320.74"/>
    <s v="Loss"/>
  </r>
  <r>
    <x v="138"/>
    <d v="2025-08-01T00:00:00"/>
    <d v="2025-08-05T00:00:00"/>
    <s v="Clinton Smith"/>
    <s v="Home Office"/>
    <s v="North"/>
    <x v="2"/>
    <s v="Bookcases"/>
    <s v="Into Bookcases"/>
    <n v="2952.6"/>
    <n v="4"/>
    <n v="0.1"/>
    <n v="667"/>
    <s v="Profit"/>
  </r>
  <r>
    <x v="139"/>
    <d v="2024-04-21T00:00:00"/>
    <d v="2024-04-24T00:00:00"/>
    <s v="Jessica Greene"/>
    <s v="Home Office"/>
    <s v="South"/>
    <x v="1"/>
    <s v="Phones"/>
    <s v="Protect Phones"/>
    <n v="2724.07"/>
    <n v="3"/>
    <n v="0"/>
    <n v="445.61"/>
    <s v="Profit"/>
  </r>
  <r>
    <x v="140"/>
    <d v="2024-01-19T00:00:00"/>
    <d v="2024-01-23T00:00:00"/>
    <s v="Barry Padilla"/>
    <s v="Consumer"/>
    <s v="West"/>
    <x v="2"/>
    <s v="Tables"/>
    <s v="Back Tables"/>
    <n v="2964.82"/>
    <n v="1"/>
    <n v="0.05"/>
    <n v="-160.24"/>
    <s v="Loss"/>
  </r>
  <r>
    <x v="141"/>
    <d v="2025-10-08T00:00:00"/>
    <d v="2025-10-10T00:00:00"/>
    <s v="John Lowery"/>
    <s v="Corporate"/>
    <s v="South"/>
    <x v="0"/>
    <s v="Binders"/>
    <s v="Race Binders"/>
    <n v="2407.42"/>
    <n v="6"/>
    <n v="0.2"/>
    <n v="304.58"/>
    <s v="Profit"/>
  </r>
  <r>
    <x v="142"/>
    <d v="2023-06-06T00:00:00"/>
    <d v="2023-06-15T00:00:00"/>
    <s v="Sharon Scott"/>
    <s v="Corporate"/>
    <s v="West"/>
    <x v="0"/>
    <s v="Binders"/>
    <s v="Goal Binders"/>
    <n v="1543.07"/>
    <n v="1"/>
    <n v="0"/>
    <n v="538.88"/>
    <s v="Profit"/>
  </r>
  <r>
    <x v="143"/>
    <d v="2024-10-18T00:00:00"/>
    <d v="2024-10-26T00:00:00"/>
    <s v="Stephanie Marshall"/>
    <s v="Corporate"/>
    <s v="South"/>
    <x v="0"/>
    <s v="Binders"/>
    <s v="Sister Binders"/>
    <n v="3576.39"/>
    <n v="8"/>
    <n v="0"/>
    <n v="1053.5899999999999"/>
    <s v="Profit"/>
  </r>
  <r>
    <x v="144"/>
    <d v="2024-08-20T00:00:00"/>
    <d v="2024-08-25T00:00:00"/>
    <s v="Michelle Fuller"/>
    <s v="Corporate"/>
    <s v="East"/>
    <x v="2"/>
    <s v="Chairs"/>
    <s v="Near Chairs"/>
    <n v="3140.37"/>
    <n v="10"/>
    <n v="0.2"/>
    <n v="601.96"/>
    <s v="Profit"/>
  </r>
  <r>
    <x v="145"/>
    <d v="2025-05-27T00:00:00"/>
    <d v="2025-06-06T00:00:00"/>
    <s v="Christopher Pollard"/>
    <s v="Home Office"/>
    <s v="South"/>
    <x v="1"/>
    <s v="Laptops"/>
    <s v="Level Laptops"/>
    <n v="2179.4899999999998"/>
    <n v="2"/>
    <n v="0.2"/>
    <n v="344.37"/>
    <s v="Profit"/>
  </r>
  <r>
    <x v="146"/>
    <d v="2025-11-19T00:00:00"/>
    <d v="2025-11-23T00:00:00"/>
    <s v="Shane Morse"/>
    <s v="Consumer"/>
    <s v="East"/>
    <x v="1"/>
    <s v="Accessories"/>
    <s v="Evidence Accessories"/>
    <n v="2098.38"/>
    <n v="8"/>
    <n v="0.15"/>
    <n v="60.42"/>
    <s v="Profit"/>
  </r>
  <r>
    <x v="147"/>
    <d v="2024-07-24T00:00:00"/>
    <d v="2024-07-29T00:00:00"/>
    <s v="Teresa Duke"/>
    <s v="Consumer"/>
    <s v="North"/>
    <x v="1"/>
    <s v="Accessories"/>
    <s v="Own Accessories"/>
    <n v="1902.79"/>
    <n v="3"/>
    <n v="0.2"/>
    <n v="585.38"/>
    <s v="Profit"/>
  </r>
  <r>
    <x v="148"/>
    <d v="2025-04-24T00:00:00"/>
    <d v="2025-05-01T00:00:00"/>
    <s v="Amanda Murray"/>
    <s v="Home Office"/>
    <s v="East"/>
    <x v="2"/>
    <s v="Chairs"/>
    <s v="Room Chairs"/>
    <n v="527.99"/>
    <n v="6"/>
    <n v="0.05"/>
    <n v="55.97"/>
    <s v="Profit"/>
  </r>
  <r>
    <x v="149"/>
    <d v="2024-11-26T00:00:00"/>
    <d v="2024-12-03T00:00:00"/>
    <s v="Kristina Stanley"/>
    <s v="Corporate"/>
    <s v="East"/>
    <x v="0"/>
    <s v="Binders"/>
    <s v="At Binders"/>
    <n v="1800.31"/>
    <n v="7"/>
    <n v="0.2"/>
    <n v="-309.12"/>
    <s v="Loss"/>
  </r>
  <r>
    <x v="150"/>
    <d v="2023-10-11T00:00:00"/>
    <d v="2023-10-21T00:00:00"/>
    <s v="Sheryl Davenport"/>
    <s v="Consumer"/>
    <s v="East"/>
    <x v="1"/>
    <s v="Phones"/>
    <s v="Our Phones"/>
    <n v="2561.69"/>
    <n v="3"/>
    <n v="0.2"/>
    <n v="167.03"/>
    <s v="Profit"/>
  </r>
  <r>
    <x v="151"/>
    <d v="2024-07-24T00:00:00"/>
    <d v="2024-07-26T00:00:00"/>
    <s v="Kendra Gonzalez"/>
    <s v="Home Office"/>
    <s v="North"/>
    <x v="0"/>
    <s v="Paper"/>
    <s v="Scene Paper"/>
    <n v="3824.9"/>
    <n v="10"/>
    <n v="0.05"/>
    <n v="933.17"/>
    <s v="Profit"/>
  </r>
  <r>
    <x v="152"/>
    <d v="2026-04-11T00:00:00"/>
    <d v="2026-04-16T00:00:00"/>
    <s v="Lawrence Kennedy"/>
    <s v="Corporate"/>
    <s v="East"/>
    <x v="0"/>
    <s v="Storage"/>
    <s v="Might Storage"/>
    <n v="193.32"/>
    <n v="5"/>
    <n v="0.2"/>
    <n v="42.4"/>
    <s v="Profit"/>
  </r>
  <r>
    <x v="153"/>
    <d v="2024-08-07T00:00:00"/>
    <d v="2024-08-10T00:00:00"/>
    <s v="Brandon Thompson"/>
    <s v="Home Office"/>
    <s v="North"/>
    <x v="2"/>
    <s v="Chairs"/>
    <s v="Three Chairs"/>
    <n v="2853.29"/>
    <n v="7"/>
    <n v="0"/>
    <n v="-348.01"/>
    <s v="Loss"/>
  </r>
  <r>
    <x v="154"/>
    <d v="2023-08-21T00:00:00"/>
    <d v="2023-08-30T00:00:00"/>
    <s v="Ryan Johnson"/>
    <s v="Corporate"/>
    <s v="East"/>
    <x v="2"/>
    <s v="Bookcases"/>
    <s v="Firm Bookcases"/>
    <n v="1114.9100000000001"/>
    <n v="7"/>
    <n v="0.15"/>
    <n v="-13.94"/>
    <s v="Loss"/>
  </r>
  <r>
    <x v="155"/>
    <d v="2023-09-22T00:00:00"/>
    <d v="2023-10-02T00:00:00"/>
    <s v="Unknown"/>
    <s v="Home Office"/>
    <s v="North"/>
    <x v="0"/>
    <s v="Paper"/>
    <s v="Able Paper"/>
    <n v="3001.31"/>
    <n v="1"/>
    <n v="0.05"/>
    <n v="-340.42"/>
    <s v="Loss"/>
  </r>
  <r>
    <x v="156"/>
    <d v="2023-10-06T00:00:00"/>
    <d v="2023-10-11T00:00:00"/>
    <s v="Amber Reyes"/>
    <s v="Corporate"/>
    <s v="East"/>
    <x v="0"/>
    <s v="Binders"/>
    <s v="Go Binders"/>
    <n v="2243.41"/>
    <n v="7"/>
    <n v="0.15"/>
    <n v="300.37"/>
    <s v="Profit"/>
  </r>
  <r>
    <x v="157"/>
    <d v="2025-09-13T00:00:00"/>
    <d v="2025-09-15T00:00:00"/>
    <s v="Jaime Carpenter"/>
    <s v="Home Office"/>
    <s v="West"/>
    <x v="2"/>
    <s v="Bookcases"/>
    <s v="Discuss Bookcases"/>
    <n v="1758.61"/>
    <n v="2"/>
    <n v="0.1"/>
    <n v="304.27"/>
    <s v="Profit"/>
  </r>
  <r>
    <x v="158"/>
    <d v="2025-06-20T00:00:00"/>
    <d v="2025-06-25T00:00:00"/>
    <s v="Tammy Walker"/>
    <s v="Consumer"/>
    <s v="East"/>
    <x v="0"/>
    <s v="Storage"/>
    <s v="Sport Storage"/>
    <n v="274.82"/>
    <n v="7"/>
    <n v="0.2"/>
    <n v="-46.68"/>
    <s v="Loss"/>
  </r>
  <r>
    <x v="159"/>
    <d v="2024-07-09T00:00:00"/>
    <d v="2024-07-14T00:00:00"/>
    <s v="Bruce Klein"/>
    <s v="Corporate"/>
    <s v="South"/>
    <x v="2"/>
    <s v="Chairs"/>
    <s v="Nation Chairs"/>
    <n v="1482.76"/>
    <n v="2"/>
    <n v="0"/>
    <n v="109.07"/>
    <s v="Profit"/>
  </r>
  <r>
    <x v="160"/>
    <d v="2025-11-03T00:00:00"/>
    <d v="2025-11-12T00:00:00"/>
    <s v="Victoria Winters"/>
    <s v="Corporate"/>
    <s v="North"/>
    <x v="2"/>
    <s v="Tables"/>
    <s v="Less Tables"/>
    <n v="3533.17"/>
    <n v="9"/>
    <n v="0.2"/>
    <n v="912.78"/>
    <s v="Profit"/>
  </r>
  <r>
    <x v="161"/>
    <d v="2026-05-03T00:00:00"/>
    <d v="2026-05-04T00:00:00"/>
    <s v="Caroline Beck"/>
    <s v="Home Office"/>
    <s v="West"/>
    <x v="1"/>
    <s v="Laptops"/>
    <s v="Project Laptops"/>
    <n v="2209.29"/>
    <n v="8"/>
    <n v="0"/>
    <n v="605.70000000000005"/>
    <s v="Profit"/>
  </r>
  <r>
    <x v="162"/>
    <d v="2024-09-20T00:00:00"/>
    <d v="2024-09-27T00:00:00"/>
    <s v="Jerry Jackson"/>
    <s v="Consumer"/>
    <s v="West"/>
    <x v="0"/>
    <s v="Paper"/>
    <s v="President Paper"/>
    <n v="1483.1"/>
    <n v="7"/>
    <n v="0"/>
    <n v="491.51"/>
    <s v="Profit"/>
  </r>
  <r>
    <x v="163"/>
    <d v="2025-08-06T00:00:00"/>
    <d v="2025-08-08T00:00:00"/>
    <s v="Pamela Johnson"/>
    <s v="Corporate"/>
    <s v="North"/>
    <x v="0"/>
    <s v="Paper"/>
    <s v="Myself Paper"/>
    <n v="2211.7199999999998"/>
    <n v="2"/>
    <n v="0.05"/>
    <n v="87.63"/>
    <s v="Profit"/>
  </r>
  <r>
    <x v="164"/>
    <d v="2026-04-27T00:00:00"/>
    <d v="2026-05-03T00:00:00"/>
    <s v="Sharon Clay"/>
    <s v="Consumer"/>
    <s v="South"/>
    <x v="1"/>
    <s v="Accessories"/>
    <s v="Car Accessories"/>
    <n v="1146.78"/>
    <n v="3"/>
    <n v="0"/>
    <n v="92.62"/>
    <s v="Profit"/>
  </r>
  <r>
    <x v="165"/>
    <d v="2024-08-25T00:00:00"/>
    <d v="2024-08-28T00:00:00"/>
    <s v="Stephen Andrews"/>
    <s v="Home Office"/>
    <s v="South"/>
    <x v="1"/>
    <s v="Accessories"/>
    <s v="Stay Accessories"/>
    <n v="1219.53"/>
    <n v="3"/>
    <n v="0.1"/>
    <n v="-111.59"/>
    <s v="Loss"/>
  </r>
  <r>
    <x v="166"/>
    <d v="2025-11-09T00:00:00"/>
    <d v="2025-11-12T00:00:00"/>
    <s v="Angela Mercado"/>
    <s v="Home Office"/>
    <s v="West"/>
    <x v="0"/>
    <s v="Binders"/>
    <s v="Almost Binders"/>
    <n v="4758.8999999999996"/>
    <n v="8"/>
    <n v="0.15"/>
    <n v="1022.9"/>
    <s v="Profit"/>
  </r>
  <r>
    <x v="167"/>
    <d v="2024-04-24T00:00:00"/>
    <d v="2024-05-04T00:00:00"/>
    <s v="Daniel Wolfe"/>
    <s v="Corporate"/>
    <s v="West"/>
    <x v="0"/>
    <s v="Storage"/>
    <s v="Name Storage"/>
    <n v="1649.88"/>
    <n v="6"/>
    <n v="0.05"/>
    <n v="69.08"/>
    <s v="Profit"/>
  </r>
  <r>
    <x v="168"/>
    <d v="2025-12-19T00:00:00"/>
    <d v="2025-12-24T00:00:00"/>
    <s v="Erik Turner"/>
    <s v="Corporate"/>
    <s v="West"/>
    <x v="0"/>
    <s v="Paper"/>
    <s v="Hear Paper"/>
    <n v="2977.53"/>
    <n v="6"/>
    <n v="0.2"/>
    <n v="-474.01"/>
    <s v="Loss"/>
  </r>
  <r>
    <x v="169"/>
    <d v="2026-02-12T00:00:00"/>
    <d v="2026-02-18T00:00:00"/>
    <s v="Brian Grant"/>
    <s v="Consumer"/>
    <s v="West"/>
    <x v="2"/>
    <s v="Chairs"/>
    <s v="Bank Chairs"/>
    <n v="4166.8999999999996"/>
    <n v="2"/>
    <n v="0.2"/>
    <n v="1147.3"/>
    <s v="Profit"/>
  </r>
  <r>
    <x v="170"/>
    <d v="2025-05-05T00:00:00"/>
    <d v="2025-05-14T00:00:00"/>
    <s v="Mr. Travis Love Md"/>
    <s v="Home Office"/>
    <s v="South"/>
    <x v="1"/>
    <s v="Laptops"/>
    <s v="Seat Laptops"/>
    <n v="4773.45"/>
    <n v="1"/>
    <n v="0.15"/>
    <n v="1431.93"/>
    <s v="Profit"/>
  </r>
  <r>
    <x v="171"/>
    <d v="2025-10-20T00:00:00"/>
    <d v="2025-10-28T00:00:00"/>
    <s v="Denise Evans"/>
    <s v="Corporate"/>
    <s v="North"/>
    <x v="1"/>
    <s v="Laptops"/>
    <s v="Charge Laptops"/>
    <n v="2531.77"/>
    <n v="1"/>
    <n v="0.15"/>
    <n v="-362.23"/>
    <s v="Loss"/>
  </r>
  <r>
    <x v="172"/>
    <d v="2026-03-09T00:00:00"/>
    <d v="2026-03-12T00:00:00"/>
    <s v="Amy Fitzpatrick"/>
    <s v="Home Office"/>
    <s v="South"/>
    <x v="0"/>
    <s v="Storage"/>
    <s v="Radio Storage"/>
    <n v="243.75"/>
    <n v="8"/>
    <n v="0.15"/>
    <n v="21.51"/>
    <s v="Profit"/>
  </r>
  <r>
    <x v="173"/>
    <d v="2025-10-12T00:00:00"/>
    <d v="2025-10-17T00:00:00"/>
    <s v="Kathryn Kim"/>
    <s v="Home Office"/>
    <s v="East"/>
    <x v="1"/>
    <s v="Accessories"/>
    <s v="Significant Accessories"/>
    <n v="1967.71"/>
    <n v="6"/>
    <n v="0.2"/>
    <n v="253.51"/>
    <s v="Profit"/>
  </r>
  <r>
    <x v="174"/>
    <d v="2024-07-07T00:00:00"/>
    <d v="2024-07-09T00:00:00"/>
    <s v="Barbara Hall"/>
    <s v="Home Office"/>
    <s v="South"/>
    <x v="2"/>
    <s v="Tables"/>
    <s v="By Tables"/>
    <n v="2811.92"/>
    <n v="7"/>
    <n v="0.1"/>
    <n v="-172.66"/>
    <s v="Loss"/>
  </r>
  <r>
    <x v="175"/>
    <d v="2025-09-05T00:00:00"/>
    <d v="2025-09-15T00:00:00"/>
    <s v="Joy Johnson"/>
    <s v="Home Office"/>
    <s v="West"/>
    <x v="1"/>
    <s v="Phones"/>
    <s v="Discuss Phones"/>
    <n v="3334.88"/>
    <n v="6"/>
    <n v="0.1"/>
    <n v="1107.96"/>
    <s v="Profit"/>
  </r>
  <r>
    <x v="176"/>
    <d v="2026-01-01T00:00:00"/>
    <d v="2026-01-03T00:00:00"/>
    <s v="Cheryl Thompson"/>
    <s v="Consumer"/>
    <s v="North"/>
    <x v="2"/>
    <s v="Bookcases"/>
    <s v="Election Bookcases"/>
    <n v="1582.43"/>
    <n v="7"/>
    <n v="0.2"/>
    <n v="372.53"/>
    <s v="Profit"/>
  </r>
  <r>
    <x v="177"/>
    <d v="2024-10-17T00:00:00"/>
    <d v="2024-10-24T00:00:00"/>
    <s v="William Gonzalez"/>
    <s v="Consumer"/>
    <s v="East"/>
    <x v="0"/>
    <s v="Storage"/>
    <s v="Onto Storage"/>
    <n v="2567.02"/>
    <n v="1"/>
    <n v="0.1"/>
    <n v="-77.33"/>
    <s v="Loss"/>
  </r>
  <r>
    <x v="178"/>
    <d v="2025-01-06T00:00:00"/>
    <d v="2025-01-10T00:00:00"/>
    <s v="Bobby Rosario"/>
    <s v="Consumer"/>
    <s v="North"/>
    <x v="1"/>
    <s v="Phones"/>
    <s v="Little Phones"/>
    <n v="4999.88"/>
    <n v="3"/>
    <n v="0"/>
    <n v="-186.57"/>
    <s v="Loss"/>
  </r>
  <r>
    <x v="179"/>
    <d v="2025-10-17T00:00:00"/>
    <d v="2025-10-27T00:00:00"/>
    <s v="Robert Snyder"/>
    <s v="Home Office"/>
    <s v="South"/>
    <x v="0"/>
    <s v="Paper"/>
    <s v="True Paper"/>
    <n v="698.69"/>
    <n v="7"/>
    <n v="0.05"/>
    <n v="-77.39"/>
    <s v="Loss"/>
  </r>
  <r>
    <x v="180"/>
    <d v="2025-09-22T00:00:00"/>
    <d v="2025-09-23T00:00:00"/>
    <s v="Paul Beasley"/>
    <s v="Home Office"/>
    <s v="West"/>
    <x v="0"/>
    <s v="Paper"/>
    <s v="Sea Paper"/>
    <n v="2083.75"/>
    <n v="4"/>
    <n v="0.15"/>
    <n v="283.02999999999997"/>
    <s v="Profit"/>
  </r>
  <r>
    <x v="181"/>
    <d v="2023-09-29T00:00:00"/>
    <d v="2023-10-03T00:00:00"/>
    <s v="Justin Jones"/>
    <s v="Home Office"/>
    <s v="West"/>
    <x v="2"/>
    <s v="Bookcases"/>
    <s v="Best Bookcases"/>
    <n v="1581.87"/>
    <n v="8"/>
    <n v="0.05"/>
    <n v="3.66"/>
    <s v="Profit"/>
  </r>
  <r>
    <x v="182"/>
    <d v="2025-02-19T00:00:00"/>
    <d v="2025-02-26T00:00:00"/>
    <s v="David Brady"/>
    <s v="Home Office"/>
    <s v="South"/>
    <x v="1"/>
    <s v="Accessories"/>
    <s v="Event Accessories"/>
    <n v="2539.39"/>
    <n v="7"/>
    <n v="0.05"/>
    <n v="633.04"/>
    <s v="Profit"/>
  </r>
  <r>
    <x v="183"/>
    <d v="2024-01-19T00:00:00"/>
    <d v="2024-01-27T00:00:00"/>
    <s v="Claire Farley"/>
    <s v="Home Office"/>
    <s v="North"/>
    <x v="1"/>
    <s v="Phones"/>
    <s v="Suddenly Phones"/>
    <n v="4376.88"/>
    <n v="9"/>
    <n v="0"/>
    <n v="837.17"/>
    <s v="Profit"/>
  </r>
  <r>
    <x v="184"/>
    <d v="2023-07-09T00:00:00"/>
    <d v="2023-07-12T00:00:00"/>
    <s v="Elizabeth Lutz"/>
    <s v="Consumer"/>
    <s v="South"/>
    <x v="1"/>
    <s v="Phones"/>
    <s v="Hard Phones"/>
    <n v="1400.32"/>
    <n v="9"/>
    <n v="0.05"/>
    <n v="359.99"/>
    <s v="Profit"/>
  </r>
  <r>
    <x v="185"/>
    <d v="2025-08-18T00:00:00"/>
    <d v="2025-08-19T00:00:00"/>
    <s v="William Dougherty"/>
    <s v="Corporate"/>
    <s v="North"/>
    <x v="1"/>
    <s v="Accessories"/>
    <s v="Little Accessories"/>
    <n v="2103.7399999999998"/>
    <n v="7"/>
    <n v="0.2"/>
    <n v="11.95"/>
    <s v="Profit"/>
  </r>
  <r>
    <x v="186"/>
    <s v="15-09-2023"/>
    <d v="2023-09-16T00:00:00"/>
    <s v="Phyllis Arnold"/>
    <s v="Consumer"/>
    <s v="South"/>
    <x v="1"/>
    <s v="Phones"/>
    <s v="Not Phones"/>
    <n v="1627.49"/>
    <n v="2"/>
    <n v="0.2"/>
    <n v="256.29000000000002"/>
    <s v="Profit"/>
  </r>
  <r>
    <x v="187"/>
    <d v="2025-08-05T00:00:00"/>
    <d v="2025-08-13T00:00:00"/>
    <s v="Michael Hall"/>
    <s v="Home Office"/>
    <s v="North"/>
    <x v="2"/>
    <s v="Tables"/>
    <s v="Which Tables"/>
    <n v="3495.56"/>
    <n v="3"/>
    <n v="0.2"/>
    <n v="202.78"/>
    <s v="Profit"/>
  </r>
  <r>
    <x v="188"/>
    <d v="2024-12-18T00:00:00"/>
    <d v="2024-12-23T00:00:00"/>
    <s v="Jeremiah Wade"/>
    <s v="Home Office"/>
    <s v="West"/>
    <x v="2"/>
    <s v="Chairs"/>
    <s v="Pick Chairs"/>
    <n v="1117.49"/>
    <n v="3"/>
    <n v="0.2"/>
    <n v="354.38"/>
    <s v="Profit"/>
  </r>
  <r>
    <x v="189"/>
    <d v="2025-11-14T00:00:00"/>
    <d v="2025-11-18T00:00:00"/>
    <s v="Tina Taylor"/>
    <s v="Home Office"/>
    <s v="West"/>
    <x v="2"/>
    <s v="Tables"/>
    <s v="Eye Tables"/>
    <n v="1540.7"/>
    <n v="1"/>
    <n v="0.05"/>
    <n v="47.61"/>
    <s v="Profit"/>
  </r>
  <r>
    <x v="190"/>
    <d v="2023-07-16T00:00:00"/>
    <d v="2023-07-24T00:00:00"/>
    <s v="Robert Martinez"/>
    <s v="Consumer"/>
    <s v="South"/>
    <x v="2"/>
    <s v="Chairs"/>
    <s v="Garden Chairs"/>
    <n v="3003.86"/>
    <n v="1"/>
    <n v="0.2"/>
    <n v="250.69"/>
    <s v="Profit"/>
  </r>
  <r>
    <x v="191"/>
    <d v="2024-10-31T00:00:00"/>
    <d v="2024-11-01T00:00:00"/>
    <s v="Jimmy Fisher"/>
    <s v="Home Office"/>
    <s v="North"/>
    <x v="1"/>
    <s v="Accessories"/>
    <s v="Open Accessories"/>
    <n v="3093.31"/>
    <n v="4"/>
    <n v="0.2"/>
    <n v="90.05"/>
    <s v="Profit"/>
  </r>
  <r>
    <x v="192"/>
    <d v="2024-07-19T00:00:00"/>
    <d v="2024-07-21T00:00:00"/>
    <s v="Michael Ruiz"/>
    <s v="Home Office"/>
    <s v="North"/>
    <x v="0"/>
    <s v="Paper"/>
    <s v="Watch Paper"/>
    <n v="4769.3500000000004"/>
    <n v="9"/>
    <n v="0.2"/>
    <n v="1109"/>
    <s v="Profit"/>
  </r>
  <r>
    <x v="193"/>
    <d v="2024-01-30T00:00:00"/>
    <d v="2024-01-31T00:00:00"/>
    <s v="Brett Lee"/>
    <s v="Corporate"/>
    <s v="North"/>
    <x v="1"/>
    <s v="Accessories"/>
    <s v="Boy Accessories"/>
    <n v="3196.57"/>
    <n v="6"/>
    <n v="0.1"/>
    <n v="674.55"/>
    <s v="Profit"/>
  </r>
  <r>
    <x v="194"/>
    <d v="2023-12-26T00:00:00"/>
    <d v="2023-12-28T00:00:00"/>
    <s v="Cynthia Moore"/>
    <s v="Home Office"/>
    <s v="East"/>
    <x v="1"/>
    <s v="Phones"/>
    <s v="Pull Phones"/>
    <n v="3868.93"/>
    <n v="6"/>
    <n v="0.05"/>
    <n v="-679.44"/>
    <s v="Loss"/>
  </r>
  <r>
    <x v="195"/>
    <d v="2023-06-11T00:00:00"/>
    <d v="2023-06-19T00:00:00"/>
    <s v="Julie Cummings"/>
    <s v="Consumer"/>
    <s v="North"/>
    <x v="0"/>
    <s v="Binders"/>
    <s v="Special Binders"/>
    <n v="4905.05"/>
    <n v="8"/>
    <n v="0.2"/>
    <n v="-489.26"/>
    <s v="Loss"/>
  </r>
  <r>
    <x v="196"/>
    <d v="2025-11-17T00:00:00"/>
    <d v="2025-11-18T00:00:00"/>
    <s v="Andrea Gill"/>
    <s v="Corporate"/>
    <s v="East"/>
    <x v="0"/>
    <s v="Paper"/>
    <s v="One Paper"/>
    <n v="1502.54"/>
    <n v="1"/>
    <n v="0.05"/>
    <n v="431.51"/>
    <s v="Profit"/>
  </r>
  <r>
    <x v="197"/>
    <d v="2023-08-09T00:00:00"/>
    <d v="2023-08-18T00:00:00"/>
    <s v="Carrie Sullivan"/>
    <s v="Corporate"/>
    <s v="North"/>
    <x v="0"/>
    <s v="Paper"/>
    <s v="System Paper"/>
    <n v="2393.33"/>
    <n v="1"/>
    <n v="0.2"/>
    <n v="-227.11"/>
    <s v="Loss"/>
  </r>
  <r>
    <x v="198"/>
    <d v="2026-03-24T00:00:00"/>
    <d v="2026-03-29T00:00:00"/>
    <s v="Jill Miller"/>
    <s v="Home Office"/>
    <s v="West"/>
    <x v="0"/>
    <s v="Paper"/>
    <s v="Project Paper"/>
    <n v="666.15"/>
    <n v="6"/>
    <n v="0.15"/>
    <n v="192.66"/>
    <s v="Profit"/>
  </r>
  <r>
    <x v="199"/>
    <d v="2023-07-20T00:00:00"/>
    <d v="2023-07-23T00:00:00"/>
    <s v="Luis Pratt"/>
    <s v="Home Office"/>
    <s v="East"/>
    <x v="1"/>
    <s v="Accessories"/>
    <s v="Authority Accessories"/>
    <n v="2506.21"/>
    <n v="8"/>
    <n v="0.1"/>
    <n v="772.84"/>
    <s v="Profit"/>
  </r>
  <r>
    <x v="200"/>
    <d v="2024-09-04T00:00:00"/>
    <d v="2024-09-11T00:00:00"/>
    <s v="Jonathon Chavez"/>
    <s v="Corporate"/>
    <s v="North"/>
    <x v="2"/>
    <s v="Bookcases"/>
    <s v="Want Bookcases"/>
    <n v="440.69"/>
    <n v="10"/>
    <n v="0.05"/>
    <n v="44.07"/>
    <s v="Profit"/>
  </r>
  <r>
    <x v="201"/>
    <d v="2024-04-29T00:00:00"/>
    <d v="2024-05-04T00:00:00"/>
    <s v="Jonathan Arnold"/>
    <s v="Home Office"/>
    <s v="West"/>
    <x v="2"/>
    <s v="Tables"/>
    <s v="Force Tables"/>
    <n v="1567.15"/>
    <n v="10"/>
    <n v="0.2"/>
    <n v="53.85"/>
    <s v="Profit"/>
  </r>
  <r>
    <x v="202"/>
    <d v="2025-06-06T00:00:00"/>
    <d v="2025-06-07T00:00:00"/>
    <s v="Aaron Wilson"/>
    <s v="Corporate"/>
    <s v="North"/>
    <x v="1"/>
    <s v="Accessories"/>
    <s v="Song Accessories"/>
    <n v="3647.73"/>
    <n v="6"/>
    <n v="0.2"/>
    <n v="1273"/>
    <s v="Profit"/>
  </r>
  <r>
    <x v="203"/>
    <d v="2024-04-17T00:00:00"/>
    <d v="2024-04-24T00:00:00"/>
    <s v="Brittany Summers"/>
    <s v="Home Office"/>
    <s v="West"/>
    <x v="2"/>
    <s v="Bookcases"/>
    <s v="Else Bookcases"/>
    <n v="1848.39"/>
    <n v="3"/>
    <n v="0"/>
    <n v="-224.53"/>
    <s v="Loss"/>
  </r>
  <r>
    <x v="204"/>
    <d v="2025-10-31T00:00:00"/>
    <d v="2025-11-02T00:00:00"/>
    <s v="Willie Garcia"/>
    <s v="Home Office"/>
    <s v="North"/>
    <x v="2"/>
    <s v="Chairs"/>
    <s v="Fast Chairs"/>
    <n v="1218.18"/>
    <n v="6"/>
    <n v="0.1"/>
    <n v="12.88"/>
    <s v="Profit"/>
  </r>
  <r>
    <x v="205"/>
    <d v="2025-01-14T00:00:00"/>
    <d v="2025-01-22T00:00:00"/>
    <s v="Kevin Delacruz"/>
    <s v="Home Office"/>
    <s v="South"/>
    <x v="0"/>
    <s v="Binders"/>
    <s v="Interesting Binders"/>
    <n v="4746.68"/>
    <n v="6"/>
    <n v="0.15"/>
    <n v="1042.83"/>
    <s v="Profit"/>
  </r>
  <r>
    <x v="206"/>
    <d v="2025-10-24T00:00:00"/>
    <d v="2025-10-31T00:00:00"/>
    <s v="Elizabeth Dougherty"/>
    <s v="Consumer"/>
    <s v="South"/>
    <x v="0"/>
    <s v="Paper"/>
    <s v="Second Paper"/>
    <n v="1606.21"/>
    <n v="5"/>
    <n v="0.05"/>
    <n v="527.29999999999995"/>
    <s v="Profit"/>
  </r>
  <r>
    <x v="207"/>
    <d v="2024-01-30T00:00:00"/>
    <d v="2024-02-06T00:00:00"/>
    <s v="Tammy Brown"/>
    <s v="Home Office"/>
    <s v="West"/>
    <x v="1"/>
    <s v="Laptops"/>
    <s v="Our Laptops"/>
    <n v="4572.04"/>
    <n v="2"/>
    <n v="0.1"/>
    <n v="1034.33"/>
    <s v="Profit"/>
  </r>
  <r>
    <x v="208"/>
    <d v="2024-06-20T00:00:00"/>
    <d v="2024-06-25T00:00:00"/>
    <s v="Amy Shepherd"/>
    <s v="Home Office"/>
    <s v="West"/>
    <x v="2"/>
    <s v="Bookcases"/>
    <s v="Sound Bookcases"/>
    <n v="3485.2"/>
    <n v="8"/>
    <n v="0.05"/>
    <n v="-461.96"/>
    <s v="Loss"/>
  </r>
  <r>
    <x v="209"/>
    <d v="2024-05-09T00:00:00"/>
    <d v="2024-05-17T00:00:00"/>
    <s v="Emily Doyle"/>
    <s v="Consumer"/>
    <s v="East"/>
    <x v="2"/>
    <s v="Bookcases"/>
    <s v="Deep Bookcases"/>
    <n v="4986.45"/>
    <n v="6"/>
    <n v="0.2"/>
    <n v="-44.46"/>
    <s v="Loss"/>
  </r>
  <r>
    <x v="210"/>
    <d v="2024-04-05T00:00:00"/>
    <d v="2024-04-08T00:00:00"/>
    <s v="Steven Glover"/>
    <s v="Consumer"/>
    <s v="South"/>
    <x v="1"/>
    <s v="Phones"/>
    <s v="Nice Phones"/>
    <n v="3978.8"/>
    <n v="9"/>
    <n v="0.05"/>
    <n v="-530.17999999999995"/>
    <s v="Loss"/>
  </r>
  <r>
    <x v="211"/>
    <d v="2024-12-03T00:00:00"/>
    <d v="2024-12-04T00:00:00"/>
    <s v="Unknown"/>
    <s v="Home Office"/>
    <s v="South"/>
    <x v="2"/>
    <s v="Tables"/>
    <s v="Write Tables"/>
    <n v="1836.44"/>
    <n v="10"/>
    <n v="0.1"/>
    <n v="104.81"/>
    <s v="Profit"/>
  </r>
  <r>
    <x v="212"/>
    <d v="2023-07-26T00:00:00"/>
    <d v="2023-07-28T00:00:00"/>
    <s v="Bryan Lara"/>
    <s v="Corporate"/>
    <s v="North"/>
    <x v="0"/>
    <s v="Binders"/>
    <s v="Positive Binders"/>
    <n v="1580.99"/>
    <n v="8"/>
    <n v="0.2"/>
    <n v="41.01"/>
    <s v="Profit"/>
  </r>
  <r>
    <x v="213"/>
    <d v="2026-04-22T00:00:00"/>
    <d v="2026-04-24T00:00:00"/>
    <s v="Keith Wood"/>
    <s v="Home Office"/>
    <s v="South"/>
    <x v="2"/>
    <s v="Tables"/>
    <s v="Ok Tables"/>
    <n v="2277.37"/>
    <n v="9"/>
    <n v="0.1"/>
    <n v="-294.73"/>
    <s v="Loss"/>
  </r>
  <r>
    <x v="214"/>
    <d v="2025-07-29T00:00:00"/>
    <d v="2025-08-07T00:00:00"/>
    <s v="Samuel Barnett"/>
    <s v="Corporate"/>
    <s v="South"/>
    <x v="2"/>
    <s v="Tables"/>
    <s v="Share Tables"/>
    <n v="4558.03"/>
    <n v="1"/>
    <n v="0"/>
    <n v="387.23"/>
    <s v="Profit"/>
  </r>
  <r>
    <x v="215"/>
    <d v="2024-05-23T00:00:00"/>
    <d v="2024-05-27T00:00:00"/>
    <s v="Christian Hernandez"/>
    <s v="Corporate"/>
    <s v="South"/>
    <x v="2"/>
    <s v="Tables"/>
    <s v="Region Tables"/>
    <n v="1762.81"/>
    <n v="9"/>
    <n v="0.1"/>
    <n v="467.61"/>
    <s v="Profit"/>
  </r>
  <r>
    <x v="216"/>
    <d v="2023-06-21T00:00:00"/>
    <d v="2023-06-26T00:00:00"/>
    <s v="Andrew Maldonado"/>
    <s v="Home Office"/>
    <s v="South"/>
    <x v="0"/>
    <s v="Storage"/>
    <s v="Seven Storage"/>
    <n v="669.59"/>
    <n v="5"/>
    <n v="0.2"/>
    <n v="62.55"/>
    <s v="Profit"/>
  </r>
  <r>
    <x v="217"/>
    <d v="2025-06-16T00:00:00"/>
    <d v="2025-06-19T00:00:00"/>
    <s v="Robert Valdez"/>
    <s v="Corporate"/>
    <s v="North"/>
    <x v="0"/>
    <s v="Storage"/>
    <s v="Increase Storage"/>
    <n v="897.44"/>
    <n v="10"/>
    <n v="0.2"/>
    <n v="265.73"/>
    <s v="Profit"/>
  </r>
  <r>
    <x v="218"/>
    <d v="2024-09-06T00:00:00"/>
    <d v="2024-09-07T00:00:00"/>
    <s v="Victoria Smith"/>
    <s v="Home Office"/>
    <s v="West"/>
    <x v="2"/>
    <s v="Chairs"/>
    <s v="Memory Chairs"/>
    <n v="4745.3100000000004"/>
    <n v="10"/>
    <n v="0.1"/>
    <n v="750.34"/>
    <s v="Profit"/>
  </r>
  <r>
    <x v="219"/>
    <d v="2026-05-07T00:00:00"/>
    <d v="2026-05-08T00:00:00"/>
    <s v="Rebecca King"/>
    <s v="Corporate"/>
    <s v="West"/>
    <x v="0"/>
    <s v="Storage"/>
    <s v="Cell Storage"/>
    <n v="2515.29"/>
    <n v="9"/>
    <n v="0.1"/>
    <n v="384.96"/>
    <s v="Profit"/>
  </r>
  <r>
    <x v="220"/>
    <d v="2025-12-15T00:00:00"/>
    <d v="2025-12-22T00:00:00"/>
    <s v="Timothy Patterson"/>
    <s v="Corporate"/>
    <s v="West"/>
    <x v="2"/>
    <s v="Bookcases"/>
    <s v="Seek Bookcases"/>
    <n v="1522.3"/>
    <n v="2"/>
    <n v="0.2"/>
    <n v="-254.3"/>
    <s v="Loss"/>
  </r>
  <r>
    <x v="221"/>
    <d v="2023-09-15T00:00:00"/>
    <d v="2023-09-19T00:00:00"/>
    <s v="Tiffany Young"/>
    <s v="Corporate"/>
    <s v="East"/>
    <x v="1"/>
    <s v="Accessories"/>
    <s v="Specific Accessories"/>
    <n v="1733.95"/>
    <n v="3"/>
    <n v="0.1"/>
    <n v="474.78"/>
    <s v="Profit"/>
  </r>
  <r>
    <x v="222"/>
    <d v="2023-09-28T00:00:00"/>
    <d v="2023-10-04T00:00:00"/>
    <s v="Scott Miller"/>
    <s v="Consumer"/>
    <s v="East"/>
    <x v="1"/>
    <s v="Phones"/>
    <s v="Until Phones"/>
    <n v="2599.15"/>
    <n v="2"/>
    <n v="0.1"/>
    <n v="-174.26"/>
    <s v="Loss"/>
  </r>
  <r>
    <x v="223"/>
    <d v="2025-05-08T00:00:00"/>
    <d v="2025-05-11T00:00:00"/>
    <s v="Ryan Stephenson"/>
    <s v="Corporate"/>
    <s v="South"/>
    <x v="1"/>
    <s v="Phones"/>
    <s v="Pay Phones"/>
    <n v="529.22"/>
    <n v="5"/>
    <n v="0.15"/>
    <n v="145.69"/>
    <s v="Profit"/>
  </r>
  <r>
    <x v="224"/>
    <d v="2025-01-08T00:00:00"/>
    <d v="2025-01-18T00:00:00"/>
    <s v="William Hughes"/>
    <s v="Home Office"/>
    <s v="West"/>
    <x v="2"/>
    <s v="Tables"/>
    <s v="Kitchen Tables"/>
    <n v="3619.59"/>
    <n v="4"/>
    <n v="0.05"/>
    <n v="268.02"/>
    <s v="Profit"/>
  </r>
  <r>
    <x v="225"/>
    <d v="2023-06-27T00:00:00"/>
    <d v="2023-07-05T00:00:00"/>
    <s v="Derek Taylor"/>
    <s v="Consumer"/>
    <s v="South"/>
    <x v="1"/>
    <s v="Accessories"/>
    <s v="Mother Accessories"/>
    <n v="164.72"/>
    <n v="7"/>
    <n v="0.2"/>
    <n v="8.48"/>
    <s v="Profit"/>
  </r>
  <r>
    <x v="226"/>
    <d v="2024-02-13T00:00:00"/>
    <d v="2024-02-14T00:00:00"/>
    <s v="Deanna White"/>
    <s v="Home Office"/>
    <s v="West"/>
    <x v="0"/>
    <s v="Paper"/>
    <s v="Day Paper"/>
    <n v="300.18"/>
    <n v="8"/>
    <n v="0.2"/>
    <n v="85.64"/>
    <s v="Profit"/>
  </r>
  <r>
    <x v="227"/>
    <d v="2024-08-30T00:00:00"/>
    <d v="2024-08-31T00:00:00"/>
    <s v="Michael Rivera"/>
    <s v="Home Office"/>
    <s v="East"/>
    <x v="1"/>
    <s v="Laptops"/>
    <s v="Better Laptops"/>
    <n v="4243.5"/>
    <n v="7"/>
    <n v="0.05"/>
    <n v="1210.8900000000001"/>
    <s v="Profit"/>
  </r>
  <r>
    <x v="228"/>
    <d v="2026-05-14T00:00:00"/>
    <d v="2026-05-15T00:00:00"/>
    <s v="Jonathan Carter"/>
    <s v="Home Office"/>
    <s v="East"/>
    <x v="1"/>
    <s v="Accessories"/>
    <s v="Already Accessories"/>
    <n v="2032.88"/>
    <n v="10"/>
    <n v="0.2"/>
    <n v="-188.94"/>
    <s v="Loss"/>
  </r>
  <r>
    <x v="229"/>
    <d v="2025-02-11T00:00:00"/>
    <d v="2025-02-20T00:00:00"/>
    <s v="Blake Jones"/>
    <s v="Home Office"/>
    <s v="North"/>
    <x v="2"/>
    <s v="Tables"/>
    <s v="Cold Tables"/>
    <n v="2279.25"/>
    <n v="9"/>
    <n v="0.1"/>
    <n v="578.75"/>
    <s v="Profit"/>
  </r>
  <r>
    <x v="230"/>
    <d v="2024-10-01T00:00:00"/>
    <d v="2024-10-08T00:00:00"/>
    <s v="Julie Vega"/>
    <s v="Consumer"/>
    <s v="South"/>
    <x v="2"/>
    <s v="Chairs"/>
    <s v="Real Chairs"/>
    <n v="1897.33"/>
    <n v="6"/>
    <n v="0.2"/>
    <n v="600.36"/>
    <s v="Profit"/>
  </r>
  <r>
    <x v="231"/>
    <d v="2025-08-19T00:00:00"/>
    <d v="2025-08-26T00:00:00"/>
    <s v="Lisa Davis"/>
    <s v="Corporate"/>
    <s v="West"/>
    <x v="0"/>
    <s v="Storage"/>
    <s v="Information Storage"/>
    <n v="2525.39"/>
    <n v="1"/>
    <n v="0"/>
    <n v="-314.74"/>
    <s v="Loss"/>
  </r>
  <r>
    <x v="232"/>
    <d v="2023-06-03T00:00:00"/>
    <d v="2023-06-06T00:00:00"/>
    <s v="Margaret English"/>
    <s v="Home Office"/>
    <s v="East"/>
    <x v="0"/>
    <s v="Paper"/>
    <s v="Unit Paper"/>
    <n v="3050.99"/>
    <n v="9"/>
    <n v="0.05"/>
    <n v="-59.86"/>
    <s v="Loss"/>
  </r>
  <r>
    <x v="233"/>
    <d v="2024-07-06T00:00:00"/>
    <d v="2024-07-16T00:00:00"/>
    <s v="Alexander Bradford"/>
    <s v="Home Office"/>
    <s v="West"/>
    <x v="2"/>
    <s v="Tables"/>
    <s v="Future Tables"/>
    <n v="3709.63"/>
    <n v="5"/>
    <n v="0.2"/>
    <n v="-55.62"/>
    <s v="Loss"/>
  </r>
  <r>
    <x v="234"/>
    <d v="2024-07-02T00:00:00"/>
    <d v="2024-07-07T00:00:00"/>
    <s v="Sean Cantu"/>
    <s v="Consumer"/>
    <s v="West"/>
    <x v="0"/>
    <s v="Storage"/>
    <s v="Ahead Storage"/>
    <n v="2400.7199999999998"/>
    <n v="1"/>
    <n v="0.1"/>
    <n v="-42.78"/>
    <s v="Loss"/>
  </r>
  <r>
    <x v="235"/>
    <d v="2024-03-12T00:00:00"/>
    <d v="2024-03-13T00:00:00"/>
    <s v="Christine Powell"/>
    <s v="Home Office"/>
    <s v="South"/>
    <x v="0"/>
    <s v="Paper"/>
    <s v="Month Paper"/>
    <n v="3004.7"/>
    <n v="5"/>
    <n v="0.2"/>
    <n v="692.88"/>
    <s v="Profit"/>
  </r>
  <r>
    <x v="236"/>
    <d v="2025-04-28T00:00:00"/>
    <d v="2025-05-08T00:00:00"/>
    <s v="Brandon Hicks"/>
    <s v="Corporate"/>
    <s v="South"/>
    <x v="0"/>
    <s v="Binders"/>
    <s v="Fight Binders"/>
    <n v="2428.2199999999998"/>
    <n v="9"/>
    <n v="0.2"/>
    <n v="477.51"/>
    <s v="Profit"/>
  </r>
  <r>
    <x v="237"/>
    <d v="2023-09-10T00:00:00"/>
    <d v="2023-09-11T00:00:00"/>
    <s v="Morgan Jones"/>
    <s v="Corporate"/>
    <s v="West"/>
    <x v="0"/>
    <s v="Binders"/>
    <s v="Article Binders"/>
    <n v="2884.22"/>
    <n v="2"/>
    <n v="0.05"/>
    <n v="-546.79999999999995"/>
    <s v="Loss"/>
  </r>
  <r>
    <x v="238"/>
    <d v="2024-07-24T00:00:00"/>
    <d v="2024-07-28T00:00:00"/>
    <s v="Jason Gonzalez"/>
    <s v="Home Office"/>
    <s v="North"/>
    <x v="2"/>
    <s v="Tables"/>
    <s v="Season Tables"/>
    <n v="2081.37"/>
    <n v="10"/>
    <n v="0.15"/>
    <n v="582.89"/>
    <s v="Profit"/>
  </r>
  <r>
    <x v="239"/>
    <d v="2024-11-24T00:00:00"/>
    <d v="2024-12-03T00:00:00"/>
    <s v="Bobby Wood"/>
    <s v="Corporate"/>
    <s v="East"/>
    <x v="0"/>
    <s v="Binders"/>
    <s v="Than Binders"/>
    <n v="1076.3399999999999"/>
    <n v="6"/>
    <n v="0.2"/>
    <n v="67.92"/>
    <s v="Profit"/>
  </r>
  <r>
    <x v="240"/>
    <d v="2025-07-27T00:00:00"/>
    <d v="2025-08-05T00:00:00"/>
    <s v="Michael Payne"/>
    <s v="Home Office"/>
    <s v="East"/>
    <x v="2"/>
    <s v="Tables"/>
    <s v="Understand Tables"/>
    <n v="1744.52"/>
    <n v="6"/>
    <n v="0.2"/>
    <n v="391.81"/>
    <s v="Profit"/>
  </r>
  <r>
    <x v="241"/>
    <d v="2024-10-10T00:00:00"/>
    <d v="2024-10-14T00:00:00"/>
    <s v="Kathleen Hardin"/>
    <s v="Corporate"/>
    <s v="East"/>
    <x v="0"/>
    <s v="Paper"/>
    <s v="Condition Paper"/>
    <n v="4788.82"/>
    <n v="5"/>
    <n v="0.2"/>
    <n v="-171.56"/>
    <s v="Loss"/>
  </r>
  <r>
    <x v="242"/>
    <d v="2025-11-12T00:00:00"/>
    <d v="2025-11-20T00:00:00"/>
    <s v="Emily Wells"/>
    <s v="Home Office"/>
    <s v="East"/>
    <x v="0"/>
    <s v="Binders"/>
    <s v="Behind Binders"/>
    <n v="1619.35"/>
    <n v="6"/>
    <n v="0.2"/>
    <n v="507.72"/>
    <s v="Profit"/>
  </r>
  <r>
    <x v="243"/>
    <d v="2025-05-05T00:00:00"/>
    <d v="2025-05-15T00:00:00"/>
    <s v="Rose Taylor"/>
    <s v="Consumer"/>
    <s v="East"/>
    <x v="1"/>
    <s v="Phones"/>
    <s v="Home Phones"/>
    <n v="3399.28"/>
    <n v="7"/>
    <n v="0.15"/>
    <n v="850.19"/>
    <s v="Profit"/>
  </r>
  <r>
    <x v="244"/>
    <d v="2024-01-29T00:00:00"/>
    <d v="2024-01-31T00:00:00"/>
    <s v="Lauren Robinson"/>
    <s v="Corporate"/>
    <s v="South"/>
    <x v="2"/>
    <s v="Tables"/>
    <s v="Paper Tables"/>
    <n v="1764.5"/>
    <n v="8"/>
    <n v="0.2"/>
    <n v="-104.03"/>
    <s v="Loss"/>
  </r>
  <r>
    <x v="245"/>
    <d v="2025-10-08T00:00:00"/>
    <d v="2025-10-13T00:00:00"/>
    <s v="Toni Melendez"/>
    <s v="Home Office"/>
    <s v="South"/>
    <x v="2"/>
    <s v="Bookcases"/>
    <s v="Any Bookcases"/>
    <n v="4668.47"/>
    <n v="5"/>
    <n v="0.05"/>
    <n v="-653.24"/>
    <s v="Loss"/>
  </r>
  <r>
    <x v="246"/>
    <d v="2024-09-22T00:00:00"/>
    <d v="2024-10-01T00:00:00"/>
    <s v="Brenda Cameron"/>
    <s v="Corporate"/>
    <s v="West"/>
    <x v="2"/>
    <s v="Chairs"/>
    <s v="Employee Chairs"/>
    <n v="1167.07"/>
    <n v="4"/>
    <n v="0"/>
    <n v="-169.1"/>
    <s v="Loss"/>
  </r>
  <r>
    <x v="247"/>
    <d v="2023-11-19T00:00:00"/>
    <d v="2023-11-22T00:00:00"/>
    <s v="Samantha Briggs"/>
    <s v="Corporate"/>
    <s v="West"/>
    <x v="2"/>
    <s v="Bookcases"/>
    <s v="Painting Bookcases"/>
    <n v="75.650000000000006"/>
    <n v="9"/>
    <n v="0.05"/>
    <n v="1.8"/>
    <s v="Profit"/>
  </r>
  <r>
    <x v="248"/>
    <d v="2026-02-05T00:00:00"/>
    <d v="2026-02-10T00:00:00"/>
    <s v="Joseph Frazier"/>
    <s v="Consumer"/>
    <s v="North"/>
    <x v="0"/>
    <s v="Binders"/>
    <s v="Few Binders"/>
    <n v="1639.78"/>
    <n v="1"/>
    <n v="0"/>
    <n v="260.33999999999997"/>
    <s v="Profit"/>
  </r>
  <r>
    <x v="249"/>
    <d v="2026-03-15T00:00:00"/>
    <d v="2026-03-18T00:00:00"/>
    <s v="Zachary Thornton"/>
    <s v="Consumer"/>
    <s v="East"/>
    <x v="2"/>
    <s v="Tables"/>
    <s v="Civil Tables"/>
    <n v="4672.92"/>
    <n v="1"/>
    <n v="0.15"/>
    <n v="1090.56"/>
    <s v="Profit"/>
  </r>
  <r>
    <x v="250"/>
    <d v="2023-09-25T00:00:00"/>
    <d v="2023-09-30T00:00:00"/>
    <s v="Unknown"/>
    <s v="Home Office"/>
    <s v="West"/>
    <x v="2"/>
    <s v="Chairs"/>
    <s v="Marriage Chairs"/>
    <n v="2861.41"/>
    <n v="2"/>
    <n v="0.1"/>
    <n v="-124.45"/>
    <s v="Loss"/>
  </r>
  <r>
    <x v="251"/>
    <s v="15-09-2025"/>
    <d v="2025-09-23T00:00:00"/>
    <s v="Amanda Green"/>
    <s v="Corporate"/>
    <s v="East"/>
    <x v="2"/>
    <s v="Bookcases"/>
    <s v="Or Bookcases"/>
    <n v="1400.54"/>
    <n v="2"/>
    <n v="0.1"/>
    <n v="-154.94"/>
    <s v="Loss"/>
  </r>
  <r>
    <x v="252"/>
    <d v="2024-11-12T00:00:00"/>
    <d v="2024-11-13T00:00:00"/>
    <s v="Donna Martin"/>
    <s v="Consumer"/>
    <s v="South"/>
    <x v="0"/>
    <s v="Binders"/>
    <s v="Pick Binders"/>
    <n v="3696.26"/>
    <n v="5"/>
    <n v="0.2"/>
    <n v="631.77"/>
    <s v="Profit"/>
  </r>
  <r>
    <x v="253"/>
    <d v="2026-03-12T00:00:00"/>
    <d v="2026-03-19T00:00:00"/>
    <s v="Jessica Hansen"/>
    <s v="Home Office"/>
    <s v="North"/>
    <x v="0"/>
    <s v="Storage"/>
    <s v="Cold Storage"/>
    <n v="4143.6000000000004"/>
    <n v="9"/>
    <n v="0.1"/>
    <n v="-631.04999999999995"/>
    <s v="Loss"/>
  </r>
  <r>
    <x v="254"/>
    <d v="2023-10-09T00:00:00"/>
    <d v="2023-10-17T00:00:00"/>
    <s v="Mrs. Jessica Padilla Dds"/>
    <s v="Consumer"/>
    <s v="West"/>
    <x v="2"/>
    <s v="Chairs"/>
    <s v="Some Chairs"/>
    <n v="1651.83"/>
    <n v="4"/>
    <n v="0"/>
    <n v="-93.44"/>
    <s v="Loss"/>
  </r>
  <r>
    <x v="255"/>
    <d v="2024-09-26T00:00:00"/>
    <d v="2024-10-01T00:00:00"/>
    <s v="Paige Shah"/>
    <s v="Corporate"/>
    <s v="South"/>
    <x v="1"/>
    <s v="Accessories"/>
    <s v="Lawyer Accessories"/>
    <n v="2933.18"/>
    <n v="10"/>
    <n v="0"/>
    <n v="-164.69"/>
    <s v="Loss"/>
  </r>
  <r>
    <x v="256"/>
    <d v="2025-10-02T00:00:00"/>
    <d v="2025-10-04T00:00:00"/>
    <s v="Javier Lewis"/>
    <s v="Home Office"/>
    <s v="East"/>
    <x v="2"/>
    <s v="Bookcases"/>
    <s v="Pull Bookcases"/>
    <n v="2353.71"/>
    <n v="3"/>
    <n v="0.15"/>
    <n v="417.41"/>
    <s v="Profit"/>
  </r>
  <r>
    <x v="257"/>
    <d v="2023-08-03T00:00:00"/>
    <d v="2023-08-08T00:00:00"/>
    <s v="Dawn Hill"/>
    <s v="Corporate"/>
    <s v="South"/>
    <x v="0"/>
    <s v="Binders"/>
    <s v="Ability Binders"/>
    <n v="1869.34"/>
    <n v="4"/>
    <n v="0.05"/>
    <n v="610.42999999999995"/>
    <s v="Profit"/>
  </r>
  <r>
    <x v="258"/>
    <d v="2023-10-16T00:00:00"/>
    <d v="2023-10-26T00:00:00"/>
    <s v="Ricky Mora"/>
    <s v="Home Office"/>
    <s v="South"/>
    <x v="1"/>
    <s v="Laptops"/>
    <s v="Do Laptops"/>
    <n v="1899.44"/>
    <n v="9"/>
    <n v="0.15"/>
    <n v="411.31"/>
    <s v="Profit"/>
  </r>
  <r>
    <x v="259"/>
    <d v="2023-08-04T00:00:00"/>
    <d v="2023-08-14T00:00:00"/>
    <s v="John Johnson"/>
    <s v="Home Office"/>
    <s v="East"/>
    <x v="2"/>
    <s v="Bookcases"/>
    <s v="Option Bookcases"/>
    <n v="4372.0200000000004"/>
    <n v="2"/>
    <n v="0.2"/>
    <n v="199.85"/>
    <s v="Profit"/>
  </r>
  <r>
    <x v="260"/>
    <d v="2023-06-07T00:00:00"/>
    <d v="2023-06-09T00:00:00"/>
    <s v="Melissa Murphy"/>
    <s v="Home Office"/>
    <s v="South"/>
    <x v="2"/>
    <s v="Bookcases"/>
    <s v="Generation Bookcases"/>
    <n v="355.7"/>
    <n v="9"/>
    <n v="0.2"/>
    <n v="-31.59"/>
    <s v="Loss"/>
  </r>
  <r>
    <x v="261"/>
    <d v="2024-07-28T00:00:00"/>
    <d v="2024-08-06T00:00:00"/>
    <s v="Danielle Hodge"/>
    <s v="Consumer"/>
    <s v="West"/>
    <x v="2"/>
    <s v="Tables"/>
    <s v="Year Tables"/>
    <n v="2237.11"/>
    <n v="4"/>
    <n v="0.2"/>
    <n v="270.08999999999997"/>
    <s v="Profit"/>
  </r>
  <r>
    <x v="262"/>
    <d v="2025-11-19T00:00:00"/>
    <d v="2025-11-22T00:00:00"/>
    <s v="Allen Trevino"/>
    <s v="Corporate"/>
    <s v="East"/>
    <x v="2"/>
    <s v="Tables"/>
    <s v="Necessary Tables"/>
    <n v="2590.58"/>
    <n v="8"/>
    <n v="0.2"/>
    <n v="-435.85"/>
    <s v="Loss"/>
  </r>
  <r>
    <x v="263"/>
    <d v="2024-05-11T00:00:00"/>
    <d v="2024-05-18T00:00:00"/>
    <s v="Mr. David Palmer"/>
    <s v="Consumer"/>
    <s v="North"/>
    <x v="0"/>
    <s v="Binders"/>
    <s v="Return Binders"/>
    <n v="1309.56"/>
    <n v="1"/>
    <n v="0.2"/>
    <n v="-104.97"/>
    <s v="Loss"/>
  </r>
  <r>
    <x v="264"/>
    <d v="2023-12-11T00:00:00"/>
    <d v="2023-12-13T00:00:00"/>
    <s v="Megan Miranda"/>
    <s v="Corporate"/>
    <s v="North"/>
    <x v="1"/>
    <s v="Accessories"/>
    <s v="Our Accessories"/>
    <n v="2728.76"/>
    <n v="1"/>
    <n v="0"/>
    <n v="934.26"/>
    <s v="Profit"/>
  </r>
  <r>
    <x v="265"/>
    <d v="2023-11-20T00:00:00"/>
    <d v="2023-11-23T00:00:00"/>
    <s v="Marcus Smith"/>
    <s v="Corporate"/>
    <s v="West"/>
    <x v="1"/>
    <s v="Accessories"/>
    <s v="Such Accessories"/>
    <n v="3856.41"/>
    <n v="7"/>
    <n v="0.1"/>
    <n v="1334.59"/>
    <s v="Profit"/>
  </r>
  <r>
    <x v="266"/>
    <d v="2026-02-01T00:00:00"/>
    <d v="2026-02-03T00:00:00"/>
    <s v="Carol Wright"/>
    <s v="Corporate"/>
    <s v="North"/>
    <x v="1"/>
    <s v="Accessories"/>
    <s v="Exist Accessories"/>
    <n v="3429.52"/>
    <n v="9"/>
    <n v="0.05"/>
    <n v="546.82000000000005"/>
    <s v="Profit"/>
  </r>
  <r>
    <x v="267"/>
    <d v="2024-09-20T00:00:00"/>
    <d v="2024-09-27T00:00:00"/>
    <s v="Jessica Hayes"/>
    <s v="Corporate"/>
    <s v="West"/>
    <x v="2"/>
    <s v="Bookcases"/>
    <s v="Toward Bookcases"/>
    <n v="2667.77"/>
    <n v="4"/>
    <n v="0"/>
    <n v="575.97"/>
    <s v="Profit"/>
  </r>
  <r>
    <x v="268"/>
    <d v="2025-10-28T00:00:00"/>
    <d v="2025-11-06T00:00:00"/>
    <s v="Cynthia Winters"/>
    <s v="Corporate"/>
    <s v="South"/>
    <x v="0"/>
    <s v="Storage"/>
    <s v="Boy Storage"/>
    <n v="2149.4299999999998"/>
    <n v="7"/>
    <n v="0.05"/>
    <n v="-137.28"/>
    <s v="Loss"/>
  </r>
  <r>
    <x v="269"/>
    <d v="2023-09-22T00:00:00"/>
    <d v="2023-09-24T00:00:00"/>
    <s v="Robert Benitez"/>
    <s v="Consumer"/>
    <s v="South"/>
    <x v="1"/>
    <s v="Phones"/>
    <s v="Environmental Phones"/>
    <n v="209.48"/>
    <n v="7"/>
    <n v="0.2"/>
    <n v="46.36"/>
    <s v="Profit"/>
  </r>
  <r>
    <x v="270"/>
    <d v="2024-03-08T00:00:00"/>
    <d v="2024-03-10T00:00:00"/>
    <s v="Deborah Scott"/>
    <s v="Consumer"/>
    <s v="South"/>
    <x v="2"/>
    <s v="Chairs"/>
    <s v="Picture Chairs"/>
    <n v="2990.02"/>
    <n v="8"/>
    <n v="0.2"/>
    <n v="507.15"/>
    <s v="Profit"/>
  </r>
  <r>
    <x v="271"/>
    <d v="2023-11-09T00:00:00"/>
    <d v="2023-11-16T00:00:00"/>
    <s v="Eric Taylor"/>
    <s v="Consumer"/>
    <s v="South"/>
    <x v="0"/>
    <s v="Binders"/>
    <s v="Three Binders"/>
    <n v="2222.87"/>
    <n v="9"/>
    <n v="0.05"/>
    <n v="477.72"/>
    <s v="Profit"/>
  </r>
  <r>
    <x v="272"/>
    <d v="2023-10-15T00:00:00"/>
    <d v="2023-10-19T00:00:00"/>
    <s v="Stephen Nguyen"/>
    <s v="Home Office"/>
    <s v="East"/>
    <x v="0"/>
    <s v="Paper"/>
    <s v="Interesting Paper"/>
    <n v="4088.14"/>
    <n v="10"/>
    <n v="0.1"/>
    <n v="480.81"/>
    <s v="Profit"/>
  </r>
  <r>
    <x v="273"/>
    <d v="2026-01-09T00:00:00"/>
    <d v="2026-01-12T00:00:00"/>
    <s v="Jon Eaton Jr."/>
    <s v="Corporate"/>
    <s v="North"/>
    <x v="2"/>
    <s v="Tables"/>
    <s v="Although Tables"/>
    <n v="4929.1899999999996"/>
    <n v="9"/>
    <n v="0.05"/>
    <n v="135.35"/>
    <s v="Profit"/>
  </r>
  <r>
    <x v="274"/>
    <d v="2024-08-19T00:00:00"/>
    <d v="2024-08-22T00:00:00"/>
    <s v="Christopher Riley"/>
    <s v="Corporate"/>
    <s v="West"/>
    <x v="0"/>
    <s v="Storage"/>
    <s v="Move Storage"/>
    <n v="3148.67"/>
    <n v="7"/>
    <n v="0.2"/>
    <n v="228.57"/>
    <s v="Profit"/>
  </r>
  <r>
    <x v="275"/>
    <d v="2026-02-22T00:00:00"/>
    <d v="2026-03-01T00:00:00"/>
    <s v="Laura Jimenez"/>
    <s v="Home Office"/>
    <s v="West"/>
    <x v="0"/>
    <s v="Paper"/>
    <s v="Must Paper"/>
    <n v="2070.88"/>
    <n v="5"/>
    <n v="0.15"/>
    <n v="-204.74"/>
    <s v="Loss"/>
  </r>
  <r>
    <x v="276"/>
    <d v="2024-06-25T00:00:00"/>
    <d v="2024-06-30T00:00:00"/>
    <s v="Kevin Randall"/>
    <s v="Home Office"/>
    <s v="West"/>
    <x v="2"/>
    <s v="Chairs"/>
    <s v="Magazine Chairs"/>
    <n v="4294.83"/>
    <n v="3"/>
    <n v="0.15"/>
    <n v="1301.8"/>
    <s v="Profit"/>
  </r>
  <r>
    <x v="277"/>
    <d v="2025-12-25T00:00:00"/>
    <d v="2026-01-03T00:00:00"/>
    <s v="Tyler Cabrera"/>
    <s v="Home Office"/>
    <s v="North"/>
    <x v="1"/>
    <s v="Laptops"/>
    <s v="Impact Laptops"/>
    <n v="713.76"/>
    <n v="4"/>
    <n v="0.1"/>
    <n v="-62.93"/>
    <s v="Loss"/>
  </r>
  <r>
    <x v="278"/>
    <d v="2025-04-18T00:00:00"/>
    <d v="2025-04-20T00:00:00"/>
    <s v="Terri Freeman"/>
    <s v="Home Office"/>
    <s v="North"/>
    <x v="1"/>
    <s v="Accessories"/>
    <s v="Course Accessories"/>
    <n v="2701.4"/>
    <n v="4"/>
    <n v="0"/>
    <n v="-141.41"/>
    <s v="Loss"/>
  </r>
  <r>
    <x v="279"/>
    <d v="2025-03-12T00:00:00"/>
    <d v="2025-03-22T00:00:00"/>
    <s v="Christine Hunter"/>
    <s v="Corporate"/>
    <s v="East"/>
    <x v="2"/>
    <s v="Chairs"/>
    <s v="General Chairs"/>
    <n v="3635.31"/>
    <n v="9"/>
    <n v="0.05"/>
    <n v="231.45"/>
    <s v="Profit"/>
  </r>
  <r>
    <x v="280"/>
    <d v="2025-05-27T00:00:00"/>
    <d v="2025-05-31T00:00:00"/>
    <s v="Susan Burton"/>
    <s v="Corporate"/>
    <s v="South"/>
    <x v="2"/>
    <s v="Chairs"/>
    <s v="Security Chairs"/>
    <n v="4812.28"/>
    <n v="2"/>
    <n v="0.2"/>
    <n v="1683.17"/>
    <s v="Profit"/>
  </r>
  <r>
    <x v="281"/>
    <d v="2023-08-19T00:00:00"/>
    <d v="2023-08-23T00:00:00"/>
    <s v="Unknown"/>
    <s v="Corporate"/>
    <s v="West"/>
    <x v="0"/>
    <s v="Storage"/>
    <s v="Trip Storage"/>
    <n v="2013.33"/>
    <n v="4"/>
    <n v="0.2"/>
    <n v="-46.53"/>
    <s v="Loss"/>
  </r>
  <r>
    <x v="282"/>
    <d v="2023-09-07T00:00:00"/>
    <d v="2023-09-13T00:00:00"/>
    <s v="Christopher Silva"/>
    <s v="Home Office"/>
    <s v="North"/>
    <x v="1"/>
    <s v="Laptops"/>
    <s v="Yard Laptops"/>
    <n v="1576.69"/>
    <n v="6"/>
    <n v="0.2"/>
    <n v="450.22"/>
    <s v="Profit"/>
  </r>
  <r>
    <x v="283"/>
    <d v="2024-10-31T00:00:00"/>
    <d v="2024-11-06T00:00:00"/>
    <s v="Mrs. Elizabeth Fernandez Md"/>
    <s v="Home Office"/>
    <s v="South"/>
    <x v="0"/>
    <s v="Paper"/>
    <s v="Hear Paper"/>
    <n v="4575.9399999999996"/>
    <n v="6"/>
    <n v="0.1"/>
    <n v="126.58"/>
    <s v="Profit"/>
  </r>
  <r>
    <x v="284"/>
    <d v="2023-12-11T00:00:00"/>
    <d v="2023-12-12T00:00:00"/>
    <s v="Monica Tucker"/>
    <s v="Corporate"/>
    <s v="South"/>
    <x v="0"/>
    <s v="Binders"/>
    <s v="North Binders"/>
    <n v="1340.83"/>
    <n v="10"/>
    <n v="0.2"/>
    <n v="262.81"/>
    <s v="Profit"/>
  </r>
  <r>
    <x v="285"/>
    <d v="2025-06-26T00:00:00"/>
    <d v="2025-06-30T00:00:00"/>
    <s v="Kayla Austin Dds"/>
    <s v="Home Office"/>
    <s v="East"/>
    <x v="2"/>
    <s v="Tables"/>
    <s v="Field Tables"/>
    <n v="1930.21"/>
    <n v="4"/>
    <n v="0.15"/>
    <n v="198.53"/>
    <s v="Profit"/>
  </r>
  <r>
    <x v="286"/>
    <d v="2023-09-13T00:00:00"/>
    <d v="2023-09-21T00:00:00"/>
    <s v="Amanda Jones"/>
    <s v="Home Office"/>
    <s v="West"/>
    <x v="1"/>
    <s v="Accessories"/>
    <s v="Skill Accessories"/>
    <n v="2331.1"/>
    <n v="6"/>
    <n v="0.05"/>
    <n v="-286.77999999999997"/>
    <s v="Loss"/>
  </r>
  <r>
    <x v="287"/>
    <d v="2023-06-11T00:00:00"/>
    <d v="2023-06-12T00:00:00"/>
    <s v="Nicholas Castro"/>
    <s v="Consumer"/>
    <s v="West"/>
    <x v="2"/>
    <s v="Bookcases"/>
    <s v="Travel Bookcases"/>
    <n v="2643.52"/>
    <n v="2"/>
    <n v="0.2"/>
    <n v="-458.17"/>
    <s v="Loss"/>
  </r>
  <r>
    <x v="288"/>
    <d v="2024-06-15T00:00:00"/>
    <d v="2024-06-19T00:00:00"/>
    <s v="Alexandra Pitts"/>
    <s v="Corporate"/>
    <s v="East"/>
    <x v="2"/>
    <s v="Bookcases"/>
    <s v="Several Bookcases"/>
    <n v="386.44"/>
    <n v="3"/>
    <n v="0"/>
    <n v="-30.8"/>
    <s v="Loss"/>
  </r>
  <r>
    <x v="289"/>
    <d v="2024-04-14T00:00:00"/>
    <d v="2024-04-24T00:00:00"/>
    <s v="Randy Johnson"/>
    <s v="Home Office"/>
    <s v="West"/>
    <x v="2"/>
    <s v="Bookcases"/>
    <s v="Blue Bookcases"/>
    <n v="4568.12"/>
    <n v="8"/>
    <n v="0"/>
    <n v="-897.01"/>
    <s v="Loss"/>
  </r>
  <r>
    <x v="290"/>
    <d v="2025-07-22T00:00:00"/>
    <d v="2025-07-31T00:00:00"/>
    <s v="Amber Strong"/>
    <s v="Home Office"/>
    <s v="West"/>
    <x v="2"/>
    <s v="Chairs"/>
    <s v="Late Chairs"/>
    <n v="3624.85"/>
    <n v="9"/>
    <n v="0.1"/>
    <n v="-690.79"/>
    <s v="Loss"/>
  </r>
  <r>
    <x v="291"/>
    <d v="2024-12-08T00:00:00"/>
    <d v="2024-12-10T00:00:00"/>
    <s v="Mark Harris"/>
    <s v="Corporate"/>
    <s v="East"/>
    <x v="2"/>
    <s v="Chairs"/>
    <s v="Letter Chairs"/>
    <n v="2645.71"/>
    <n v="4"/>
    <n v="0.05"/>
    <n v="372.73"/>
    <s v="Profit"/>
  </r>
  <r>
    <x v="292"/>
    <d v="2026-03-08T00:00:00"/>
    <d v="2026-03-10T00:00:00"/>
    <s v="Jason Perez"/>
    <s v="Home Office"/>
    <s v="South"/>
    <x v="1"/>
    <s v="Accessories"/>
    <s v="Technology Accessories"/>
    <n v="1896.61"/>
    <n v="7"/>
    <n v="0.15"/>
    <n v="210.05"/>
    <s v="Profit"/>
  </r>
  <r>
    <x v="293"/>
    <s v="20-10-2024"/>
    <d v="2024-10-22T00:00:00"/>
    <s v="Roberto Wells"/>
    <s v="Corporate"/>
    <s v="West"/>
    <x v="1"/>
    <s v="Laptops"/>
    <s v="President Laptops"/>
    <n v="3285.99"/>
    <n v="1"/>
    <n v="0"/>
    <n v="75.260000000000005"/>
    <s v="Profit"/>
  </r>
  <r>
    <x v="294"/>
    <d v="2024-07-18T00:00:00"/>
    <d v="2024-07-19T00:00:00"/>
    <s v="Christopher Garcia"/>
    <s v="Home Office"/>
    <s v="East"/>
    <x v="2"/>
    <s v="Bookcases"/>
    <s v="Across Bookcases"/>
    <n v="3529.08"/>
    <n v="2"/>
    <n v="0.15"/>
    <n v="934.96"/>
    <s v="Profit"/>
  </r>
  <r>
    <x v="295"/>
    <d v="2024-07-01T00:00:00"/>
    <d v="2024-07-10T00:00:00"/>
    <s v="Elizabeth Werner"/>
    <s v="Home Office"/>
    <s v="West"/>
    <x v="0"/>
    <s v="Binders"/>
    <s v="Move Binders"/>
    <n v="4599.8"/>
    <n v="4"/>
    <n v="0.05"/>
    <n v="1360.16"/>
    <s v="Profit"/>
  </r>
  <r>
    <x v="296"/>
    <d v="2024-12-10T00:00:00"/>
    <d v="2024-12-12T00:00:00"/>
    <s v="Ashley Davis"/>
    <s v="Consumer"/>
    <s v="South"/>
    <x v="1"/>
    <s v="Phones"/>
    <s v="Black Phones"/>
    <n v="3437.92"/>
    <n v="5"/>
    <n v="0.2"/>
    <n v="377.93"/>
    <s v="Profit"/>
  </r>
  <r>
    <x v="297"/>
    <d v="2024-02-06T00:00:00"/>
    <d v="2024-02-10T00:00:00"/>
    <s v="Mary Barnes"/>
    <s v="Home Office"/>
    <s v="South"/>
    <x v="1"/>
    <s v="Phones"/>
    <s v="Election Phones"/>
    <n v="2955.83"/>
    <n v="7"/>
    <n v="0"/>
    <n v="-104.63"/>
    <s v="Loss"/>
  </r>
  <r>
    <x v="298"/>
    <d v="2026-03-15T00:00:00"/>
    <d v="2026-03-24T00:00:00"/>
    <s v="Lori King"/>
    <s v="Home Office"/>
    <s v="East"/>
    <x v="0"/>
    <s v="Paper"/>
    <s v="Fall Paper"/>
    <n v="1692.06"/>
    <n v="3"/>
    <n v="0.2"/>
    <n v="335.52"/>
    <s v="Profit"/>
  </r>
  <r>
    <x v="299"/>
    <d v="2025-02-27T00:00:00"/>
    <d v="2025-03-06T00:00:00"/>
    <s v="Unknown"/>
    <s v="Home Office"/>
    <s v="West"/>
    <x v="2"/>
    <s v="Chairs"/>
    <s v="Character Chairs"/>
    <n v="1199.1099999999999"/>
    <n v="2"/>
    <n v="0.1"/>
    <n v="159.29"/>
    <s v="Profit"/>
  </r>
  <r>
    <x v="300"/>
    <d v="2024-08-23T00:00:00"/>
    <d v="2024-08-28T00:00:00"/>
    <s v="Wanda Graham"/>
    <s v="Home Office"/>
    <s v="West"/>
    <x v="1"/>
    <s v="Phones"/>
    <s v="Relationship Phones"/>
    <n v="3928.56"/>
    <n v="8"/>
    <n v="0.15"/>
    <n v="-292.77"/>
    <s v="Loss"/>
  </r>
  <r>
    <x v="301"/>
    <d v="2026-02-20T00:00:00"/>
    <d v="2026-03-02T00:00:00"/>
    <s v="Jessica Berger"/>
    <s v="Consumer"/>
    <s v="North"/>
    <x v="1"/>
    <s v="Phones"/>
    <s v="Project Phones"/>
    <n v="3320.33"/>
    <n v="2"/>
    <n v="0.2"/>
    <n v="-124.65"/>
    <s v="Loss"/>
  </r>
  <r>
    <x v="302"/>
    <d v="2026-05-19T00:00:00"/>
    <d v="2026-05-22T00:00:00"/>
    <s v="Cassie Valdez"/>
    <s v="Corporate"/>
    <s v="North"/>
    <x v="2"/>
    <s v="Tables"/>
    <s v="Sure Tables"/>
    <n v="1931"/>
    <n v="3"/>
    <n v="0.2"/>
    <n v="27.6"/>
    <s v="Profit"/>
  </r>
  <r>
    <x v="303"/>
    <d v="2023-12-29T00:00:00"/>
    <d v="2024-01-03T00:00:00"/>
    <s v="Michael Cordova"/>
    <s v="Consumer"/>
    <s v="West"/>
    <x v="2"/>
    <s v="Chairs"/>
    <s v="Reflect Chairs"/>
    <n v="2251.44"/>
    <n v="5"/>
    <n v="0"/>
    <n v="-286.20999999999998"/>
    <s v="Loss"/>
  </r>
  <r>
    <x v="304"/>
    <d v="2025-09-30T00:00:00"/>
    <d v="2025-10-09T00:00:00"/>
    <s v="Mary Williams"/>
    <s v="Home Office"/>
    <s v="North"/>
    <x v="1"/>
    <s v="Laptops"/>
    <s v="Near Laptops"/>
    <n v="2586.58"/>
    <n v="2"/>
    <n v="0"/>
    <n v="-389.82"/>
    <s v="Loss"/>
  </r>
  <r>
    <x v="305"/>
    <d v="2024-03-23T00:00:00"/>
    <d v="2024-03-29T00:00:00"/>
    <s v="Cheryl Ramos"/>
    <s v="Consumer"/>
    <s v="South"/>
    <x v="0"/>
    <s v="Storage"/>
    <s v="Onto Storage"/>
    <n v="4325.3999999999996"/>
    <n v="1"/>
    <n v="0.1"/>
    <n v="119.36"/>
    <s v="Profit"/>
  </r>
  <r>
    <x v="306"/>
    <d v="2024-07-08T00:00:00"/>
    <d v="2024-07-11T00:00:00"/>
    <s v="Unknown"/>
    <s v="Corporate"/>
    <s v="West"/>
    <x v="0"/>
    <s v="Storage"/>
    <s v="Require Storage"/>
    <n v="3442.31"/>
    <n v="3"/>
    <n v="0.05"/>
    <n v="-179.33"/>
    <s v="Loss"/>
  </r>
  <r>
    <x v="307"/>
    <d v="2024-09-08T00:00:00"/>
    <d v="2024-09-11T00:00:00"/>
    <s v="Michael Jackson"/>
    <s v="Consumer"/>
    <s v="East"/>
    <x v="2"/>
    <s v="Chairs"/>
    <s v="Decade Chairs"/>
    <n v="2201.65"/>
    <n v="7"/>
    <n v="0.1"/>
    <n v="146.03"/>
    <s v="Profit"/>
  </r>
  <r>
    <x v="308"/>
    <d v="2025-12-11T00:00:00"/>
    <d v="2025-12-19T00:00:00"/>
    <s v="Veronica Andrews"/>
    <s v="Corporate"/>
    <s v="North"/>
    <x v="1"/>
    <s v="Phones"/>
    <s v="Especially Phones"/>
    <n v="2989.34"/>
    <n v="4"/>
    <n v="0.15"/>
    <n v="-421.99"/>
    <s v="Loss"/>
  </r>
  <r>
    <x v="309"/>
    <d v="2024-12-09T00:00:00"/>
    <d v="2024-12-19T00:00:00"/>
    <s v="Regina Delgado"/>
    <s v="Home Office"/>
    <s v="West"/>
    <x v="1"/>
    <s v="Accessories"/>
    <s v="Region Accessories"/>
    <n v="1930.46"/>
    <n v="6"/>
    <n v="0.15"/>
    <n v="-30.68"/>
    <s v="Loss"/>
  </r>
  <r>
    <x v="310"/>
    <d v="2025-10-21T00:00:00"/>
    <d v="2025-10-31T00:00:00"/>
    <s v="Tonya Mills"/>
    <s v="Corporate"/>
    <s v="East"/>
    <x v="1"/>
    <s v="Accessories"/>
    <s v="Go Accessories"/>
    <n v="4739.03"/>
    <n v="4"/>
    <n v="0.15"/>
    <n v="-128.9"/>
    <s v="Loss"/>
  </r>
  <r>
    <x v="311"/>
    <d v="2025-03-07T00:00:00"/>
    <d v="2025-03-15T00:00:00"/>
    <s v="Brandon Harris"/>
    <s v="Corporate"/>
    <s v="East"/>
    <x v="1"/>
    <s v="Laptops"/>
    <s v="Everybody Laptops"/>
    <n v="4840.43"/>
    <n v="4"/>
    <n v="0.1"/>
    <n v="33.06"/>
    <s v="Profit"/>
  </r>
  <r>
    <x v="312"/>
    <d v="2026-01-09T00:00:00"/>
    <d v="2026-01-13T00:00:00"/>
    <s v="Donald Green"/>
    <s v="Home Office"/>
    <s v="North"/>
    <x v="2"/>
    <s v="Bookcases"/>
    <s v="Treatment Bookcases"/>
    <n v="2981.52"/>
    <n v="9"/>
    <n v="0.05"/>
    <n v="521.59"/>
    <s v="Profit"/>
  </r>
  <r>
    <x v="313"/>
    <d v="2026-02-03T00:00:00"/>
    <d v="2026-02-07T00:00:00"/>
    <s v="Sean Ball"/>
    <s v="Corporate"/>
    <s v="West"/>
    <x v="0"/>
    <s v="Paper"/>
    <s v="Here Paper"/>
    <n v="2220.35"/>
    <n v="5"/>
    <n v="0.2"/>
    <n v="-359.61"/>
    <s v="Loss"/>
  </r>
  <r>
    <x v="314"/>
    <d v="2025-09-28T00:00:00"/>
    <d v="2025-10-03T00:00:00"/>
    <s v="Victor Arroyo"/>
    <s v="Corporate"/>
    <s v="North"/>
    <x v="2"/>
    <s v="Bookcases"/>
    <s v="Either Bookcases"/>
    <n v="1248"/>
    <n v="3"/>
    <n v="0.2"/>
    <n v="40.840000000000003"/>
    <s v="Profit"/>
  </r>
  <r>
    <x v="315"/>
    <d v="2024-08-25T00:00:00"/>
    <d v="2024-09-02T00:00:00"/>
    <s v="Amy Carlson"/>
    <s v="Home Office"/>
    <s v="West"/>
    <x v="1"/>
    <s v="Laptops"/>
    <s v="Growth Laptops"/>
    <n v="2932.11"/>
    <n v="9"/>
    <n v="0.2"/>
    <n v="902.86"/>
    <s v="Profit"/>
  </r>
  <r>
    <x v="316"/>
    <d v="2025-07-04T00:00:00"/>
    <d v="2025-07-10T00:00:00"/>
    <s v="Samantha Sparks"/>
    <s v="Consumer"/>
    <s v="North"/>
    <x v="0"/>
    <s v="Binders"/>
    <s v="Pass Binders"/>
    <n v="3523.09"/>
    <n v="9"/>
    <n v="0.2"/>
    <n v="531.98"/>
    <s v="Profit"/>
  </r>
  <r>
    <x v="317"/>
    <d v="2024-11-23T00:00:00"/>
    <d v="2024-11-29T00:00:00"/>
    <s v="Randall West"/>
    <s v="Home Office"/>
    <s v="West"/>
    <x v="2"/>
    <s v="Bookcases"/>
    <s v="Include Bookcases"/>
    <n v="873.38"/>
    <n v="10"/>
    <n v="0"/>
    <n v="95.87"/>
    <s v="Profit"/>
  </r>
  <r>
    <x v="318"/>
    <d v="2025-11-29T00:00:00"/>
    <d v="2025-12-01T00:00:00"/>
    <s v="Randy Whitney"/>
    <s v="Home Office"/>
    <s v="South"/>
    <x v="1"/>
    <s v="Accessories"/>
    <s v="Main Accessories"/>
    <n v="102.21"/>
    <n v="5"/>
    <n v="0.05"/>
    <n v="8.27"/>
    <s v="Profit"/>
  </r>
  <r>
    <x v="319"/>
    <d v="2025-08-21T00:00:00"/>
    <d v="2025-08-28T00:00:00"/>
    <s v="Patricia Love"/>
    <s v="Corporate"/>
    <s v="North"/>
    <x v="1"/>
    <s v="Accessories"/>
    <s v="Whatever Accessories"/>
    <n v="2342.16"/>
    <n v="10"/>
    <n v="0.2"/>
    <n v="176.26"/>
    <s v="Profit"/>
  </r>
  <r>
    <x v="320"/>
    <d v="2026-03-23T00:00:00"/>
    <d v="2026-03-28T00:00:00"/>
    <s v="Eugene Hernandez"/>
    <s v="Home Office"/>
    <s v="South"/>
    <x v="1"/>
    <s v="Phones"/>
    <s v="Bag Phones"/>
    <n v="2109.08"/>
    <n v="2"/>
    <n v="0"/>
    <n v="542.51"/>
    <s v="Profit"/>
  </r>
  <r>
    <x v="321"/>
    <d v="2024-05-13T00:00:00"/>
    <d v="2024-05-19T00:00:00"/>
    <s v="Kara Ortiz"/>
    <s v="Corporate"/>
    <s v="North"/>
    <x v="1"/>
    <s v="Accessories"/>
    <s v="Step Accessories"/>
    <n v="2303.9"/>
    <n v="4"/>
    <n v="0.2"/>
    <n v="151.16"/>
    <s v="Profit"/>
  </r>
  <r>
    <x v="322"/>
    <d v="2024-06-18T00:00:00"/>
    <d v="2024-06-26T00:00:00"/>
    <s v="Nicholas James"/>
    <s v="Consumer"/>
    <s v="North"/>
    <x v="1"/>
    <s v="Laptops"/>
    <s v="Rather Laptops"/>
    <n v="1628.6"/>
    <n v="5"/>
    <n v="0"/>
    <n v="399.99"/>
    <s v="Profit"/>
  </r>
  <r>
    <x v="323"/>
    <d v="2024-08-03T00:00:00"/>
    <d v="2024-08-05T00:00:00"/>
    <s v="Geoffrey Frank"/>
    <s v="Consumer"/>
    <s v="South"/>
    <x v="1"/>
    <s v="Laptops"/>
    <s v="Will Laptops"/>
    <n v="3401.84"/>
    <n v="3"/>
    <n v="0.2"/>
    <n v="-224"/>
    <s v="Loss"/>
  </r>
  <r>
    <x v="324"/>
    <d v="2024-11-27T00:00:00"/>
    <d v="2024-12-04T00:00:00"/>
    <s v="Kimberly Flowers"/>
    <s v="Consumer"/>
    <s v="West"/>
    <x v="1"/>
    <s v="Laptops"/>
    <s v="Already Laptops"/>
    <n v="4794.3900000000003"/>
    <n v="4"/>
    <n v="0.15"/>
    <n v="701.75"/>
    <s v="Profit"/>
  </r>
  <r>
    <x v="325"/>
    <d v="2026-02-17T00:00:00"/>
    <d v="2026-02-27T00:00:00"/>
    <s v="Diamond Foster"/>
    <s v="Consumer"/>
    <s v="South"/>
    <x v="1"/>
    <s v="Phones"/>
    <s v="Economic Phones"/>
    <n v="4421.33"/>
    <n v="8"/>
    <n v="0.2"/>
    <n v="160.29"/>
    <s v="Profit"/>
  </r>
  <r>
    <x v="326"/>
    <d v="2023-05-27T00:00:00"/>
    <d v="2023-05-29T00:00:00"/>
    <s v="Michael Li"/>
    <s v="Consumer"/>
    <s v="West"/>
    <x v="2"/>
    <s v="Tables"/>
    <s v="While Tables"/>
    <n v="2907.87"/>
    <n v="9"/>
    <n v="0.05"/>
    <n v="3.45"/>
    <s v="Profit"/>
  </r>
  <r>
    <x v="327"/>
    <d v="2023-11-15T00:00:00"/>
    <d v="2023-11-23T00:00:00"/>
    <s v="Christopher Jones"/>
    <s v="Corporate"/>
    <s v="North"/>
    <x v="2"/>
    <s v="Tables"/>
    <s v="Marriage Tables"/>
    <n v="2662.19"/>
    <n v="6"/>
    <n v="0.2"/>
    <n v="36.61"/>
    <s v="Profit"/>
  </r>
  <r>
    <x v="328"/>
    <d v="2025-04-17T00:00:00"/>
    <d v="2025-04-25T00:00:00"/>
    <s v="Karen Thomas"/>
    <s v="Home Office"/>
    <s v="South"/>
    <x v="1"/>
    <s v="Accessories"/>
    <s v="Evening Accessories"/>
    <n v="3105.95"/>
    <n v="5"/>
    <n v="0.2"/>
    <n v="386.98"/>
    <s v="Profit"/>
  </r>
  <r>
    <x v="329"/>
    <d v="2025-10-22T00:00:00"/>
    <d v="2025-10-26T00:00:00"/>
    <s v="Melody Freeman"/>
    <s v="Home Office"/>
    <s v="West"/>
    <x v="1"/>
    <s v="Phones"/>
    <s v="Watch Phones"/>
    <n v="1561.63"/>
    <n v="3"/>
    <n v="0.1"/>
    <n v="283.26"/>
    <s v="Profit"/>
  </r>
  <r>
    <x v="330"/>
    <d v="2025-01-20T00:00:00"/>
    <d v="2025-01-23T00:00:00"/>
    <s v="Mrs. Crystal Floyd Md"/>
    <s v="Home Office"/>
    <s v="South"/>
    <x v="1"/>
    <s v="Laptops"/>
    <s v="Product Laptops"/>
    <n v="2895.29"/>
    <n v="7"/>
    <n v="0.05"/>
    <n v="195.92"/>
    <s v="Profit"/>
  </r>
  <r>
    <x v="331"/>
    <d v="2023-09-15T00:00:00"/>
    <d v="2023-09-23T00:00:00"/>
    <s v="Danielle Morgan"/>
    <s v="Home Office"/>
    <s v="North"/>
    <x v="0"/>
    <s v="Binders"/>
    <s v="Difference Binders"/>
    <n v="1479.73"/>
    <n v="3"/>
    <n v="0.1"/>
    <n v="389.3"/>
    <s v="Profit"/>
  </r>
  <r>
    <x v="332"/>
    <d v="2026-04-17T00:00:00"/>
    <d v="2026-04-25T00:00:00"/>
    <s v="Ryan Gonzalez"/>
    <s v="Corporate"/>
    <s v="West"/>
    <x v="1"/>
    <s v="Phones"/>
    <s v="Often Phones"/>
    <n v="725.85"/>
    <n v="7"/>
    <n v="0.2"/>
    <n v="56.61"/>
    <s v="Profit"/>
  </r>
  <r>
    <x v="333"/>
    <d v="2025-12-29T00:00:00"/>
    <d v="2026-01-05T00:00:00"/>
    <s v="Robert Thomas"/>
    <s v="Home Office"/>
    <s v="North"/>
    <x v="0"/>
    <s v="Paper"/>
    <s v="Civil Paper"/>
    <n v="3565.2"/>
    <n v="8"/>
    <n v="0.15"/>
    <n v="-385.08"/>
    <s v="Loss"/>
  </r>
  <r>
    <x v="334"/>
    <d v="2025-07-30T00:00:00"/>
    <d v="2025-07-31T00:00:00"/>
    <s v="Shannon Compton"/>
    <s v="Corporate"/>
    <s v="West"/>
    <x v="2"/>
    <s v="Tables"/>
    <s v="Available Tables"/>
    <n v="1410.52"/>
    <n v="9"/>
    <n v="0.1"/>
    <n v="-151.61000000000001"/>
    <s v="Loss"/>
  </r>
  <r>
    <x v="335"/>
    <d v="2024-04-04T00:00:00"/>
    <d v="2024-04-06T00:00:00"/>
    <s v="Benjamin Walker"/>
    <s v="Corporate"/>
    <s v="North"/>
    <x v="0"/>
    <s v="Storage"/>
    <s v="Interview Storage"/>
    <n v="2884.93"/>
    <n v="5"/>
    <n v="0.2"/>
    <n v="729.33"/>
    <s v="Profit"/>
  </r>
  <r>
    <x v="336"/>
    <d v="2024-02-13T00:00:00"/>
    <d v="2024-02-22T00:00:00"/>
    <s v="Unknown"/>
    <s v="Home Office"/>
    <s v="South"/>
    <x v="0"/>
    <s v="Paper"/>
    <s v="Term Paper"/>
    <n v="1131.78"/>
    <n v="7"/>
    <n v="0"/>
    <n v="231.78"/>
    <s v="Profit"/>
  </r>
  <r>
    <x v="337"/>
    <d v="2024-11-01T00:00:00"/>
    <d v="2024-11-09T00:00:00"/>
    <s v="Susan Watson"/>
    <s v="Consumer"/>
    <s v="South"/>
    <x v="1"/>
    <s v="Phones"/>
    <s v="Language Phones"/>
    <n v="1350.94"/>
    <n v="2"/>
    <n v="0.15"/>
    <n v="372.74"/>
    <s v="Profit"/>
  </r>
  <r>
    <x v="338"/>
    <d v="2025-03-25T00:00:00"/>
    <d v="2025-04-04T00:00:00"/>
    <s v="Yolanda Guerra"/>
    <s v="Home Office"/>
    <s v="South"/>
    <x v="2"/>
    <s v="Bookcases"/>
    <s v="Both Bookcases"/>
    <n v="3461.21"/>
    <n v="10"/>
    <n v="0.2"/>
    <n v="122.84"/>
    <s v="Profit"/>
  </r>
  <r>
    <x v="339"/>
    <d v="2026-05-03T00:00:00"/>
    <d v="2026-05-04T00:00:00"/>
    <s v="Matthew Ryan"/>
    <s v="Consumer"/>
    <s v="East"/>
    <x v="2"/>
    <s v="Chairs"/>
    <s v="Amount Chairs"/>
    <n v="2871.87"/>
    <n v="9"/>
    <n v="0.1"/>
    <n v="368.38"/>
    <s v="Profit"/>
  </r>
  <r>
    <x v="340"/>
    <d v="2025-01-06T00:00:00"/>
    <d v="2025-01-11T00:00:00"/>
    <s v="Charles Gonzalez"/>
    <s v="Consumer"/>
    <s v="West"/>
    <x v="0"/>
    <s v="Paper"/>
    <s v="Quite Paper"/>
    <n v="2885.04"/>
    <n v="9"/>
    <n v="0.2"/>
    <n v="716.5"/>
    <s v="Profit"/>
  </r>
  <r>
    <x v="341"/>
    <d v="2024-03-30T00:00:00"/>
    <d v="2024-04-02T00:00:00"/>
    <s v="James Clark"/>
    <s v="Corporate"/>
    <s v="South"/>
    <x v="2"/>
    <s v="Tables"/>
    <s v="Low Tables"/>
    <n v="3522.06"/>
    <n v="3"/>
    <n v="0.05"/>
    <n v="-421.12"/>
    <s v="Loss"/>
  </r>
  <r>
    <x v="342"/>
    <d v="2024-08-09T00:00:00"/>
    <d v="2024-08-17T00:00:00"/>
    <s v="Christie Collier"/>
    <s v="Corporate"/>
    <s v="North"/>
    <x v="0"/>
    <s v="Paper"/>
    <s v="Simply Paper"/>
    <n v="753.75"/>
    <n v="5"/>
    <n v="0.2"/>
    <n v="20.97"/>
    <s v="Profit"/>
  </r>
  <r>
    <x v="343"/>
    <d v="2023-06-23T00:00:00"/>
    <d v="2023-06-30T00:00:00"/>
    <s v="Karen Snyder"/>
    <s v="Corporate"/>
    <s v="West"/>
    <x v="0"/>
    <s v="Binders"/>
    <s v="Close Binders"/>
    <n v="2602.29"/>
    <n v="5"/>
    <n v="0.2"/>
    <n v="819.68"/>
    <s v="Profit"/>
  </r>
  <r>
    <x v="344"/>
    <d v="2025-05-08T00:00:00"/>
    <d v="2025-05-18T00:00:00"/>
    <s v="Kathryn Potts"/>
    <s v="Home Office"/>
    <s v="East"/>
    <x v="1"/>
    <s v="Accessories"/>
    <s v="Several Accessories"/>
    <n v="62.24"/>
    <n v="2"/>
    <n v="0.2"/>
    <n v="20.83"/>
    <s v="Profit"/>
  </r>
  <r>
    <x v="345"/>
    <d v="2023-06-30T00:00:00"/>
    <d v="2023-07-07T00:00:00"/>
    <s v="Amber Wilson"/>
    <s v="Corporate"/>
    <s v="East"/>
    <x v="2"/>
    <s v="Bookcases"/>
    <s v="Third Bookcases"/>
    <n v="1128.26"/>
    <n v="7"/>
    <n v="0.05"/>
    <n v="81.34"/>
    <s v="Profit"/>
  </r>
  <r>
    <x v="346"/>
    <d v="2025-12-01T00:00:00"/>
    <d v="2025-12-11T00:00:00"/>
    <s v="Mackenzie Jimenez"/>
    <s v="Consumer"/>
    <s v="North"/>
    <x v="1"/>
    <s v="Laptops"/>
    <s v="Majority Laptops"/>
    <n v="696.44"/>
    <n v="8"/>
    <n v="0.1"/>
    <n v="203.21"/>
    <s v="Profit"/>
  </r>
  <r>
    <x v="347"/>
    <d v="2026-05-21T00:00:00"/>
    <d v="2026-05-29T00:00:00"/>
    <s v="Kristen Smith"/>
    <s v="Corporate"/>
    <s v="South"/>
    <x v="2"/>
    <s v="Bookcases"/>
    <s v="In Bookcases"/>
    <n v="130.59"/>
    <n v="3"/>
    <n v="0.15"/>
    <n v="6.67"/>
    <s v="Profit"/>
  </r>
  <r>
    <x v="348"/>
    <d v="2024-04-15T00:00:00"/>
    <d v="2024-04-20T00:00:00"/>
    <s v="April Jackson"/>
    <s v="Corporate"/>
    <s v="North"/>
    <x v="0"/>
    <s v="Binders"/>
    <s v="Message Binders"/>
    <n v="836.94"/>
    <n v="5"/>
    <n v="0"/>
    <n v="133.93"/>
    <s v="Profit"/>
  </r>
  <r>
    <x v="349"/>
    <d v="2025-06-12T00:00:00"/>
    <d v="2025-06-15T00:00:00"/>
    <s v="Jerry Fischer"/>
    <s v="Consumer"/>
    <s v="West"/>
    <x v="1"/>
    <s v="Laptops"/>
    <s v="Anyone Laptops"/>
    <n v="306.35000000000002"/>
    <n v="5"/>
    <n v="0.2"/>
    <n v="56.58"/>
    <s v="Profit"/>
  </r>
  <r>
    <x v="350"/>
    <d v="2024-08-12T00:00:00"/>
    <d v="2024-08-14T00:00:00"/>
    <s v="Timothy Daniels"/>
    <s v="Consumer"/>
    <s v="West"/>
    <x v="0"/>
    <s v="Binders"/>
    <s v="Seek Binders"/>
    <n v="55.38"/>
    <n v="8"/>
    <n v="0"/>
    <n v="-7.03"/>
    <s v="Loss"/>
  </r>
  <r>
    <x v="351"/>
    <d v="2024-08-25T00:00:00"/>
    <d v="2024-08-31T00:00:00"/>
    <s v="Ryan Williams"/>
    <s v="Consumer"/>
    <s v="South"/>
    <x v="2"/>
    <s v="Chairs"/>
    <s v="Whose Chairs"/>
    <n v="4094.69"/>
    <n v="7"/>
    <n v="0.2"/>
    <n v="-521.27"/>
    <s v="Loss"/>
  </r>
  <r>
    <x v="352"/>
    <d v="2025-10-13T00:00:00"/>
    <d v="2025-10-15T00:00:00"/>
    <s v="Alicia King"/>
    <s v="Consumer"/>
    <s v="South"/>
    <x v="1"/>
    <s v="Phones"/>
    <s v="Lay Phones"/>
    <n v="560.85"/>
    <n v="6"/>
    <n v="0.1"/>
    <n v="-69.87"/>
    <s v="Loss"/>
  </r>
  <r>
    <x v="353"/>
    <d v="2023-09-23T00:00:00"/>
    <d v="2023-10-03T00:00:00"/>
    <s v="Christopher Kim"/>
    <s v="Consumer"/>
    <s v="West"/>
    <x v="2"/>
    <s v="Bookcases"/>
    <s v="Agency Bookcases"/>
    <n v="91.95"/>
    <n v="3"/>
    <n v="0.15"/>
    <n v="-0.63"/>
    <s v="Loss"/>
  </r>
  <r>
    <x v="354"/>
    <d v="2025-10-05T00:00:00"/>
    <d v="2025-10-13T00:00:00"/>
    <s v="Cynthia Hernandez"/>
    <s v="Consumer"/>
    <s v="West"/>
    <x v="1"/>
    <s v="Laptops"/>
    <s v="Community Laptops"/>
    <n v="4306.8100000000004"/>
    <n v="2"/>
    <n v="0"/>
    <n v="-529.71"/>
    <s v="Loss"/>
  </r>
  <r>
    <x v="355"/>
    <d v="2026-03-16T00:00:00"/>
    <d v="2026-03-22T00:00:00"/>
    <s v="Zachary Bishop"/>
    <s v="Consumer"/>
    <s v="East"/>
    <x v="1"/>
    <s v="Accessories"/>
    <s v="Continue Accessories"/>
    <n v="3965.83"/>
    <n v="4"/>
    <n v="0.1"/>
    <n v="612.88"/>
    <s v="Profit"/>
  </r>
  <r>
    <x v="356"/>
    <d v="2025-04-26T00:00:00"/>
    <d v="2025-05-01T00:00:00"/>
    <s v="Rhonda Woods"/>
    <s v="Corporate"/>
    <s v="East"/>
    <x v="0"/>
    <s v="Binders"/>
    <s v="Watch Binders"/>
    <n v="1066.96"/>
    <n v="10"/>
    <n v="0.2"/>
    <n v="-102.69"/>
    <s v="Loss"/>
  </r>
  <r>
    <x v="357"/>
    <d v="2023-08-30T00:00:00"/>
    <d v="2023-09-03T00:00:00"/>
    <s v="Unknown"/>
    <s v="Home Office"/>
    <s v="North"/>
    <x v="0"/>
    <s v="Binders"/>
    <s v="Thing Binders"/>
    <n v="2499.69"/>
    <n v="2"/>
    <n v="0.05"/>
    <n v="186.9"/>
    <s v="Profit"/>
  </r>
  <r>
    <x v="358"/>
    <d v="2023-09-22T00:00:00"/>
    <d v="2023-09-28T00:00:00"/>
    <s v="Joshua Costa"/>
    <s v="Home Office"/>
    <s v="West"/>
    <x v="0"/>
    <s v="Binders"/>
    <s v="End Binders"/>
    <n v="4672.93"/>
    <n v="3"/>
    <n v="0.15"/>
    <n v="1277.8"/>
    <s v="Profit"/>
  </r>
  <r>
    <x v="359"/>
    <d v="2024-03-15T00:00:00"/>
    <d v="2024-03-18T00:00:00"/>
    <s v="Eric Higgins"/>
    <s v="Consumer"/>
    <s v="East"/>
    <x v="1"/>
    <s v="Laptops"/>
    <s v="Rather Laptops"/>
    <n v="3825.49"/>
    <n v="2"/>
    <n v="0"/>
    <n v="470.73"/>
    <s v="Profit"/>
  </r>
  <r>
    <x v="360"/>
    <d v="2025-03-08T00:00:00"/>
    <d v="2025-03-09T00:00:00"/>
    <s v="Robert Porter"/>
    <s v="Home Office"/>
    <s v="West"/>
    <x v="2"/>
    <s v="Chairs"/>
    <s v="Word Chairs"/>
    <n v="4745.97"/>
    <n v="7"/>
    <n v="0.2"/>
    <n v="-201.38"/>
    <s v="Loss"/>
  </r>
  <r>
    <x v="361"/>
    <d v="2025-12-18T00:00:00"/>
    <d v="2025-12-25T00:00:00"/>
    <s v="Belinda Wells"/>
    <s v="Corporate"/>
    <s v="North"/>
    <x v="1"/>
    <s v="Laptops"/>
    <s v="Black Laptops"/>
    <n v="458.02"/>
    <n v="9"/>
    <n v="0.2"/>
    <n v="63.59"/>
    <s v="Profit"/>
  </r>
  <r>
    <x v="362"/>
    <s v="30-11-2025"/>
    <d v="2025-12-09T00:00:00"/>
    <s v="Jeremiah Bond"/>
    <s v="Home Office"/>
    <s v="North"/>
    <x v="1"/>
    <s v="Phones"/>
    <s v="Already Phones"/>
    <n v="4608.58"/>
    <n v="3"/>
    <n v="0.2"/>
    <n v="-93.5"/>
    <s v="Loss"/>
  </r>
  <r>
    <x v="363"/>
    <d v="2025-07-31T00:00:00"/>
    <d v="2025-08-07T00:00:00"/>
    <s v="Marie Mendoza"/>
    <s v="Corporate"/>
    <s v="North"/>
    <x v="1"/>
    <s v="Laptops"/>
    <s v="Lot Laptops"/>
    <n v="3663.29"/>
    <n v="4"/>
    <n v="0"/>
    <n v="-240.08"/>
    <s v="Loss"/>
  </r>
  <r>
    <x v="364"/>
    <d v="2024-01-30T00:00:00"/>
    <d v="2024-02-09T00:00:00"/>
    <s v="Savannah Jackson"/>
    <s v="Consumer"/>
    <s v="North"/>
    <x v="1"/>
    <s v="Laptops"/>
    <s v="Challenge Laptops"/>
    <n v="322.39"/>
    <n v="3"/>
    <n v="0"/>
    <n v="-62.23"/>
    <s v="Loss"/>
  </r>
  <r>
    <x v="365"/>
    <d v="2025-04-22T00:00:00"/>
    <d v="2025-04-28T00:00:00"/>
    <s v="Elizabeth Walker"/>
    <s v="Home Office"/>
    <s v="East"/>
    <x v="2"/>
    <s v="Tables"/>
    <s v="Lay Tables"/>
    <n v="2638.88"/>
    <n v="5"/>
    <n v="0.05"/>
    <n v="11.95"/>
    <s v="Profit"/>
  </r>
  <r>
    <x v="366"/>
    <d v="2025-03-06T00:00:00"/>
    <d v="2025-03-07T00:00:00"/>
    <s v="Melissa Taylor"/>
    <s v="Corporate"/>
    <s v="North"/>
    <x v="0"/>
    <s v="Binders"/>
    <s v="Affect Binders"/>
    <n v="1708.3"/>
    <n v="7"/>
    <n v="0.1"/>
    <n v="150.54"/>
    <s v="Profit"/>
  </r>
  <r>
    <x v="367"/>
    <d v="2024-10-21T00:00:00"/>
    <d v="2024-10-30T00:00:00"/>
    <s v="Samuel Wang"/>
    <s v="Consumer"/>
    <s v="East"/>
    <x v="1"/>
    <s v="Accessories"/>
    <s v="Painting Accessories"/>
    <n v="1832.61"/>
    <n v="8"/>
    <n v="0.2"/>
    <n v="-198.32"/>
    <s v="Loss"/>
  </r>
  <r>
    <x v="368"/>
    <d v="2023-09-14T00:00:00"/>
    <d v="2023-09-16T00:00:00"/>
    <s v="Elizabeth Park"/>
    <s v="Consumer"/>
    <s v="South"/>
    <x v="2"/>
    <s v="Bookcases"/>
    <s v="Thank Bookcases"/>
    <n v="1180.5999999999999"/>
    <n v="9"/>
    <n v="0"/>
    <n v="-207.52"/>
    <s v="Loss"/>
  </r>
  <r>
    <x v="369"/>
    <d v="2024-11-03T00:00:00"/>
    <d v="2024-11-09T00:00:00"/>
    <s v="Karen Stevens"/>
    <s v="Consumer"/>
    <s v="West"/>
    <x v="2"/>
    <s v="Tables"/>
    <s v="International Tables"/>
    <n v="1945.75"/>
    <n v="3"/>
    <n v="0.05"/>
    <n v="607.34"/>
    <s v="Profit"/>
  </r>
  <r>
    <x v="370"/>
    <d v="2024-12-26T00:00:00"/>
    <d v="2024-12-30T00:00:00"/>
    <s v="Herbert Jones"/>
    <s v="Home Office"/>
    <s v="East"/>
    <x v="2"/>
    <s v="Tables"/>
    <s v="Perform Tables"/>
    <n v="2110.4699999999998"/>
    <n v="6"/>
    <n v="0.1"/>
    <n v="536.69000000000005"/>
    <s v="Profit"/>
  </r>
  <r>
    <x v="371"/>
    <d v="2025-07-03T00:00:00"/>
    <d v="2025-07-04T00:00:00"/>
    <s v="Tyler James"/>
    <s v="Consumer"/>
    <s v="West"/>
    <x v="2"/>
    <s v="Bookcases"/>
    <s v="Picture Bookcases"/>
    <n v="937.75"/>
    <n v="9"/>
    <n v="0"/>
    <n v="304.52999999999997"/>
    <s v="Profit"/>
  </r>
  <r>
    <x v="372"/>
    <d v="2024-09-14T00:00:00"/>
    <d v="2024-09-20T00:00:00"/>
    <s v="Robert Mcdonald"/>
    <s v="Corporate"/>
    <s v="East"/>
    <x v="1"/>
    <s v="Accessories"/>
    <s v="Space Accessories"/>
    <n v="477.61"/>
    <n v="8"/>
    <n v="0"/>
    <n v="1.39"/>
    <s v="Profit"/>
  </r>
  <r>
    <x v="373"/>
    <d v="2023-12-03T00:00:00"/>
    <d v="2023-12-07T00:00:00"/>
    <s v="Bianca Rogers"/>
    <s v="Consumer"/>
    <s v="South"/>
    <x v="0"/>
    <s v="Storage"/>
    <s v="Water Storage"/>
    <n v="2346.44"/>
    <n v="10"/>
    <n v="0.15"/>
    <n v="818.4"/>
    <s v="Profit"/>
  </r>
  <r>
    <x v="374"/>
    <d v="2025-09-24T00:00:00"/>
    <d v="2025-10-01T00:00:00"/>
    <s v="Caitlin Black"/>
    <s v="Home Office"/>
    <s v="North"/>
    <x v="2"/>
    <s v="Chairs"/>
    <s v="Throw Chairs"/>
    <n v="168.36"/>
    <n v="9"/>
    <n v="0.1"/>
    <n v="25.21"/>
    <s v="Profit"/>
  </r>
  <r>
    <x v="375"/>
    <d v="2025-03-29T00:00:00"/>
    <d v="2025-04-05T00:00:00"/>
    <s v="Rebecca Brown"/>
    <s v="Consumer"/>
    <s v="West"/>
    <x v="1"/>
    <s v="Phones"/>
    <s v="Wonder Phones"/>
    <n v="4252.58"/>
    <n v="5"/>
    <n v="0"/>
    <n v="-370.58"/>
    <s v="Loss"/>
  </r>
  <r>
    <x v="376"/>
    <d v="2025-07-20T00:00:00"/>
    <d v="2025-07-23T00:00:00"/>
    <s v="Sara Walker"/>
    <s v="Home Office"/>
    <s v="West"/>
    <x v="1"/>
    <s v="Phones"/>
    <s v="Weight Phones"/>
    <n v="3572.68"/>
    <n v="2"/>
    <n v="0"/>
    <n v="1095.74"/>
    <s v="Profit"/>
  </r>
  <r>
    <x v="377"/>
    <d v="2024-06-16T00:00:00"/>
    <d v="2024-06-24T00:00:00"/>
    <s v="Jacob Shelton"/>
    <s v="Consumer"/>
    <s v="West"/>
    <x v="0"/>
    <s v="Paper"/>
    <s v="Despite Paper"/>
    <n v="4874.05"/>
    <n v="2"/>
    <n v="0.2"/>
    <n v="-718.59"/>
    <s v="Loss"/>
  </r>
  <r>
    <x v="378"/>
    <d v="2025-04-24T00:00:00"/>
    <d v="2025-05-04T00:00:00"/>
    <s v="Vickie Cooper"/>
    <s v="Corporate"/>
    <s v="West"/>
    <x v="2"/>
    <s v="Bookcases"/>
    <s v="Mission Bookcases"/>
    <n v="358.3"/>
    <n v="3"/>
    <n v="0.05"/>
    <n v="-14.18"/>
    <s v="Loss"/>
  </r>
  <r>
    <x v="379"/>
    <d v="2024-11-12T00:00:00"/>
    <d v="2024-11-18T00:00:00"/>
    <s v="Ethan Walton"/>
    <s v="Consumer"/>
    <s v="South"/>
    <x v="0"/>
    <s v="Storage"/>
    <s v="Situation Storage"/>
    <n v="1624.39"/>
    <n v="5"/>
    <n v="0.05"/>
    <n v="-258.14999999999998"/>
    <s v="Loss"/>
  </r>
  <r>
    <x v="380"/>
    <d v="2024-09-27T00:00:00"/>
    <d v="2024-09-30T00:00:00"/>
    <s v="Rachel Miller"/>
    <s v="Consumer"/>
    <s v="East"/>
    <x v="0"/>
    <s v="Binders"/>
    <s v="Ok Binders"/>
    <n v="573.01"/>
    <n v="8"/>
    <n v="0.15"/>
    <n v="-15.63"/>
    <s v="Loss"/>
  </r>
  <r>
    <x v="381"/>
    <d v="2025-04-09T00:00:00"/>
    <d v="2025-04-14T00:00:00"/>
    <s v="Karen Merritt"/>
    <s v="Home Office"/>
    <s v="East"/>
    <x v="2"/>
    <s v="Tables"/>
    <s v="Black Tables"/>
    <n v="2343.5700000000002"/>
    <n v="2"/>
    <n v="0"/>
    <n v="-265.55"/>
    <s v="Loss"/>
  </r>
  <r>
    <x v="382"/>
    <d v="2023-08-14T00:00:00"/>
    <d v="2023-08-24T00:00:00"/>
    <s v="Eric Sherman"/>
    <s v="Consumer"/>
    <s v="East"/>
    <x v="0"/>
    <s v="Storage"/>
    <s v="Easy Storage"/>
    <n v="249.63"/>
    <n v="6"/>
    <n v="0.05"/>
    <n v="-37.4"/>
    <s v="Loss"/>
  </r>
  <r>
    <x v="383"/>
    <d v="2025-09-14T00:00:00"/>
    <d v="2025-09-15T00:00:00"/>
    <s v="April Ward"/>
    <s v="Home Office"/>
    <s v="West"/>
    <x v="1"/>
    <s v="Laptops"/>
    <s v="Term Laptops"/>
    <n v="3402.06"/>
    <n v="5"/>
    <n v="0.05"/>
    <n v="-622.25"/>
    <s v="Loss"/>
  </r>
  <r>
    <x v="384"/>
    <d v="2024-09-16T00:00:00"/>
    <d v="2024-09-25T00:00:00"/>
    <s v="Jeffrey Morgan"/>
    <s v="Consumer"/>
    <s v="North"/>
    <x v="0"/>
    <s v="Storage"/>
    <s v="Particular Storage"/>
    <n v="1286.77"/>
    <n v="8"/>
    <n v="0"/>
    <n v="311.58"/>
    <s v="Profit"/>
  </r>
  <r>
    <x v="385"/>
    <d v="2023-10-18T00:00:00"/>
    <d v="2023-10-22T00:00:00"/>
    <s v="Jeremy Parrish"/>
    <s v="Home Office"/>
    <s v="North"/>
    <x v="2"/>
    <s v="Chairs"/>
    <s v="Month Chairs"/>
    <n v="697.04"/>
    <n v="7"/>
    <n v="0.1"/>
    <n v="123.69"/>
    <s v="Profit"/>
  </r>
  <r>
    <x v="386"/>
    <d v="2024-05-24T00:00:00"/>
    <d v="2024-05-29T00:00:00"/>
    <s v="Elizabeth Miller"/>
    <s v="Consumer"/>
    <s v="West"/>
    <x v="0"/>
    <s v="Storage"/>
    <s v="Center Storage"/>
    <n v="4591.2700000000004"/>
    <n v="2"/>
    <n v="0"/>
    <n v="1599.78"/>
    <s v="Profit"/>
  </r>
  <r>
    <x v="387"/>
    <d v="2024-08-17T00:00:00"/>
    <d v="2024-08-23T00:00:00"/>
    <s v="Danielle Stuart"/>
    <s v="Home Office"/>
    <s v="West"/>
    <x v="2"/>
    <s v="Chairs"/>
    <s v="Able Chairs"/>
    <n v="656.51"/>
    <n v="8"/>
    <n v="0"/>
    <n v="-70.64"/>
    <s v="Loss"/>
  </r>
  <r>
    <x v="388"/>
    <d v="2023-08-14T00:00:00"/>
    <d v="2023-08-22T00:00:00"/>
    <s v="Annette Butler"/>
    <s v="Consumer"/>
    <s v="East"/>
    <x v="0"/>
    <s v="Paper"/>
    <s v="Matter Paper"/>
    <n v="195.94"/>
    <n v="7"/>
    <n v="0.05"/>
    <n v="-1.04"/>
    <s v="Loss"/>
  </r>
  <r>
    <x v="389"/>
    <d v="2024-08-09T00:00:00"/>
    <d v="2024-08-12T00:00:00"/>
    <s v="Jamie Flores"/>
    <s v="Corporate"/>
    <s v="West"/>
    <x v="1"/>
    <s v="Accessories"/>
    <s v="Center Accessories"/>
    <n v="221.51"/>
    <n v="10"/>
    <n v="0.2"/>
    <n v="-14.36"/>
    <s v="Loss"/>
  </r>
  <r>
    <x v="390"/>
    <d v="2024-09-22T00:00:00"/>
    <d v="2024-09-30T00:00:00"/>
    <s v="Peggy Holder"/>
    <s v="Consumer"/>
    <s v="South"/>
    <x v="1"/>
    <s v="Laptops"/>
    <s v="Budget Laptops"/>
    <n v="351.85"/>
    <n v="5"/>
    <n v="0.15"/>
    <n v="-43.81"/>
    <s v="Loss"/>
  </r>
  <r>
    <x v="391"/>
    <d v="2026-01-14T00:00:00"/>
    <d v="2026-01-15T00:00:00"/>
    <s v="Jason Scott"/>
    <s v="Corporate"/>
    <s v="East"/>
    <x v="0"/>
    <s v="Storage"/>
    <s v="Majority Storage"/>
    <n v="4947.55"/>
    <n v="6"/>
    <n v="0.15"/>
    <n v="492.21"/>
    <s v="Profit"/>
  </r>
  <r>
    <x v="392"/>
    <d v="2025-10-18T00:00:00"/>
    <d v="2025-10-24T00:00:00"/>
    <s v="Denise Beasley"/>
    <s v="Consumer"/>
    <s v="North"/>
    <x v="0"/>
    <s v="Storage"/>
    <s v="Occur Storage"/>
    <n v="1972.49"/>
    <n v="3"/>
    <n v="0"/>
    <n v="-48.56"/>
    <s v="Loss"/>
  </r>
  <r>
    <x v="393"/>
    <d v="2024-04-18T00:00:00"/>
    <d v="2024-04-26T00:00:00"/>
    <s v="Richard Hernandez"/>
    <s v="Consumer"/>
    <s v="South"/>
    <x v="1"/>
    <s v="Phones"/>
    <s v="Trade Phones"/>
    <n v="2670.69"/>
    <n v="10"/>
    <n v="0.05"/>
    <n v="896.52"/>
    <s v="Profit"/>
  </r>
  <r>
    <x v="394"/>
    <d v="2024-05-23T00:00:00"/>
    <d v="2024-05-28T00:00:00"/>
    <s v="Marissa Fox"/>
    <s v="Corporate"/>
    <s v="East"/>
    <x v="0"/>
    <s v="Binders"/>
    <s v="With Binders"/>
    <n v="2691.76"/>
    <n v="1"/>
    <n v="0.05"/>
    <n v="313.94"/>
    <s v="Profit"/>
  </r>
  <r>
    <x v="395"/>
    <d v="2026-01-30T00:00:00"/>
    <d v="2026-02-03T00:00:00"/>
    <s v="Megan Aguilar"/>
    <s v="Home Office"/>
    <s v="East"/>
    <x v="2"/>
    <s v="Chairs"/>
    <s v="Those Chairs"/>
    <n v="2982.97"/>
    <n v="6"/>
    <n v="0.2"/>
    <n v="-550.32000000000005"/>
    <s v="Loss"/>
  </r>
  <r>
    <x v="396"/>
    <d v="2024-02-07T00:00:00"/>
    <d v="2024-02-10T00:00:00"/>
    <s v="David Rice"/>
    <s v="Consumer"/>
    <s v="West"/>
    <x v="0"/>
    <s v="Storage"/>
    <s v="Between Storage"/>
    <n v="2837.39"/>
    <n v="4"/>
    <n v="0.15"/>
    <n v="278.54000000000002"/>
    <s v="Profit"/>
  </r>
  <r>
    <x v="397"/>
    <d v="2024-05-14T00:00:00"/>
    <d v="2024-05-15T00:00:00"/>
    <s v="Larry Carter"/>
    <s v="Consumer"/>
    <s v="East"/>
    <x v="2"/>
    <s v="Chairs"/>
    <s v="Production Chairs"/>
    <n v="1201.49"/>
    <n v="4"/>
    <n v="0"/>
    <n v="107.59"/>
    <s v="Profit"/>
  </r>
  <r>
    <x v="398"/>
    <d v="2026-04-13T00:00:00"/>
    <d v="2026-04-16T00:00:00"/>
    <s v="Kellie Barnett"/>
    <s v="Consumer"/>
    <s v="South"/>
    <x v="0"/>
    <s v="Binders"/>
    <s v="Military Binders"/>
    <n v="1736.76"/>
    <n v="3"/>
    <n v="0.1"/>
    <n v="-290.45999999999998"/>
    <s v="Loss"/>
  </r>
  <r>
    <x v="399"/>
    <d v="2023-12-06T00:00:00"/>
    <d v="2023-12-12T00:00:00"/>
    <s v="Elizabeth Park"/>
    <s v="Corporate"/>
    <s v="North"/>
    <x v="2"/>
    <s v="Bookcases"/>
    <s v="Through Bookcases"/>
    <n v="4804.7700000000004"/>
    <n v="6"/>
    <n v="0.2"/>
    <n v="1528.19"/>
    <s v="Profit"/>
  </r>
  <r>
    <x v="400"/>
    <d v="2025-04-10T00:00:00"/>
    <d v="2025-04-16T00:00:00"/>
    <s v="Francisco Martinez"/>
    <s v="Home Office"/>
    <s v="West"/>
    <x v="1"/>
    <s v="Accessories"/>
    <s v="Modern Accessories"/>
    <n v="725.44"/>
    <n v="3"/>
    <n v="0.2"/>
    <n v="233.43"/>
    <s v="Profit"/>
  </r>
  <r>
    <x v="401"/>
    <d v="2025-05-23T00:00:00"/>
    <d v="2025-05-26T00:00:00"/>
    <s v="John Velazquez"/>
    <s v="Home Office"/>
    <s v="East"/>
    <x v="0"/>
    <s v="Paper"/>
    <s v="Artist Paper"/>
    <n v="3550.56"/>
    <n v="9"/>
    <n v="0.2"/>
    <n v="1027.1099999999999"/>
    <s v="Profit"/>
  </r>
  <r>
    <x v="402"/>
    <d v="2024-03-23T00:00:00"/>
    <d v="2024-04-02T00:00:00"/>
    <s v="Laura Cox"/>
    <s v="Corporate"/>
    <s v="South"/>
    <x v="2"/>
    <s v="Bookcases"/>
    <s v="Best Bookcases"/>
    <n v="4081.55"/>
    <n v="7"/>
    <n v="0.1"/>
    <n v="831.4"/>
    <s v="Profit"/>
  </r>
  <r>
    <x v="403"/>
    <d v="2025-04-20T00:00:00"/>
    <d v="2025-04-21T00:00:00"/>
    <s v="Heather Mccarthy"/>
    <s v="Home Office"/>
    <s v="West"/>
    <x v="2"/>
    <s v="Bookcases"/>
    <s v="Argue Bookcases"/>
    <n v="4746.5"/>
    <n v="10"/>
    <n v="0.15"/>
    <n v="1271.6600000000001"/>
    <s v="Profit"/>
  </r>
  <r>
    <x v="404"/>
    <d v="2024-05-22T00:00:00"/>
    <d v="2024-05-28T00:00:00"/>
    <s v="Nicholas Butler"/>
    <s v="Consumer"/>
    <s v="West"/>
    <x v="2"/>
    <s v="Bookcases"/>
    <s v="Pattern Bookcases"/>
    <n v="4609.1400000000003"/>
    <n v="10"/>
    <n v="0.05"/>
    <n v="699.69"/>
    <s v="Profit"/>
  </r>
  <r>
    <x v="405"/>
    <d v="2023-08-12T00:00:00"/>
    <d v="2023-08-14T00:00:00"/>
    <s v="Richard Robinson"/>
    <s v="Consumer"/>
    <s v="East"/>
    <x v="2"/>
    <s v="Tables"/>
    <s v="Pretty Tables"/>
    <n v="1228.08"/>
    <n v="6"/>
    <n v="0.05"/>
    <n v="184.09"/>
    <s v="Profit"/>
  </r>
  <r>
    <x v="406"/>
    <d v="2024-07-31T00:00:00"/>
    <d v="2024-08-05T00:00:00"/>
    <s v="David Johnson"/>
    <s v="Consumer"/>
    <s v="North"/>
    <x v="1"/>
    <s v="Phones"/>
    <s v="Candidate Phones"/>
    <n v="1087.94"/>
    <n v="2"/>
    <n v="0.1"/>
    <n v="-64.010000000000005"/>
    <s v="Loss"/>
  </r>
  <r>
    <x v="407"/>
    <d v="2025-08-29T00:00:00"/>
    <d v="2025-09-06T00:00:00"/>
    <s v="Guy Moore"/>
    <s v="Home Office"/>
    <s v="East"/>
    <x v="2"/>
    <s v="Tables"/>
    <s v="Customer Tables"/>
    <n v="3676.29"/>
    <n v="3"/>
    <n v="0.15"/>
    <n v="261.73"/>
    <s v="Profit"/>
  </r>
  <r>
    <x v="408"/>
    <s v="19-04-2026"/>
    <d v="2026-04-21T00:00:00"/>
    <s v="Brandon Chang"/>
    <s v="Consumer"/>
    <s v="South"/>
    <x v="0"/>
    <s v="Paper"/>
    <s v="Town Paper"/>
    <n v="4152.59"/>
    <n v="10"/>
    <n v="0.2"/>
    <n v="901.25"/>
    <s v="Profit"/>
  </r>
  <r>
    <x v="409"/>
    <d v="2025-07-10T00:00:00"/>
    <d v="2025-07-11T00:00:00"/>
    <s v="Virginia Silva"/>
    <s v="Consumer"/>
    <s v="East"/>
    <x v="1"/>
    <s v="Phones"/>
    <s v="Writer Phones"/>
    <n v="1509.8"/>
    <n v="6"/>
    <n v="0.1"/>
    <n v="488.29"/>
    <s v="Profit"/>
  </r>
  <r>
    <x v="410"/>
    <d v="2026-03-09T00:00:00"/>
    <d v="2026-03-12T00:00:00"/>
    <s v="Patricia Snyder"/>
    <s v="Home Office"/>
    <s v="West"/>
    <x v="2"/>
    <s v="Tables"/>
    <s v="First Tables"/>
    <n v="3673.33"/>
    <n v="9"/>
    <n v="0"/>
    <n v="-51.89"/>
    <s v="Loss"/>
  </r>
  <r>
    <x v="411"/>
    <d v="2023-10-31T00:00:00"/>
    <d v="2023-11-07T00:00:00"/>
    <s v="Sarah Diaz"/>
    <s v="Consumer"/>
    <s v="North"/>
    <x v="0"/>
    <s v="Binders"/>
    <s v="Own Binders"/>
    <n v="4715.09"/>
    <n v="3"/>
    <n v="0.2"/>
    <n v="1364.38"/>
    <s v="Profit"/>
  </r>
  <r>
    <x v="412"/>
    <d v="2024-10-23T00:00:00"/>
    <d v="2024-10-27T00:00:00"/>
    <s v="Dawn Peterson"/>
    <s v="Home Office"/>
    <s v="East"/>
    <x v="2"/>
    <s v="Tables"/>
    <s v="They Tables"/>
    <n v="4873.2700000000004"/>
    <n v="7"/>
    <n v="0.2"/>
    <n v="510.53"/>
    <s v="Profit"/>
  </r>
  <r>
    <x v="413"/>
    <d v="2023-09-15T00:00:00"/>
    <d v="2023-09-20T00:00:00"/>
    <s v="Kyle Sandoval"/>
    <s v="Corporate"/>
    <s v="South"/>
    <x v="0"/>
    <s v="Paper"/>
    <s v="Example Paper"/>
    <n v="1225.8599999999999"/>
    <n v="1"/>
    <n v="0.15"/>
    <n v="140.33000000000001"/>
    <s v="Profit"/>
  </r>
  <r>
    <x v="414"/>
    <d v="2024-06-14T00:00:00"/>
    <d v="2024-06-15T00:00:00"/>
    <s v="Eric Hatfield"/>
    <s v="Corporate"/>
    <s v="South"/>
    <x v="2"/>
    <s v="Tables"/>
    <s v="Else Tables"/>
    <n v="2166.65"/>
    <n v="5"/>
    <n v="0.2"/>
    <n v="311.56"/>
    <s v="Profit"/>
  </r>
  <r>
    <x v="415"/>
    <d v="2025-10-09T00:00:00"/>
    <d v="2025-10-13T00:00:00"/>
    <s v="Phillip Nelson"/>
    <s v="Consumer"/>
    <s v="East"/>
    <x v="2"/>
    <s v="Chairs"/>
    <s v="Discussion Chairs"/>
    <n v="895.62"/>
    <n v="5"/>
    <n v="0"/>
    <n v="54.15"/>
    <s v="Profit"/>
  </r>
  <r>
    <x v="416"/>
    <d v="2026-01-11T00:00:00"/>
    <d v="2026-01-19T00:00:00"/>
    <s v="Kim Burns"/>
    <s v="Corporate"/>
    <s v="South"/>
    <x v="1"/>
    <s v="Accessories"/>
    <s v="Democrat Accessories"/>
    <n v="4479.6400000000003"/>
    <n v="5"/>
    <n v="0"/>
    <n v="685.5"/>
    <s v="Profit"/>
  </r>
  <r>
    <x v="417"/>
    <d v="2026-03-03T00:00:00"/>
    <d v="2026-03-09T00:00:00"/>
    <s v="Melissa Tucker"/>
    <s v="Corporate"/>
    <s v="South"/>
    <x v="1"/>
    <s v="Accessories"/>
    <s v="Protect Accessories"/>
    <n v="973.59"/>
    <n v="1"/>
    <n v="0.1"/>
    <n v="40.75"/>
    <s v="Profit"/>
  </r>
  <r>
    <x v="418"/>
    <d v="2025-02-03T00:00:00"/>
    <d v="2025-02-04T00:00:00"/>
    <s v="Mark Valdez"/>
    <s v="Home Office"/>
    <s v="West"/>
    <x v="1"/>
    <s v="Laptops"/>
    <s v="Thus Laptops"/>
    <n v="798.1"/>
    <n v="2"/>
    <n v="0"/>
    <n v="133.66"/>
    <s v="Profit"/>
  </r>
  <r>
    <x v="419"/>
    <d v="2023-08-03T00:00:00"/>
    <d v="2023-08-12T00:00:00"/>
    <s v="Frances Wallace"/>
    <s v="Home Office"/>
    <s v="West"/>
    <x v="0"/>
    <s v="Binders"/>
    <s v="Plan Binders"/>
    <n v="351.87"/>
    <n v="7"/>
    <n v="0.2"/>
    <n v="10.64"/>
    <s v="Profit"/>
  </r>
  <r>
    <x v="420"/>
    <d v="2023-11-04T00:00:00"/>
    <d v="2023-11-12T00:00:00"/>
    <s v="Tyler Page"/>
    <s v="Home Office"/>
    <s v="West"/>
    <x v="0"/>
    <s v="Binders"/>
    <s v="Cause Binders"/>
    <n v="1529.32"/>
    <n v="7"/>
    <n v="0.2"/>
    <n v="-276.64999999999998"/>
    <s v="Loss"/>
  </r>
  <r>
    <x v="421"/>
    <d v="2023-07-26T00:00:00"/>
    <d v="2023-07-29T00:00:00"/>
    <s v="Erin Williams"/>
    <s v="Consumer"/>
    <s v="North"/>
    <x v="2"/>
    <s v="Tables"/>
    <s v="Real Tables"/>
    <n v="4747.8500000000004"/>
    <n v="3"/>
    <n v="0.05"/>
    <n v="1161.58"/>
    <s v="Profit"/>
  </r>
  <r>
    <x v="422"/>
    <d v="2025-02-11T00:00:00"/>
    <d v="2025-02-18T00:00:00"/>
    <s v="John Snow"/>
    <s v="Home Office"/>
    <s v="North"/>
    <x v="1"/>
    <s v="Phones"/>
    <s v="Use Phones"/>
    <n v="1049.5"/>
    <n v="3"/>
    <n v="0.2"/>
    <n v="-61.04"/>
    <s v="Loss"/>
  </r>
  <r>
    <x v="423"/>
    <d v="2023-12-29T00:00:00"/>
    <d v="2024-01-07T00:00:00"/>
    <s v="Stephanie Cruz"/>
    <s v="Consumer"/>
    <s v="West"/>
    <x v="2"/>
    <s v="Tables"/>
    <s v="Far Tables"/>
    <n v="2016.91"/>
    <n v="6"/>
    <n v="0.1"/>
    <n v="173.11"/>
    <s v="Profit"/>
  </r>
  <r>
    <x v="424"/>
    <d v="2025-03-02T00:00:00"/>
    <d v="2025-03-05T00:00:00"/>
    <s v="Jordan Mcgee"/>
    <s v="Consumer"/>
    <s v="North"/>
    <x v="2"/>
    <s v="Tables"/>
    <s v="Affect Tables"/>
    <n v="783.59"/>
    <n v="10"/>
    <n v="0.2"/>
    <n v="170.12"/>
    <s v="Profit"/>
  </r>
  <r>
    <x v="425"/>
    <s v="31-05-2024"/>
    <d v="2024-06-05T00:00:00"/>
    <s v="Christy White"/>
    <s v="Home Office"/>
    <s v="West"/>
    <x v="0"/>
    <s v="Binders"/>
    <s v="New Binders"/>
    <n v="4344"/>
    <n v="6"/>
    <n v="0.15"/>
    <n v="-237.72"/>
    <s v="Loss"/>
  </r>
  <r>
    <x v="426"/>
    <d v="2025-11-13T00:00:00"/>
    <d v="2025-11-21T00:00:00"/>
    <s v="Shannon Tucker"/>
    <s v="Home Office"/>
    <s v="West"/>
    <x v="0"/>
    <s v="Storage"/>
    <s v="Keep Storage"/>
    <n v="235.46"/>
    <n v="5"/>
    <n v="0.15"/>
    <n v="-28.46"/>
    <s v="Loss"/>
  </r>
  <r>
    <x v="427"/>
    <d v="2023-07-11T00:00:00"/>
    <d v="2023-07-17T00:00:00"/>
    <s v="Sophia Hughes"/>
    <s v="Corporate"/>
    <s v="East"/>
    <x v="2"/>
    <s v="Tables"/>
    <s v="Effect Tables"/>
    <n v="3468.04"/>
    <n v="1"/>
    <n v="0.2"/>
    <n v="212.83"/>
    <s v="Profit"/>
  </r>
  <r>
    <x v="428"/>
    <d v="2023-09-30T00:00:00"/>
    <d v="2023-10-05T00:00:00"/>
    <s v="Michelle Hudson"/>
    <s v="Consumer"/>
    <s v="South"/>
    <x v="2"/>
    <s v="Tables"/>
    <s v="Still Tables"/>
    <n v="1589.2"/>
    <n v="8"/>
    <n v="0.2"/>
    <n v="280.76"/>
    <s v="Profit"/>
  </r>
  <r>
    <x v="429"/>
    <d v="2024-07-25T00:00:00"/>
    <d v="2024-08-02T00:00:00"/>
    <s v="James Jackson"/>
    <s v="Home Office"/>
    <s v="North"/>
    <x v="1"/>
    <s v="Laptops"/>
    <s v="Put Laptops"/>
    <n v="3881.45"/>
    <n v="6"/>
    <n v="0.1"/>
    <n v="779.55"/>
    <s v="Profit"/>
  </r>
  <r>
    <x v="430"/>
    <d v="2026-01-12T00:00:00"/>
    <d v="2026-01-16T00:00:00"/>
    <s v="David Brennan"/>
    <s v="Home Office"/>
    <s v="East"/>
    <x v="2"/>
    <s v="Tables"/>
    <s v="Travel Tables"/>
    <n v="4571.49"/>
    <n v="7"/>
    <n v="0.2"/>
    <n v="303.79000000000002"/>
    <s v="Profit"/>
  </r>
  <r>
    <x v="431"/>
    <d v="2025-04-02T00:00:00"/>
    <d v="2025-04-05T00:00:00"/>
    <s v="Kayla Adkins"/>
    <s v="Home Office"/>
    <s v="North"/>
    <x v="2"/>
    <s v="Bookcases"/>
    <s v="Amount Bookcases"/>
    <n v="374.8"/>
    <n v="9"/>
    <n v="0.15"/>
    <n v="-47"/>
    <s v="Loss"/>
  </r>
  <r>
    <x v="432"/>
    <d v="2024-11-08T00:00:00"/>
    <d v="2024-11-12T00:00:00"/>
    <s v="Joshua Chen"/>
    <s v="Corporate"/>
    <s v="South"/>
    <x v="2"/>
    <s v="Chairs"/>
    <s v="Usually Chairs"/>
    <n v="4193.03"/>
    <n v="4"/>
    <n v="0"/>
    <n v="214.04"/>
    <s v="Profit"/>
  </r>
  <r>
    <x v="433"/>
    <d v="2024-03-29T00:00:00"/>
    <d v="2024-04-06T00:00:00"/>
    <s v="Theresa Cohen"/>
    <s v="Corporate"/>
    <s v="West"/>
    <x v="1"/>
    <s v="Accessories"/>
    <s v="Rich Accessories"/>
    <n v="2550.38"/>
    <n v="2"/>
    <n v="0.2"/>
    <n v="-467.2"/>
    <s v="Loss"/>
  </r>
  <r>
    <x v="434"/>
    <d v="2026-04-05T00:00:00"/>
    <d v="2026-04-08T00:00:00"/>
    <s v="Christopher Nichols"/>
    <s v="Home Office"/>
    <s v="South"/>
    <x v="0"/>
    <s v="Paper"/>
    <s v="Candidate Paper"/>
    <n v="4804.58"/>
    <n v="8"/>
    <n v="0.2"/>
    <n v="495.99"/>
    <s v="Profit"/>
  </r>
  <r>
    <x v="435"/>
    <d v="2026-02-08T00:00:00"/>
    <d v="2026-02-10T00:00:00"/>
    <s v="Daniel Henderson"/>
    <s v="Home Office"/>
    <s v="South"/>
    <x v="1"/>
    <s v="Laptops"/>
    <s v="Walk Laptops"/>
    <n v="1461.09"/>
    <n v="7"/>
    <n v="0"/>
    <n v="-161.31"/>
    <s v="Loss"/>
  </r>
  <r>
    <x v="436"/>
    <d v="2023-07-23T00:00:00"/>
    <d v="2023-07-27T00:00:00"/>
    <s v="David Sanford"/>
    <s v="Consumer"/>
    <s v="North"/>
    <x v="2"/>
    <s v="Bookcases"/>
    <s v="Candidate Bookcases"/>
    <n v="3404.59"/>
    <n v="5"/>
    <n v="0.2"/>
    <n v="85.89"/>
    <s v="Profit"/>
  </r>
  <r>
    <x v="437"/>
    <d v="2025-09-01T00:00:00"/>
    <d v="2025-09-04T00:00:00"/>
    <s v="David Carpenter"/>
    <s v="Corporate"/>
    <s v="East"/>
    <x v="1"/>
    <s v="Phones"/>
    <s v="Hit Phones"/>
    <n v="3025.65"/>
    <n v="1"/>
    <n v="0.05"/>
    <n v="-185.13"/>
    <s v="Loss"/>
  </r>
  <r>
    <x v="438"/>
    <d v="2024-01-15T00:00:00"/>
    <d v="2024-01-21T00:00:00"/>
    <s v="Elizabeth Reid"/>
    <s v="Home Office"/>
    <s v="West"/>
    <x v="1"/>
    <s v="Accessories"/>
    <s v="Health Accessories"/>
    <n v="2322.04"/>
    <n v="4"/>
    <n v="0.15"/>
    <n v="-78.53"/>
    <s v="Loss"/>
  </r>
  <r>
    <x v="439"/>
    <d v="2023-12-10T00:00:00"/>
    <d v="2023-12-11T00:00:00"/>
    <s v="Michaela Grant Dds"/>
    <s v="Home Office"/>
    <s v="West"/>
    <x v="0"/>
    <s v="Binders"/>
    <s v="Lay Binders"/>
    <n v="2581.9899999999998"/>
    <n v="6"/>
    <n v="0.2"/>
    <n v="402.89"/>
    <s v="Profit"/>
  </r>
  <r>
    <x v="440"/>
    <d v="2026-02-16T00:00:00"/>
    <d v="2026-02-18T00:00:00"/>
    <s v="William Brown"/>
    <s v="Corporate"/>
    <s v="East"/>
    <x v="1"/>
    <s v="Laptops"/>
    <s v="Perhaps Laptops"/>
    <n v="2434.61"/>
    <n v="6"/>
    <n v="0.1"/>
    <n v="370.86"/>
    <s v="Profit"/>
  </r>
  <r>
    <x v="441"/>
    <d v="2025-08-16T00:00:00"/>
    <d v="2025-08-21T00:00:00"/>
    <s v="Walter Holt"/>
    <s v="Home Office"/>
    <s v="West"/>
    <x v="0"/>
    <s v="Storage"/>
    <s v="Might Storage"/>
    <n v="982.38"/>
    <n v="9"/>
    <n v="0.05"/>
    <n v="289.63"/>
    <s v="Profit"/>
  </r>
  <r>
    <x v="442"/>
    <d v="2025-01-29T00:00:00"/>
    <d v="2025-02-01T00:00:00"/>
    <s v="Dawn Jones"/>
    <s v="Corporate"/>
    <s v="West"/>
    <x v="0"/>
    <s v="Paper"/>
    <s v="Develop Paper"/>
    <n v="3620.35"/>
    <n v="8"/>
    <n v="0.1"/>
    <n v="-207.5"/>
    <s v="Loss"/>
  </r>
  <r>
    <x v="443"/>
    <d v="2023-11-06T00:00:00"/>
    <d v="2023-11-07T00:00:00"/>
    <s v="Diane Moore"/>
    <s v="Home Office"/>
    <s v="South"/>
    <x v="1"/>
    <s v="Laptops"/>
    <s v="Star Laptops"/>
    <n v="2935.97"/>
    <n v="10"/>
    <n v="0.05"/>
    <n v="-33.049999999999997"/>
    <s v="Loss"/>
  </r>
  <r>
    <x v="444"/>
    <d v="2025-11-30T00:00:00"/>
    <d v="2025-12-08T00:00:00"/>
    <s v="Michelle Lee"/>
    <s v="Consumer"/>
    <s v="South"/>
    <x v="0"/>
    <s v="Storage"/>
    <s v="Film Storage"/>
    <n v="4537.3100000000004"/>
    <n v="6"/>
    <n v="0.2"/>
    <n v="-158.32"/>
    <s v="Loss"/>
  </r>
  <r>
    <x v="445"/>
    <d v="2024-06-03T00:00:00"/>
    <d v="2024-06-11T00:00:00"/>
    <s v="Jim Weiss"/>
    <s v="Consumer"/>
    <s v="East"/>
    <x v="1"/>
    <s v="Phones"/>
    <s v="Own Phones"/>
    <n v="683.32"/>
    <n v="5"/>
    <n v="0.2"/>
    <n v="167.13"/>
    <s v="Profit"/>
  </r>
  <r>
    <x v="446"/>
    <d v="2023-09-04T00:00:00"/>
    <d v="2023-09-08T00:00:00"/>
    <s v="Kerry Payne"/>
    <s v="Corporate"/>
    <s v="East"/>
    <x v="0"/>
    <s v="Binders"/>
    <s v="Answer Binders"/>
    <n v="1808.65"/>
    <n v="5"/>
    <n v="0.15"/>
    <n v="422.23"/>
    <s v="Profit"/>
  </r>
  <r>
    <x v="447"/>
    <d v="2024-06-25T00:00:00"/>
    <d v="2024-06-30T00:00:00"/>
    <s v="Gary Garcia"/>
    <s v="Home Office"/>
    <s v="North"/>
    <x v="1"/>
    <s v="Laptops"/>
    <s v="Walk Laptops"/>
    <n v="2345.62"/>
    <n v="2"/>
    <n v="0.15"/>
    <n v="-399.88"/>
    <s v="Loss"/>
  </r>
  <r>
    <x v="448"/>
    <d v="2024-04-14T00:00:00"/>
    <d v="2024-04-23T00:00:00"/>
    <s v="Amanda Parker"/>
    <s v="Consumer"/>
    <s v="South"/>
    <x v="1"/>
    <s v="Phones"/>
    <s v="Carry Phones"/>
    <n v="643.09"/>
    <n v="7"/>
    <n v="0.2"/>
    <n v="-23.09"/>
    <s v="Loss"/>
  </r>
  <r>
    <x v="449"/>
    <d v="2025-02-04T00:00:00"/>
    <d v="2025-02-10T00:00:00"/>
    <s v="Leah Walton"/>
    <s v="Home Office"/>
    <s v="South"/>
    <x v="2"/>
    <s v="Chairs"/>
    <s v="Treat Chairs"/>
    <n v="2075.5"/>
    <n v="10"/>
    <n v="0.15"/>
    <n v="-251.61"/>
    <s v="Loss"/>
  </r>
  <r>
    <x v="450"/>
    <d v="2023-10-29T00:00:00"/>
    <d v="2023-11-04T00:00:00"/>
    <s v="Matthew Nguyen"/>
    <s v="Consumer"/>
    <s v="West"/>
    <x v="2"/>
    <s v="Tables"/>
    <s v="Way Tables"/>
    <n v="3173.61"/>
    <n v="3"/>
    <n v="0.1"/>
    <n v="472.79"/>
    <s v="Profit"/>
  </r>
  <r>
    <x v="451"/>
    <d v="2025-02-08T00:00:00"/>
    <d v="2025-02-11T00:00:00"/>
    <s v="Miss Janice Miranda"/>
    <s v="Consumer"/>
    <s v="South"/>
    <x v="1"/>
    <s v="Phones"/>
    <s v="Child Phones"/>
    <n v="2902.58"/>
    <n v="3"/>
    <n v="0.15"/>
    <n v="673.01"/>
    <s v="Profit"/>
  </r>
  <r>
    <x v="452"/>
    <d v="2024-07-26T00:00:00"/>
    <d v="2024-08-02T00:00:00"/>
    <s v="Albert Mora"/>
    <s v="Home Office"/>
    <s v="South"/>
    <x v="0"/>
    <s v="Paper"/>
    <s v="Product Paper"/>
    <n v="2046.8"/>
    <n v="8"/>
    <n v="0.15"/>
    <n v="-404.1"/>
    <s v="Loss"/>
  </r>
  <r>
    <x v="453"/>
    <d v="2026-04-17T00:00:00"/>
    <d v="2026-04-18T00:00:00"/>
    <s v="Kenneth Vargas"/>
    <s v="Consumer"/>
    <s v="South"/>
    <x v="0"/>
    <s v="Paper"/>
    <s v="Out Paper"/>
    <n v="4465.43"/>
    <n v="9"/>
    <n v="0.05"/>
    <n v="-849.08"/>
    <s v="Loss"/>
  </r>
  <r>
    <x v="454"/>
    <d v="2025-11-07T00:00:00"/>
    <d v="2025-11-13T00:00:00"/>
    <s v="Brenda Ortiz"/>
    <s v="Corporate"/>
    <s v="West"/>
    <x v="2"/>
    <s v="Bookcases"/>
    <s v="Voice Bookcases"/>
    <n v="1594.86"/>
    <n v="2"/>
    <n v="0.15"/>
    <n v="122.54"/>
    <s v="Profit"/>
  </r>
  <r>
    <x v="455"/>
    <d v="2023-08-21T00:00:00"/>
    <d v="2023-08-26T00:00:00"/>
    <s v="Jeremy Johnson"/>
    <s v="Home Office"/>
    <s v="East"/>
    <x v="2"/>
    <s v="Chairs"/>
    <s v="Attack Chairs"/>
    <n v="4744.8900000000003"/>
    <n v="8"/>
    <n v="0.2"/>
    <n v="408.81"/>
    <s v="Profit"/>
  </r>
  <r>
    <x v="456"/>
    <d v="2025-04-05T00:00:00"/>
    <d v="2025-04-08T00:00:00"/>
    <s v="Mr. Brian Hayden Dds"/>
    <s v="Consumer"/>
    <s v="West"/>
    <x v="1"/>
    <s v="Laptops"/>
    <s v="Return Laptops"/>
    <n v="1746.53"/>
    <n v="8"/>
    <n v="0.1"/>
    <n v="371.25"/>
    <s v="Profit"/>
  </r>
  <r>
    <x v="457"/>
    <d v="2024-10-08T00:00:00"/>
    <d v="2024-10-12T00:00:00"/>
    <s v="Kayla Green"/>
    <s v="Home Office"/>
    <s v="South"/>
    <x v="2"/>
    <s v="Chairs"/>
    <s v="Much Chairs"/>
    <n v="3649.49"/>
    <n v="3"/>
    <n v="0.05"/>
    <n v="743.55"/>
    <s v="Profit"/>
  </r>
  <r>
    <x v="458"/>
    <d v="2024-04-11T00:00:00"/>
    <d v="2024-04-12T00:00:00"/>
    <s v="Desiree Conrad"/>
    <s v="Home Office"/>
    <s v="North"/>
    <x v="2"/>
    <s v="Tables"/>
    <s v="Which Tables"/>
    <n v="1907.2"/>
    <n v="5"/>
    <n v="0.2"/>
    <n v="272.2"/>
    <s v="Profit"/>
  </r>
  <r>
    <x v="459"/>
    <d v="2025-11-13T00:00:00"/>
    <d v="2025-11-14T00:00:00"/>
    <s v="Gary Bryant"/>
    <s v="Consumer"/>
    <s v="East"/>
    <x v="0"/>
    <s v="Binders"/>
    <s v="Item Binders"/>
    <n v="288.76"/>
    <n v="2"/>
    <n v="0.15"/>
    <n v="12.81"/>
    <s v="Profit"/>
  </r>
  <r>
    <x v="460"/>
    <d v="2025-04-12T00:00:00"/>
    <d v="2025-04-15T00:00:00"/>
    <s v="Anthony Stone"/>
    <s v="Consumer"/>
    <s v="East"/>
    <x v="1"/>
    <s v="Laptops"/>
    <s v="Among Laptops"/>
    <n v="1067.2"/>
    <n v="1"/>
    <n v="0.1"/>
    <n v="33.590000000000003"/>
    <s v="Profit"/>
  </r>
  <r>
    <x v="461"/>
    <d v="2025-06-04T00:00:00"/>
    <d v="2025-06-07T00:00:00"/>
    <s v="Amanda Strong"/>
    <s v="Consumer"/>
    <s v="East"/>
    <x v="0"/>
    <s v="Storage"/>
    <s v="Commercial Storage"/>
    <n v="2123.19"/>
    <n v="2"/>
    <n v="0.2"/>
    <n v="414.7"/>
    <s v="Profit"/>
  </r>
  <r>
    <x v="462"/>
    <d v="2026-05-23T00:00:00"/>
    <d v="2026-05-31T00:00:00"/>
    <s v="Paul Potts"/>
    <s v="Consumer"/>
    <s v="East"/>
    <x v="2"/>
    <s v="Chairs"/>
    <s v="Member Chairs"/>
    <n v="1033.3"/>
    <n v="4"/>
    <n v="0.1"/>
    <n v="265.89"/>
    <s v="Profit"/>
  </r>
  <r>
    <x v="463"/>
    <d v="2024-06-26T00:00:00"/>
    <d v="2024-07-01T00:00:00"/>
    <s v="Scott Graham"/>
    <s v="Home Office"/>
    <s v="West"/>
    <x v="0"/>
    <s v="Paper"/>
    <s v="Recent Paper"/>
    <n v="843.85"/>
    <n v="9"/>
    <n v="0.15"/>
    <n v="253.74"/>
    <s v="Profit"/>
  </r>
  <r>
    <x v="464"/>
    <d v="2024-04-23T00:00:00"/>
    <d v="2024-04-24T00:00:00"/>
    <s v="Joshua Myers"/>
    <s v="Home Office"/>
    <s v="West"/>
    <x v="1"/>
    <s v="Phones"/>
    <s v="Others Phones"/>
    <n v="113.11"/>
    <n v="2"/>
    <n v="0"/>
    <n v="29.34"/>
    <s v="Profit"/>
  </r>
  <r>
    <x v="465"/>
    <d v="2024-12-18T00:00:00"/>
    <d v="2024-12-27T00:00:00"/>
    <s v="Abigail Harris"/>
    <s v="Corporate"/>
    <s v="East"/>
    <x v="2"/>
    <s v="Chairs"/>
    <s v="Offer Chairs"/>
    <n v="421.49"/>
    <n v="2"/>
    <n v="0.1"/>
    <n v="65.069999999999993"/>
    <s v="Profit"/>
  </r>
  <r>
    <x v="466"/>
    <d v="2026-01-17T00:00:00"/>
    <d v="2026-01-18T00:00:00"/>
    <s v="Carmen Garrett"/>
    <s v="Corporate"/>
    <s v="East"/>
    <x v="1"/>
    <s v="Accessories"/>
    <s v="Think Accessories"/>
    <n v="544.04999999999995"/>
    <n v="3"/>
    <n v="0"/>
    <n v="146.21"/>
    <s v="Profit"/>
  </r>
  <r>
    <x v="467"/>
    <d v="2024-12-26T00:00:00"/>
    <d v="2024-12-28T00:00:00"/>
    <s v="Leslie Arias"/>
    <s v="Home Office"/>
    <s v="South"/>
    <x v="1"/>
    <s v="Laptops"/>
    <s v="She Laptops"/>
    <n v="520.24"/>
    <n v="1"/>
    <n v="0"/>
    <n v="139.74"/>
    <s v="Profit"/>
  </r>
  <r>
    <x v="468"/>
    <d v="2023-11-27T00:00:00"/>
    <d v="2023-12-05T00:00:00"/>
    <s v="Scott Collier"/>
    <s v="Corporate"/>
    <s v="South"/>
    <x v="1"/>
    <s v="Accessories"/>
    <s v="Other Accessories"/>
    <n v="4777.6899999999996"/>
    <n v="5"/>
    <n v="0.2"/>
    <n v="-711.29"/>
    <s v="Loss"/>
  </r>
  <r>
    <x v="469"/>
    <d v="2023-07-04T00:00:00"/>
    <d v="2023-07-11T00:00:00"/>
    <s v="William Miller"/>
    <s v="Corporate"/>
    <s v="West"/>
    <x v="2"/>
    <s v="Tables"/>
    <s v="Feel Tables"/>
    <n v="4813.43"/>
    <n v="5"/>
    <n v="0.15"/>
    <n v="863.75"/>
    <s v="Profit"/>
  </r>
  <r>
    <x v="470"/>
    <d v="2024-02-05T00:00:00"/>
    <d v="2024-02-07T00:00:00"/>
    <s v="Samuel Butler"/>
    <s v="Home Office"/>
    <s v="West"/>
    <x v="0"/>
    <s v="Binders"/>
    <s v="Establish Binders"/>
    <n v="705.93"/>
    <n v="1"/>
    <n v="0.05"/>
    <n v="-100.92"/>
    <s v="Loss"/>
  </r>
  <r>
    <x v="471"/>
    <d v="2025-08-21T00:00:00"/>
    <d v="2025-08-29T00:00:00"/>
    <s v="Erin Gonzalez"/>
    <s v="Home Office"/>
    <s v="South"/>
    <x v="0"/>
    <s v="Storage"/>
    <s v="Station Storage"/>
    <n v="947.24"/>
    <n v="7"/>
    <n v="0.1"/>
    <n v="129.06"/>
    <s v="Profit"/>
  </r>
  <r>
    <x v="472"/>
    <s v="15-01-2026"/>
    <d v="2026-01-17T00:00:00"/>
    <s v="Jennifer Parker"/>
    <s v="Home Office"/>
    <s v="East"/>
    <x v="1"/>
    <s v="Accessories"/>
    <s v="Model Accessories"/>
    <n v="4443.59"/>
    <n v="8"/>
    <n v="0"/>
    <n v="-733.93"/>
    <s v="Loss"/>
  </r>
  <r>
    <x v="473"/>
    <d v="2026-05-18T00:00:00"/>
    <d v="2026-05-27T00:00:00"/>
    <s v="Kaylee Jones"/>
    <s v="Home Office"/>
    <s v="East"/>
    <x v="2"/>
    <s v="Bookcases"/>
    <s v="Family Bookcases"/>
    <n v="3849.27"/>
    <n v="10"/>
    <n v="0.2"/>
    <n v="426.33"/>
    <s v="Profit"/>
  </r>
  <r>
    <x v="474"/>
    <d v="2023-10-23T00:00:00"/>
    <d v="2023-11-02T00:00:00"/>
    <s v="Amanda French"/>
    <s v="Home Office"/>
    <s v="West"/>
    <x v="0"/>
    <s v="Storage"/>
    <s v="See Storage"/>
    <n v="521.45000000000005"/>
    <n v="4"/>
    <n v="0.15"/>
    <n v="-5.13"/>
    <s v="Loss"/>
  </r>
  <r>
    <x v="475"/>
    <d v="2024-12-01T00:00:00"/>
    <d v="2024-12-11T00:00:00"/>
    <s v="Raymond Merritt"/>
    <s v="Corporate"/>
    <s v="South"/>
    <x v="2"/>
    <s v="Bookcases"/>
    <s v="Western Bookcases"/>
    <n v="320.10000000000002"/>
    <n v="3"/>
    <n v="0.2"/>
    <n v="85.42"/>
    <s v="Profit"/>
  </r>
  <r>
    <x v="476"/>
    <d v="2024-02-26T00:00:00"/>
    <d v="2024-03-03T00:00:00"/>
    <s v="Paul Osborne"/>
    <s v="Home Office"/>
    <s v="West"/>
    <x v="2"/>
    <s v="Tables"/>
    <s v="Forget Tables"/>
    <n v="1242.4100000000001"/>
    <n v="5"/>
    <n v="0"/>
    <n v="97.92"/>
    <s v="Profit"/>
  </r>
  <r>
    <x v="477"/>
    <d v="2025-06-14T00:00:00"/>
    <d v="2025-06-16T00:00:00"/>
    <s v="Ian Webb"/>
    <s v="Corporate"/>
    <s v="West"/>
    <x v="1"/>
    <s v="Phones"/>
    <s v="Mother Phones"/>
    <n v="2322.52"/>
    <n v="10"/>
    <n v="0.15"/>
    <n v="-352.07"/>
    <s v="Loss"/>
  </r>
  <r>
    <x v="478"/>
    <d v="2024-03-07T00:00:00"/>
    <d v="2024-03-15T00:00:00"/>
    <s v="Christine Martin"/>
    <s v="Consumer"/>
    <s v="North"/>
    <x v="1"/>
    <s v="Phones"/>
    <s v="Country Phones"/>
    <n v="3738.93"/>
    <n v="1"/>
    <n v="0"/>
    <n v="81.849999999999994"/>
    <s v="Profit"/>
  </r>
  <r>
    <x v="479"/>
    <d v="2025-12-22T00:00:00"/>
    <d v="2026-01-01T00:00:00"/>
    <s v="Alicia Dawson"/>
    <s v="Home Office"/>
    <s v="West"/>
    <x v="2"/>
    <s v="Bookcases"/>
    <s v="My Bookcases"/>
    <n v="3205.81"/>
    <n v="9"/>
    <n v="0.2"/>
    <n v="-276.44"/>
    <s v="Loss"/>
  </r>
  <r>
    <x v="480"/>
    <d v="2026-04-12T00:00:00"/>
    <d v="2026-04-13T00:00:00"/>
    <s v="Danny Young"/>
    <s v="Home Office"/>
    <s v="West"/>
    <x v="1"/>
    <s v="Accessories"/>
    <s v="Six Accessories"/>
    <n v="4092.11"/>
    <n v="8"/>
    <n v="0.1"/>
    <n v="442.29"/>
    <s v="Profit"/>
  </r>
  <r>
    <x v="481"/>
    <d v="2025-11-23T00:00:00"/>
    <d v="2025-11-29T00:00:00"/>
    <s v="Sharon Francis"/>
    <s v="Consumer"/>
    <s v="North"/>
    <x v="0"/>
    <s v="Storage"/>
    <s v="Trouble Storage"/>
    <n v="3593.77"/>
    <n v="2"/>
    <n v="0"/>
    <n v="782.1"/>
    <s v="Profit"/>
  </r>
  <r>
    <x v="482"/>
    <d v="2025-06-21T00:00:00"/>
    <d v="2025-06-26T00:00:00"/>
    <s v="Philip Singleton"/>
    <s v="Consumer"/>
    <s v="West"/>
    <x v="1"/>
    <s v="Accessories"/>
    <s v="Support Accessories"/>
    <n v="2761.07"/>
    <n v="6"/>
    <n v="0.2"/>
    <n v="-390.75"/>
    <s v="Loss"/>
  </r>
  <r>
    <x v="483"/>
    <d v="2023-07-20T00:00:00"/>
    <d v="2023-07-27T00:00:00"/>
    <s v="Amy Lee"/>
    <s v="Corporate"/>
    <s v="South"/>
    <x v="2"/>
    <s v="Bookcases"/>
    <s v="Direction Bookcases"/>
    <n v="579.46"/>
    <n v="10"/>
    <n v="0.05"/>
    <n v="-56.12"/>
    <s v="Loss"/>
  </r>
  <r>
    <x v="484"/>
    <d v="2025-04-03T00:00:00"/>
    <d v="2025-04-09T00:00:00"/>
    <s v="Stephen Meyer"/>
    <s v="Home Office"/>
    <s v="North"/>
    <x v="1"/>
    <s v="Phones"/>
    <s v="Remember Phones"/>
    <n v="583.44000000000005"/>
    <n v="7"/>
    <n v="0"/>
    <n v="180.66"/>
    <s v="Profit"/>
  </r>
  <r>
    <x v="485"/>
    <d v="2023-05-27T00:00:00"/>
    <d v="2023-06-06T00:00:00"/>
    <s v="Rachel Santos"/>
    <s v="Home Office"/>
    <s v="North"/>
    <x v="1"/>
    <s v="Accessories"/>
    <s v="Face Accessories"/>
    <n v="4783.1400000000003"/>
    <n v="3"/>
    <n v="0.15"/>
    <n v="-945.22"/>
    <s v="Loss"/>
  </r>
  <r>
    <x v="486"/>
    <d v="2024-10-04T00:00:00"/>
    <d v="2024-10-14T00:00:00"/>
    <s v="Travis George"/>
    <s v="Consumer"/>
    <s v="South"/>
    <x v="0"/>
    <s v="Paper"/>
    <s v="Its Paper"/>
    <n v="2440.5100000000002"/>
    <n v="9"/>
    <n v="0.05"/>
    <n v="440.51"/>
    <s v="Profit"/>
  </r>
  <r>
    <x v="487"/>
    <d v="2025-12-01T00:00:00"/>
    <d v="2025-12-11T00:00:00"/>
    <s v="Steven Phillips"/>
    <s v="Corporate"/>
    <s v="South"/>
    <x v="2"/>
    <s v="Tables"/>
    <s v="Make Tables"/>
    <n v="3050.5"/>
    <n v="6"/>
    <n v="0.2"/>
    <n v="868.68"/>
    <s v="Profit"/>
  </r>
  <r>
    <x v="488"/>
    <d v="2025-10-02T00:00:00"/>
    <d v="2025-10-08T00:00:00"/>
    <s v="Karen Greene"/>
    <s v="Home Office"/>
    <s v="East"/>
    <x v="1"/>
    <s v="Accessories"/>
    <s v="Listen Accessories"/>
    <n v="4853.93"/>
    <n v="8"/>
    <n v="0.05"/>
    <n v="-601.89"/>
    <s v="Loss"/>
  </r>
  <r>
    <x v="489"/>
    <d v="2026-02-01T00:00:00"/>
    <d v="2026-02-07T00:00:00"/>
    <s v="Lindsay Bell"/>
    <s v="Consumer"/>
    <s v="East"/>
    <x v="0"/>
    <s v="Storage"/>
    <s v="Wall Storage"/>
    <n v="3573.78"/>
    <n v="9"/>
    <n v="0.2"/>
    <n v="-287.55"/>
    <s v="Loss"/>
  </r>
  <r>
    <x v="490"/>
    <d v="2024-04-20T00:00:00"/>
    <d v="2024-04-23T00:00:00"/>
    <s v="Joel Johnson"/>
    <s v="Home Office"/>
    <s v="East"/>
    <x v="0"/>
    <s v="Paper"/>
    <s v="Generation Paper"/>
    <n v="4907.6099999999997"/>
    <n v="3"/>
    <n v="0.2"/>
    <n v="482.76"/>
    <s v="Profit"/>
  </r>
  <r>
    <x v="491"/>
    <d v="2024-06-09T00:00:00"/>
    <d v="2024-06-15T00:00:00"/>
    <s v="Devin Young"/>
    <s v="Home Office"/>
    <s v="West"/>
    <x v="0"/>
    <s v="Binders"/>
    <s v="Music Binders"/>
    <n v="2833.29"/>
    <n v="10"/>
    <n v="0.2"/>
    <n v="902.32"/>
    <s v="Profit"/>
  </r>
  <r>
    <x v="492"/>
    <d v="2023-07-02T00:00:00"/>
    <d v="2023-07-11T00:00:00"/>
    <s v="Jenna Walton"/>
    <s v="Consumer"/>
    <s v="West"/>
    <x v="0"/>
    <s v="Storage"/>
    <s v="You Storage"/>
    <n v="1465.34"/>
    <n v="7"/>
    <n v="0"/>
    <n v="128.22"/>
    <s v="Profit"/>
  </r>
  <r>
    <x v="493"/>
    <d v="2025-08-25T00:00:00"/>
    <d v="2025-08-26T00:00:00"/>
    <s v="Cody Robinson"/>
    <s v="Consumer"/>
    <s v="North"/>
    <x v="2"/>
    <s v="Chairs"/>
    <s v="Child Chairs"/>
    <n v="1039.52"/>
    <n v="3"/>
    <n v="0.1"/>
    <n v="182.81"/>
    <s v="Profit"/>
  </r>
  <r>
    <x v="494"/>
    <d v="2025-12-12T00:00:00"/>
    <d v="2025-12-16T00:00:00"/>
    <s v="Erin Moore"/>
    <s v="Consumer"/>
    <s v="South"/>
    <x v="0"/>
    <s v="Paper"/>
    <s v="Run Paper"/>
    <n v="3780.29"/>
    <n v="1"/>
    <n v="0.1"/>
    <n v="936.43"/>
    <s v="Profit"/>
  </r>
  <r>
    <x v="495"/>
    <d v="2023-08-17T00:00:00"/>
    <d v="2023-08-26T00:00:00"/>
    <s v="Lindsey Moore"/>
    <s v="Home Office"/>
    <s v="North"/>
    <x v="0"/>
    <s v="Storage"/>
    <s v="Cost Storage"/>
    <n v="1974.99"/>
    <n v="9"/>
    <n v="0.2"/>
    <n v="-82.55"/>
    <s v="Loss"/>
  </r>
  <r>
    <x v="496"/>
    <d v="2023-10-02T00:00:00"/>
    <d v="2023-10-09T00:00:00"/>
    <s v="Anne Cooper"/>
    <s v="Home Office"/>
    <s v="East"/>
    <x v="1"/>
    <s v="Accessories"/>
    <s v="Church Accessories"/>
    <n v="4785.67"/>
    <n v="6"/>
    <n v="0.2"/>
    <n v="-815.52"/>
    <s v="Loss"/>
  </r>
  <r>
    <x v="497"/>
    <d v="2025-07-03T00:00:00"/>
    <d v="2025-07-11T00:00:00"/>
    <s v="Shawna Perez"/>
    <s v="Home Office"/>
    <s v="South"/>
    <x v="2"/>
    <s v="Bookcases"/>
    <s v="Window Bookcases"/>
    <n v="4158.42"/>
    <n v="6"/>
    <n v="0.2"/>
    <n v="418.5"/>
    <s v="Profit"/>
  </r>
  <r>
    <x v="498"/>
    <d v="2024-04-23T00:00:00"/>
    <d v="2024-04-28T00:00:00"/>
    <s v="Alyssa Martinez Dvm"/>
    <s v="Home Office"/>
    <s v="North"/>
    <x v="0"/>
    <s v="Binders"/>
    <s v="College Binders"/>
    <n v="2271.63"/>
    <n v="2"/>
    <n v="0.05"/>
    <n v="748.19"/>
    <s v="Profit"/>
  </r>
  <r>
    <x v="499"/>
    <d v="2023-08-16T00:00:00"/>
    <d v="2023-08-23T00:00:00"/>
    <s v="Brandy Vega"/>
    <s v="Corporate"/>
    <s v="North"/>
    <x v="1"/>
    <s v="Phones"/>
    <s v="Memory Phones"/>
    <n v="1431.61"/>
    <n v="5"/>
    <n v="0.05"/>
    <n v="-159.61000000000001"/>
    <s v="Loss"/>
  </r>
  <r>
    <x v="500"/>
    <d v="2025-07-16T00:00:00"/>
    <d v="2025-07-19T00:00:00"/>
    <s v="David Thomas"/>
    <s v="Home Office"/>
    <s v="East"/>
    <x v="1"/>
    <s v="Accessories"/>
    <s v="Discuss Accessories"/>
    <n v="247.71"/>
    <n v="6"/>
    <n v="0.2"/>
    <n v="-42.61"/>
    <s v="Loss"/>
  </r>
  <r>
    <x v="501"/>
    <d v="2023-11-29T00:00:00"/>
    <d v="2023-12-08T00:00:00"/>
    <s v="Erin Nelson"/>
    <s v="Consumer"/>
    <s v="North"/>
    <x v="1"/>
    <s v="Laptops"/>
    <s v="Civil Laptops"/>
    <n v="1822.52"/>
    <n v="6"/>
    <n v="0.2"/>
    <n v="-144.02000000000001"/>
    <s v="Loss"/>
  </r>
  <r>
    <x v="502"/>
    <d v="2024-01-17T00:00:00"/>
    <d v="2024-01-24T00:00:00"/>
    <s v="Linda Gaines"/>
    <s v="Consumer"/>
    <s v="East"/>
    <x v="0"/>
    <s v="Binders"/>
    <s v="News Binders"/>
    <n v="2738.25"/>
    <n v="7"/>
    <n v="0"/>
    <n v="-21.44"/>
    <s v="Loss"/>
  </r>
  <r>
    <x v="503"/>
    <d v="2024-01-19T00:00:00"/>
    <d v="2024-01-24T00:00:00"/>
    <s v="Dustin Shaw"/>
    <s v="Home Office"/>
    <s v="North"/>
    <x v="1"/>
    <s v="Accessories"/>
    <s v="Country Accessories"/>
    <n v="1131.3"/>
    <n v="10"/>
    <n v="0.2"/>
    <n v="69.2"/>
    <s v="Profit"/>
  </r>
  <r>
    <x v="504"/>
    <d v="2025-12-18T00:00:00"/>
    <d v="2025-12-24T00:00:00"/>
    <s v="Jessica Christian"/>
    <s v="Consumer"/>
    <s v="East"/>
    <x v="2"/>
    <s v="Bookcases"/>
    <s v="Civil Bookcases"/>
    <n v="2256.0500000000002"/>
    <n v="10"/>
    <n v="0.2"/>
    <n v="-148.66"/>
    <s v="Loss"/>
  </r>
  <r>
    <x v="505"/>
    <d v="2023-10-21T00:00:00"/>
    <d v="2023-10-28T00:00:00"/>
    <s v="Mary Stewart"/>
    <s v="Corporate"/>
    <s v="West"/>
    <x v="1"/>
    <s v="Phones"/>
    <s v="Relate Phones"/>
    <n v="1320.12"/>
    <n v="5"/>
    <n v="0"/>
    <n v="397.67"/>
    <s v="Profit"/>
  </r>
  <r>
    <x v="506"/>
    <d v="2025-04-19T00:00:00"/>
    <d v="2025-04-24T00:00:00"/>
    <s v="Unknown"/>
    <s v="Consumer"/>
    <s v="South"/>
    <x v="1"/>
    <s v="Phones"/>
    <s v="Mrs Phones"/>
    <n v="4496.49"/>
    <n v="4"/>
    <n v="0.1"/>
    <n v="371.6"/>
    <s v="Profit"/>
  </r>
  <r>
    <x v="507"/>
    <d v="2024-08-11T00:00:00"/>
    <d v="2024-08-12T00:00:00"/>
    <s v="James Hall"/>
    <s v="Consumer"/>
    <s v="West"/>
    <x v="0"/>
    <s v="Storage"/>
    <s v="Scientist Storage"/>
    <n v="3153.32"/>
    <n v="4"/>
    <n v="0.2"/>
    <n v="461.12"/>
    <s v="Profit"/>
  </r>
  <r>
    <x v="508"/>
    <d v="2023-09-26T00:00:00"/>
    <d v="2023-10-05T00:00:00"/>
    <s v="Stephanie Howard"/>
    <s v="Consumer"/>
    <s v="South"/>
    <x v="2"/>
    <s v="Chairs"/>
    <s v="Fight Chairs"/>
    <n v="4152.3100000000004"/>
    <n v="7"/>
    <n v="0.2"/>
    <n v="1034.82"/>
    <s v="Profit"/>
  </r>
  <r>
    <x v="509"/>
    <d v="2024-03-17T00:00:00"/>
    <d v="2024-03-23T00:00:00"/>
    <s v="Ian Martinez"/>
    <s v="Corporate"/>
    <s v="North"/>
    <x v="2"/>
    <s v="Tables"/>
    <s v="Grow Tables"/>
    <n v="237.54"/>
    <n v="2"/>
    <n v="0"/>
    <n v="-24.25"/>
    <s v="Loss"/>
  </r>
  <r>
    <x v="510"/>
    <d v="2024-01-06T00:00:00"/>
    <d v="2024-01-11T00:00:00"/>
    <s v="Ann Jones"/>
    <s v="Corporate"/>
    <s v="North"/>
    <x v="0"/>
    <s v="Binders"/>
    <s v="Hold Binders"/>
    <n v="2067.7800000000002"/>
    <n v="8"/>
    <n v="0.2"/>
    <n v="46.41"/>
    <s v="Profit"/>
  </r>
  <r>
    <x v="511"/>
    <d v="2026-03-06T00:00:00"/>
    <d v="2026-03-08T00:00:00"/>
    <s v="Dr. Colleen Nichols Dds"/>
    <s v="Home Office"/>
    <s v="North"/>
    <x v="1"/>
    <s v="Laptops"/>
    <s v="Seven Laptops"/>
    <n v="2697.43"/>
    <n v="10"/>
    <n v="0"/>
    <n v="582.04999999999995"/>
    <s v="Profit"/>
  </r>
  <r>
    <x v="512"/>
    <s v="04-03-2026"/>
    <d v="2026-03-10T00:00:00"/>
    <s v="Brenda Brown"/>
    <s v="Corporate"/>
    <s v="North"/>
    <x v="0"/>
    <s v="Binders"/>
    <s v="Stage Binders"/>
    <n v="4643.84"/>
    <n v="2"/>
    <n v="0.1"/>
    <n v="1081.04"/>
    <s v="Profit"/>
  </r>
  <r>
    <x v="513"/>
    <d v="2025-10-20T00:00:00"/>
    <d v="2025-10-27T00:00:00"/>
    <s v="Tony Bentley"/>
    <s v="Consumer"/>
    <s v="South"/>
    <x v="1"/>
    <s v="Accessories"/>
    <s v="Can Accessories"/>
    <n v="2005.81"/>
    <n v="1"/>
    <n v="0.15"/>
    <n v="-228.71"/>
    <s v="Loss"/>
  </r>
  <r>
    <x v="514"/>
    <d v="2026-03-26T00:00:00"/>
    <d v="2026-04-04T00:00:00"/>
    <s v="John Smith"/>
    <s v="Home Office"/>
    <s v="East"/>
    <x v="0"/>
    <s v="Paper"/>
    <s v="Write Paper"/>
    <n v="1510.14"/>
    <n v="3"/>
    <n v="0.1"/>
    <n v="260.51"/>
    <s v="Profit"/>
  </r>
  <r>
    <x v="515"/>
    <s v="05-02-2025"/>
    <d v="2025-02-14T00:00:00"/>
    <s v="Mandy Green"/>
    <s v="Corporate"/>
    <s v="North"/>
    <x v="2"/>
    <s v="Bookcases"/>
    <s v="Eat Bookcases"/>
    <n v="749.8"/>
    <n v="1"/>
    <n v="0"/>
    <n v="86.22"/>
    <s v="Profit"/>
  </r>
  <r>
    <x v="516"/>
    <d v="2026-05-17T00:00:00"/>
    <d v="2026-05-23T00:00:00"/>
    <s v="Karen Harrison"/>
    <s v="Consumer"/>
    <s v="East"/>
    <x v="1"/>
    <s v="Phones"/>
    <s v="Process Phones"/>
    <n v="1098.0999999999999"/>
    <n v="9"/>
    <n v="0.05"/>
    <n v="-122.41"/>
    <s v="Loss"/>
  </r>
  <r>
    <x v="517"/>
    <d v="2025-09-20T00:00:00"/>
    <d v="2025-09-23T00:00:00"/>
    <s v="Jeffrey Edwards"/>
    <s v="Home Office"/>
    <s v="West"/>
    <x v="2"/>
    <s v="Chairs"/>
    <s v="Analysis Chairs"/>
    <n v="3371.34"/>
    <n v="10"/>
    <n v="0"/>
    <n v="904.41"/>
    <s v="Profit"/>
  </r>
  <r>
    <x v="518"/>
    <d v="2023-10-18T00:00:00"/>
    <d v="2023-10-20T00:00:00"/>
    <s v="Shelley Smith"/>
    <s v="Home Office"/>
    <s v="West"/>
    <x v="0"/>
    <s v="Storage"/>
    <s v="Age Storage"/>
    <n v="1488.73"/>
    <n v="2"/>
    <n v="0.1"/>
    <n v="-217.34"/>
    <s v="Loss"/>
  </r>
  <r>
    <x v="519"/>
    <d v="2025-04-02T00:00:00"/>
    <d v="2025-04-05T00:00:00"/>
    <s v="Stephen Fletcher"/>
    <s v="Consumer"/>
    <s v="South"/>
    <x v="1"/>
    <s v="Accessories"/>
    <s v="Agent Accessories"/>
    <n v="3372.91"/>
    <n v="4"/>
    <n v="0"/>
    <n v="-145.62"/>
    <s v="Loss"/>
  </r>
  <r>
    <x v="520"/>
    <d v="2025-08-13T00:00:00"/>
    <d v="2025-08-21T00:00:00"/>
    <s v="Brenda Nelson"/>
    <s v="Home Office"/>
    <s v="West"/>
    <x v="1"/>
    <s v="Accessories"/>
    <s v="Major Accessories"/>
    <n v="1675.31"/>
    <n v="5"/>
    <n v="0.2"/>
    <n v="203.2"/>
    <s v="Profit"/>
  </r>
  <r>
    <x v="521"/>
    <d v="2026-04-25T00:00:00"/>
    <d v="2026-04-28T00:00:00"/>
    <s v="Kathryn Holder"/>
    <s v="Home Office"/>
    <s v="West"/>
    <x v="1"/>
    <s v="Accessories"/>
    <s v="Measure Accessories"/>
    <n v="73.92"/>
    <n v="4"/>
    <n v="0.05"/>
    <n v="14.17"/>
    <s v="Profit"/>
  </r>
  <r>
    <x v="522"/>
    <d v="2025-03-17T00:00:00"/>
    <d v="2025-03-20T00:00:00"/>
    <s v="Caroline Gardner"/>
    <s v="Corporate"/>
    <s v="East"/>
    <x v="1"/>
    <s v="Accessories"/>
    <s v="Can Accessories"/>
    <n v="3413.92"/>
    <n v="6"/>
    <n v="0.15"/>
    <n v="186.29"/>
    <s v="Profit"/>
  </r>
  <r>
    <x v="523"/>
    <d v="2024-06-27T00:00:00"/>
    <d v="2024-06-29T00:00:00"/>
    <s v="Melissa Booth"/>
    <s v="Consumer"/>
    <s v="South"/>
    <x v="1"/>
    <s v="Laptops"/>
    <s v="Physical Laptops"/>
    <n v="920.06"/>
    <n v="10"/>
    <n v="0"/>
    <n v="241.96"/>
    <s v="Profit"/>
  </r>
  <r>
    <x v="524"/>
    <d v="2024-12-07T00:00:00"/>
    <d v="2024-12-09T00:00:00"/>
    <s v="Megan Serrano"/>
    <s v="Home Office"/>
    <s v="West"/>
    <x v="1"/>
    <s v="Laptops"/>
    <s v="Experience Laptops"/>
    <n v="3650.76"/>
    <n v="1"/>
    <n v="0.2"/>
    <n v="538.1"/>
    <s v="Profit"/>
  </r>
  <r>
    <x v="525"/>
    <d v="2024-04-19T00:00:00"/>
    <d v="2024-04-20T00:00:00"/>
    <s v="Steven Holloway"/>
    <s v="Consumer"/>
    <s v="East"/>
    <x v="0"/>
    <s v="Binders"/>
    <s v="Character Binders"/>
    <n v="2780.39"/>
    <n v="9"/>
    <n v="0.2"/>
    <n v="165.87"/>
    <s v="Profit"/>
  </r>
  <r>
    <x v="526"/>
    <d v="2025-02-14T00:00:00"/>
    <d v="2025-02-24T00:00:00"/>
    <s v="Angelica Taylor"/>
    <s v="Home Office"/>
    <s v="North"/>
    <x v="1"/>
    <s v="Phones"/>
    <s v="Site Phones"/>
    <n v="3679.47"/>
    <n v="5"/>
    <n v="0.05"/>
    <n v="204.53"/>
    <s v="Profit"/>
  </r>
  <r>
    <x v="527"/>
    <d v="2024-01-05T00:00:00"/>
    <d v="2024-01-14T00:00:00"/>
    <s v="Robert Meyers"/>
    <s v="Home Office"/>
    <s v="South"/>
    <x v="1"/>
    <s v="Accessories"/>
    <s v="Teach Accessories"/>
    <n v="102.43"/>
    <n v="4"/>
    <n v="0.2"/>
    <n v="18.059999999999999"/>
    <s v="Profit"/>
  </r>
  <r>
    <x v="528"/>
    <d v="2024-10-14T00:00:00"/>
    <d v="2024-10-17T00:00:00"/>
    <s v="Unknown"/>
    <s v="Consumer"/>
    <s v="West"/>
    <x v="1"/>
    <s v="Phones"/>
    <s v="Evening Phones"/>
    <n v="2853.47"/>
    <n v="10"/>
    <n v="0.2"/>
    <n v="798.14"/>
    <s v="Profit"/>
  </r>
  <r>
    <x v="529"/>
    <d v="2026-01-09T00:00:00"/>
    <d v="2026-01-13T00:00:00"/>
    <s v="Jonathan Flores"/>
    <s v="Consumer"/>
    <s v="North"/>
    <x v="1"/>
    <s v="Phones"/>
    <s v="Tonight Phones"/>
    <n v="3819.29"/>
    <n v="4"/>
    <n v="0"/>
    <n v="-208.55"/>
    <s v="Loss"/>
  </r>
  <r>
    <x v="530"/>
    <d v="2025-05-13T00:00:00"/>
    <d v="2025-05-22T00:00:00"/>
    <s v="Matthew Williams"/>
    <s v="Corporate"/>
    <s v="North"/>
    <x v="0"/>
    <s v="Binders"/>
    <s v="Everybody Binders"/>
    <n v="4543.24"/>
    <n v="6"/>
    <n v="0.15"/>
    <n v="264.97000000000003"/>
    <s v="Profit"/>
  </r>
  <r>
    <x v="531"/>
    <d v="2025-05-15T00:00:00"/>
    <d v="2025-05-21T00:00:00"/>
    <s v="Lindsay Gray"/>
    <s v="Home Office"/>
    <s v="East"/>
    <x v="2"/>
    <s v="Bookcases"/>
    <s v="Such Bookcases"/>
    <n v="560.96"/>
    <n v="9"/>
    <n v="0.2"/>
    <n v="143.78"/>
    <s v="Profit"/>
  </r>
  <r>
    <x v="532"/>
    <d v="2023-11-26T00:00:00"/>
    <d v="2023-12-06T00:00:00"/>
    <s v="Anna Wood"/>
    <s v="Consumer"/>
    <s v="East"/>
    <x v="0"/>
    <s v="Storage"/>
    <s v="Nothing Storage"/>
    <n v="910.56"/>
    <n v="7"/>
    <n v="0.1"/>
    <n v="112.2"/>
    <s v="Profit"/>
  </r>
  <r>
    <x v="533"/>
    <d v="2023-11-28T00:00:00"/>
    <d v="2023-12-07T00:00:00"/>
    <s v="Angela Mccoy"/>
    <s v="Home Office"/>
    <s v="North"/>
    <x v="1"/>
    <s v="Phones"/>
    <s v="Like Phones"/>
    <n v="2058.92"/>
    <n v="6"/>
    <n v="0.15"/>
    <n v="485.83"/>
    <s v="Profit"/>
  </r>
  <r>
    <x v="534"/>
    <d v="2025-04-28T00:00:00"/>
    <d v="2025-05-06T00:00:00"/>
    <s v="Ashley Pittman"/>
    <s v="Consumer"/>
    <s v="South"/>
    <x v="0"/>
    <s v="Binders"/>
    <s v="Either Binders"/>
    <n v="869.75"/>
    <n v="2"/>
    <n v="0.2"/>
    <n v="133.87"/>
    <s v="Profit"/>
  </r>
  <r>
    <x v="535"/>
    <d v="2023-08-27T00:00:00"/>
    <d v="2023-09-02T00:00:00"/>
    <s v="Diana Martin"/>
    <s v="Corporate"/>
    <s v="North"/>
    <x v="2"/>
    <s v="Chairs"/>
    <s v="Understand Chairs"/>
    <n v="3030"/>
    <n v="2"/>
    <n v="0.2"/>
    <n v="-222.13"/>
    <s v="Loss"/>
  </r>
  <r>
    <x v="536"/>
    <d v="2025-09-20T00:00:00"/>
    <d v="2025-09-28T00:00:00"/>
    <s v="Roberto Vaughan"/>
    <s v="Corporate"/>
    <s v="North"/>
    <x v="1"/>
    <s v="Laptops"/>
    <s v="Because Laptops"/>
    <n v="2421.15"/>
    <n v="10"/>
    <n v="0.05"/>
    <n v="377.68"/>
    <s v="Profit"/>
  </r>
  <r>
    <x v="537"/>
    <d v="2025-01-16T00:00:00"/>
    <d v="2025-01-19T00:00:00"/>
    <s v="Loretta Roberts"/>
    <s v="Consumer"/>
    <s v="South"/>
    <x v="2"/>
    <s v="Chairs"/>
    <s v="Here Chairs"/>
    <n v="2888.76"/>
    <n v="3"/>
    <n v="0.05"/>
    <n v="422.47"/>
    <s v="Profit"/>
  </r>
  <r>
    <x v="538"/>
    <d v="2023-12-18T00:00:00"/>
    <d v="2023-12-23T00:00:00"/>
    <s v="Casey Potts"/>
    <s v="Home Office"/>
    <s v="North"/>
    <x v="2"/>
    <s v="Chairs"/>
    <s v="Information Chairs"/>
    <n v="4616.1099999999997"/>
    <n v="9"/>
    <n v="0.15"/>
    <n v="598.46"/>
    <s v="Profit"/>
  </r>
  <r>
    <x v="539"/>
    <d v="2024-06-04T00:00:00"/>
    <d v="2024-06-09T00:00:00"/>
    <s v="Nichole Richardson"/>
    <s v="Corporate"/>
    <s v="West"/>
    <x v="0"/>
    <s v="Storage"/>
    <s v="His Storage"/>
    <n v="4738.91"/>
    <n v="4"/>
    <n v="0.15"/>
    <n v="633.07000000000005"/>
    <s v="Profit"/>
  </r>
  <r>
    <x v="540"/>
    <d v="2024-04-03T00:00:00"/>
    <d v="2024-04-10T00:00:00"/>
    <s v="David Cherry"/>
    <s v="Home Office"/>
    <s v="East"/>
    <x v="2"/>
    <s v="Chairs"/>
    <s v="Spring Chairs"/>
    <n v="3024.15"/>
    <n v="10"/>
    <n v="0.05"/>
    <n v="431.75"/>
    <s v="Profit"/>
  </r>
  <r>
    <x v="541"/>
    <d v="2023-12-06T00:00:00"/>
    <d v="2023-12-12T00:00:00"/>
    <s v="Ashley Roberts"/>
    <s v="Corporate"/>
    <s v="West"/>
    <x v="2"/>
    <s v="Bookcases"/>
    <s v="Economy Bookcases"/>
    <n v="4615.6400000000003"/>
    <n v="10"/>
    <n v="0.2"/>
    <n v="-748.36"/>
    <s v="Loss"/>
  </r>
  <r>
    <x v="542"/>
    <d v="2024-07-05T00:00:00"/>
    <d v="2024-07-06T00:00:00"/>
    <s v="Grace Black"/>
    <s v="Consumer"/>
    <s v="North"/>
    <x v="2"/>
    <s v="Chairs"/>
    <s v="Foot Chairs"/>
    <n v="1051.6300000000001"/>
    <n v="9"/>
    <n v="0.2"/>
    <n v="32.479999999999997"/>
    <s v="Profit"/>
  </r>
  <r>
    <x v="543"/>
    <d v="2023-09-30T00:00:00"/>
    <d v="2023-10-10T00:00:00"/>
    <s v="Ashley Warren"/>
    <s v="Consumer"/>
    <s v="West"/>
    <x v="2"/>
    <s v="Tables"/>
    <s v="Impact Tables"/>
    <n v="3019.08"/>
    <n v="9"/>
    <n v="0.2"/>
    <n v="645.51"/>
    <s v="Profit"/>
  </r>
  <r>
    <x v="544"/>
    <d v="2024-10-08T00:00:00"/>
    <d v="2024-10-18T00:00:00"/>
    <s v="Sarah Sloan"/>
    <s v="Home Office"/>
    <s v="West"/>
    <x v="0"/>
    <s v="Binders"/>
    <s v="Forget Binders"/>
    <n v="2719.47"/>
    <n v="1"/>
    <n v="0.2"/>
    <n v="427.17"/>
    <s v="Profit"/>
  </r>
  <r>
    <x v="545"/>
    <d v="2024-05-09T00:00:00"/>
    <d v="2024-05-18T00:00:00"/>
    <s v="Matthew Yang"/>
    <s v="Home Office"/>
    <s v="North"/>
    <x v="1"/>
    <s v="Phones"/>
    <s v="Partner Phones"/>
    <n v="2173.33"/>
    <n v="8"/>
    <n v="0.15"/>
    <n v="-15.68"/>
    <s v="Loss"/>
  </r>
  <r>
    <x v="546"/>
    <d v="2024-10-30T00:00:00"/>
    <d v="2024-11-04T00:00:00"/>
    <s v="Kelly Moore"/>
    <s v="Home Office"/>
    <s v="West"/>
    <x v="1"/>
    <s v="Phones"/>
    <s v="Material Phones"/>
    <n v="2411.85"/>
    <n v="4"/>
    <n v="0"/>
    <n v="-106.61"/>
    <s v="Loss"/>
  </r>
  <r>
    <x v="547"/>
    <d v="2024-11-26T00:00:00"/>
    <d v="2024-11-27T00:00:00"/>
    <s v="Jennifer Hudson"/>
    <s v="Home Office"/>
    <s v="North"/>
    <x v="1"/>
    <s v="Phones"/>
    <s v="Plant Phones"/>
    <n v="3560.29"/>
    <n v="1"/>
    <n v="0.2"/>
    <n v="311.16000000000003"/>
    <s v="Profit"/>
  </r>
  <r>
    <x v="548"/>
    <d v="2024-01-12T00:00:00"/>
    <d v="2024-01-16T00:00:00"/>
    <s v="Erin Anderson"/>
    <s v="Consumer"/>
    <s v="West"/>
    <x v="1"/>
    <s v="Laptops"/>
    <s v="Area Laptops"/>
    <n v="3454.45"/>
    <n v="6"/>
    <n v="0.15"/>
    <n v="-2.6"/>
    <s v="Loss"/>
  </r>
  <r>
    <x v="549"/>
    <d v="2023-11-05T00:00:00"/>
    <d v="2023-11-10T00:00:00"/>
    <s v="Angela Price"/>
    <s v="Home Office"/>
    <s v="East"/>
    <x v="0"/>
    <s v="Storage"/>
    <s v="Great Storage"/>
    <n v="1343.45"/>
    <n v="9"/>
    <n v="0.15"/>
    <n v="148.54"/>
    <s v="Profit"/>
  </r>
  <r>
    <x v="550"/>
    <d v="2025-08-27T00:00:00"/>
    <d v="2025-08-31T00:00:00"/>
    <s v="Brenda Ryan"/>
    <s v="Home Office"/>
    <s v="West"/>
    <x v="0"/>
    <s v="Paper"/>
    <s v="Produce Paper"/>
    <n v="2095.48"/>
    <n v="9"/>
    <n v="0.15"/>
    <n v="-213.12"/>
    <s v="Loss"/>
  </r>
  <r>
    <x v="551"/>
    <d v="2025-10-03T00:00:00"/>
    <d v="2025-10-13T00:00:00"/>
    <s v="Rebecca Christensen"/>
    <s v="Home Office"/>
    <s v="North"/>
    <x v="1"/>
    <s v="Accessories"/>
    <s v="Situation Accessories"/>
    <n v="1754.56"/>
    <n v="7"/>
    <n v="0.2"/>
    <n v="-217.67"/>
    <s v="Loss"/>
  </r>
  <r>
    <x v="552"/>
    <d v="2024-06-14T00:00:00"/>
    <d v="2024-06-22T00:00:00"/>
    <s v="Amy Watson"/>
    <s v="Corporate"/>
    <s v="East"/>
    <x v="0"/>
    <s v="Binders"/>
    <s v="Above Binders"/>
    <n v="3926.39"/>
    <n v="3"/>
    <n v="0"/>
    <n v="-322.14999999999998"/>
    <s v="Loss"/>
  </r>
  <r>
    <x v="553"/>
    <d v="2025-07-22T00:00:00"/>
    <d v="2025-07-23T00:00:00"/>
    <s v="John Day"/>
    <s v="Corporate"/>
    <s v="West"/>
    <x v="0"/>
    <s v="Storage"/>
    <s v="Ball Storage"/>
    <n v="845.65"/>
    <n v="1"/>
    <n v="0"/>
    <n v="213.77"/>
    <s v="Profit"/>
  </r>
  <r>
    <x v="554"/>
    <d v="2025-07-28T00:00:00"/>
    <d v="2025-08-02T00:00:00"/>
    <s v="Gwendolyn Watson"/>
    <s v="Corporate"/>
    <s v="West"/>
    <x v="2"/>
    <s v="Chairs"/>
    <s v="Size Chairs"/>
    <n v="1147.76"/>
    <n v="2"/>
    <n v="0.2"/>
    <n v="-205.72"/>
    <s v="Loss"/>
  </r>
  <r>
    <x v="555"/>
    <d v="2025-02-04T00:00:00"/>
    <d v="2025-02-13T00:00:00"/>
    <s v="Don Pace"/>
    <s v="Consumer"/>
    <s v="West"/>
    <x v="0"/>
    <s v="Storage"/>
    <s v="Over Storage"/>
    <n v="1468.02"/>
    <n v="10"/>
    <n v="0"/>
    <n v="469.98"/>
    <s v="Profit"/>
  </r>
  <r>
    <x v="556"/>
    <d v="2026-01-04T00:00:00"/>
    <d v="2026-01-08T00:00:00"/>
    <s v="Monica Bennett"/>
    <s v="Home Office"/>
    <s v="South"/>
    <x v="1"/>
    <s v="Phones"/>
    <s v="Condition Phones"/>
    <n v="4260.3100000000004"/>
    <n v="9"/>
    <n v="0.1"/>
    <n v="-395.74"/>
    <s v="Loss"/>
  </r>
  <r>
    <x v="557"/>
    <d v="2026-05-04T00:00:00"/>
    <d v="2026-05-05T00:00:00"/>
    <s v="Joseph Ramirez"/>
    <s v="Corporate"/>
    <s v="West"/>
    <x v="0"/>
    <s v="Binders"/>
    <s v="White Binders"/>
    <n v="1830.71"/>
    <n v="1"/>
    <n v="0.05"/>
    <n v="-278.7"/>
    <s v="Loss"/>
  </r>
  <r>
    <x v="558"/>
    <d v="2024-02-08T00:00:00"/>
    <d v="2024-02-15T00:00:00"/>
    <s v="Whitney Zimmerman"/>
    <s v="Home Office"/>
    <s v="North"/>
    <x v="1"/>
    <s v="Laptops"/>
    <s v="Into Laptops"/>
    <n v="2056.98"/>
    <n v="4"/>
    <n v="0.2"/>
    <n v="-394.01"/>
    <s v="Loss"/>
  </r>
  <r>
    <x v="559"/>
    <d v="2023-10-02T00:00:00"/>
    <d v="2023-10-07T00:00:00"/>
    <s v="Thomas Nash"/>
    <s v="Corporate"/>
    <s v="South"/>
    <x v="2"/>
    <s v="Bookcases"/>
    <s v="Later Bookcases"/>
    <n v="3644.39"/>
    <n v="9"/>
    <n v="0.2"/>
    <n v="-31.15"/>
    <s v="Loss"/>
  </r>
  <r>
    <x v="560"/>
    <d v="2023-10-20T00:00:00"/>
    <d v="2023-10-28T00:00:00"/>
    <s v="Brenda Davis"/>
    <s v="Corporate"/>
    <s v="North"/>
    <x v="0"/>
    <s v="Binders"/>
    <s v="Street Binders"/>
    <n v="4652.08"/>
    <n v="10"/>
    <n v="0"/>
    <n v="-262.33"/>
    <s v="Loss"/>
  </r>
  <r>
    <x v="561"/>
    <d v="2025-08-12T00:00:00"/>
    <d v="2025-08-21T00:00:00"/>
    <s v="Logan Estrada"/>
    <s v="Home Office"/>
    <s v="East"/>
    <x v="0"/>
    <s v="Binders"/>
    <s v="Western Binders"/>
    <n v="1506.55"/>
    <n v="2"/>
    <n v="0.2"/>
    <n v="491.42"/>
    <s v="Profit"/>
  </r>
  <r>
    <x v="562"/>
    <d v="2024-10-03T00:00:00"/>
    <d v="2024-10-10T00:00:00"/>
    <s v="Brittany Sharp"/>
    <s v="Corporate"/>
    <s v="West"/>
    <x v="0"/>
    <s v="Paper"/>
    <s v="Democrat Paper"/>
    <n v="2837.68"/>
    <n v="4"/>
    <n v="0.1"/>
    <n v="932.69"/>
    <s v="Profit"/>
  </r>
  <r>
    <x v="563"/>
    <d v="2024-08-19T00:00:00"/>
    <d v="2024-08-27T00:00:00"/>
    <s v="Robert Livingston"/>
    <s v="Consumer"/>
    <s v="South"/>
    <x v="0"/>
    <s v="Binders"/>
    <s v="Between Binders"/>
    <n v="625.53"/>
    <n v="2"/>
    <n v="0.15"/>
    <n v="92.9"/>
    <s v="Profit"/>
  </r>
  <r>
    <x v="564"/>
    <d v="2025-08-23T00:00:00"/>
    <d v="2025-08-29T00:00:00"/>
    <s v="Tracy Johnson"/>
    <s v="Consumer"/>
    <s v="East"/>
    <x v="1"/>
    <s v="Accessories"/>
    <s v="College Accessories"/>
    <n v="2606.6999999999998"/>
    <n v="1"/>
    <n v="0.2"/>
    <n v="671.74"/>
    <s v="Profit"/>
  </r>
  <r>
    <x v="565"/>
    <d v="2025-05-18T00:00:00"/>
    <d v="2025-05-24T00:00:00"/>
    <s v="James Richardson"/>
    <s v="Consumer"/>
    <s v="East"/>
    <x v="2"/>
    <s v="Tables"/>
    <s v="Toward Tables"/>
    <n v="426.34"/>
    <n v="3"/>
    <n v="0.15"/>
    <n v="-11.67"/>
    <s v="Loss"/>
  </r>
  <r>
    <x v="566"/>
    <d v="2025-11-15T00:00:00"/>
    <d v="2025-11-19T00:00:00"/>
    <s v="Eduardo Gomez"/>
    <s v="Corporate"/>
    <s v="South"/>
    <x v="2"/>
    <s v="Bookcases"/>
    <s v="Smile Bookcases"/>
    <n v="2520.0500000000002"/>
    <n v="4"/>
    <n v="0.05"/>
    <n v="515.30999999999995"/>
    <s v="Profit"/>
  </r>
  <r>
    <x v="567"/>
    <d v="2025-04-27T00:00:00"/>
    <d v="2025-05-01T00:00:00"/>
    <s v="Mr. Edward Lester"/>
    <s v="Consumer"/>
    <s v="North"/>
    <x v="2"/>
    <s v="Chairs"/>
    <s v="Machine Chairs"/>
    <n v="4189.8599999999997"/>
    <n v="6"/>
    <n v="0.05"/>
    <n v="957.03"/>
    <s v="Profit"/>
  </r>
  <r>
    <x v="568"/>
    <d v="2024-11-21T00:00:00"/>
    <d v="2024-11-29T00:00:00"/>
    <s v="Gregory Harding"/>
    <s v="Corporate"/>
    <s v="East"/>
    <x v="0"/>
    <s v="Storage"/>
    <s v="Party Storage"/>
    <n v="3088.44"/>
    <n v="9"/>
    <n v="0"/>
    <n v="822.78"/>
    <s v="Profit"/>
  </r>
  <r>
    <x v="569"/>
    <d v="2026-04-10T00:00:00"/>
    <d v="2026-04-15T00:00:00"/>
    <s v="Madeline Craig"/>
    <s v="Home Office"/>
    <s v="South"/>
    <x v="1"/>
    <s v="Laptops"/>
    <s v="Better Laptops"/>
    <n v="2479.4899999999998"/>
    <n v="9"/>
    <n v="0.1"/>
    <n v="46.7"/>
    <s v="Profit"/>
  </r>
  <r>
    <x v="570"/>
    <d v="2023-07-19T00:00:00"/>
    <d v="2023-07-26T00:00:00"/>
    <s v="Kimberly Griffith"/>
    <s v="Corporate"/>
    <s v="South"/>
    <x v="2"/>
    <s v="Bookcases"/>
    <s v="During Bookcases"/>
    <n v="2417.6799999999998"/>
    <n v="9"/>
    <n v="0"/>
    <n v="184.62"/>
    <s v="Profit"/>
  </r>
  <r>
    <x v="571"/>
    <d v="2023-09-05T00:00:00"/>
    <d v="2023-09-14T00:00:00"/>
    <s v="Anthony Rose"/>
    <s v="Corporate"/>
    <s v="North"/>
    <x v="1"/>
    <s v="Phones"/>
    <s v="Early Phones"/>
    <n v="2327.35"/>
    <n v="1"/>
    <n v="0"/>
    <n v="397.41"/>
    <s v="Profit"/>
  </r>
  <r>
    <x v="572"/>
    <d v="2024-07-03T00:00:00"/>
    <d v="2024-07-13T00:00:00"/>
    <s v="Kristina Salas"/>
    <s v="Corporate"/>
    <s v="West"/>
    <x v="1"/>
    <s v="Accessories"/>
    <s v="Bad Accessories"/>
    <n v="4316.12"/>
    <n v="3"/>
    <n v="0.2"/>
    <n v="-239.26"/>
    <s v="Loss"/>
  </r>
  <r>
    <x v="573"/>
    <d v="2023-07-18T00:00:00"/>
    <d v="2023-07-24T00:00:00"/>
    <s v="Denise Romero"/>
    <s v="Corporate"/>
    <s v="East"/>
    <x v="0"/>
    <s v="Paper"/>
    <s v="Us Paper"/>
    <n v="960.37"/>
    <n v="7"/>
    <n v="0.05"/>
    <n v="29.29"/>
    <s v="Profit"/>
  </r>
  <r>
    <x v="574"/>
    <d v="2025-02-04T00:00:00"/>
    <d v="2025-02-12T00:00:00"/>
    <s v="Patricia Robinson"/>
    <s v="Consumer"/>
    <s v="East"/>
    <x v="1"/>
    <s v="Accessories"/>
    <s v="All Accessories"/>
    <n v="940.45"/>
    <n v="3"/>
    <n v="0.2"/>
    <n v="166.75"/>
    <s v="Profit"/>
  </r>
  <r>
    <x v="575"/>
    <d v="2023-06-20T00:00:00"/>
    <d v="2023-06-27T00:00:00"/>
    <s v="Rachel Terry"/>
    <s v="Home Office"/>
    <s v="South"/>
    <x v="2"/>
    <s v="Bookcases"/>
    <s v="Institution Bookcases"/>
    <n v="4288.7299999999996"/>
    <n v="4"/>
    <n v="0.05"/>
    <n v="1029.3800000000001"/>
    <s v="Profit"/>
  </r>
  <r>
    <x v="576"/>
    <d v="2026-01-02T00:00:00"/>
    <d v="2026-01-05T00:00:00"/>
    <s v="Shawn Walker"/>
    <s v="Home Office"/>
    <s v="East"/>
    <x v="1"/>
    <s v="Phones"/>
    <s v="Political Phones"/>
    <n v="2136.5300000000002"/>
    <n v="3"/>
    <n v="0.2"/>
    <n v="180.22"/>
    <s v="Profit"/>
  </r>
  <r>
    <x v="577"/>
    <d v="2025-09-26T00:00:00"/>
    <d v="2025-10-01T00:00:00"/>
    <s v="Samantha Macdonald"/>
    <s v="Home Office"/>
    <s v="South"/>
    <x v="1"/>
    <s v="Accessories"/>
    <s v="Eat Accessories"/>
    <n v="2832.59"/>
    <n v="10"/>
    <n v="0"/>
    <n v="54.16"/>
    <s v="Profit"/>
  </r>
  <r>
    <x v="578"/>
    <d v="2024-11-08T00:00:00"/>
    <d v="2024-11-13T00:00:00"/>
    <s v="Leslie Gordon"/>
    <s v="Corporate"/>
    <s v="East"/>
    <x v="2"/>
    <s v="Chairs"/>
    <s v="Power Chairs"/>
    <n v="2408.87"/>
    <n v="2"/>
    <n v="0.15"/>
    <n v="504.72"/>
    <s v="Profit"/>
  </r>
  <r>
    <x v="579"/>
    <d v="2025-04-30T00:00:00"/>
    <d v="2025-05-09T00:00:00"/>
    <s v="Rachael Johnston"/>
    <s v="Consumer"/>
    <s v="East"/>
    <x v="1"/>
    <s v="Laptops"/>
    <s v="Experience Laptops"/>
    <n v="4662.63"/>
    <n v="5"/>
    <n v="0.1"/>
    <n v="-881.66"/>
    <s v="Loss"/>
  </r>
  <r>
    <x v="580"/>
    <d v="2025-01-03T00:00:00"/>
    <d v="2025-01-07T00:00:00"/>
    <s v="Brandy Thomas"/>
    <s v="Corporate"/>
    <s v="East"/>
    <x v="0"/>
    <s v="Storage"/>
    <s v="Season Storage"/>
    <n v="2905.43"/>
    <n v="9"/>
    <n v="0.05"/>
    <n v="983.94"/>
    <s v="Profit"/>
  </r>
  <r>
    <x v="581"/>
    <s v="08-11-2023"/>
    <d v="2023-11-17T00:00:00"/>
    <s v="Daniel Bowman"/>
    <s v="Corporate"/>
    <s v="West"/>
    <x v="1"/>
    <s v="Laptops"/>
    <s v="Career Laptops"/>
    <n v="2463.09"/>
    <n v="8"/>
    <n v="0"/>
    <n v="23.62"/>
    <s v="Profit"/>
  </r>
  <r>
    <x v="582"/>
    <d v="2025-01-05T00:00:00"/>
    <d v="2025-01-08T00:00:00"/>
    <s v="Andrew Bennett"/>
    <s v="Home Office"/>
    <s v="West"/>
    <x v="0"/>
    <s v="Binders"/>
    <s v="Manage Binders"/>
    <n v="3220.87"/>
    <n v="6"/>
    <n v="0.15"/>
    <n v="474.11"/>
    <s v="Profit"/>
  </r>
  <r>
    <x v="583"/>
    <d v="2024-10-06T00:00:00"/>
    <d v="2024-10-09T00:00:00"/>
    <s v="Brent Morris"/>
    <s v="Home Office"/>
    <s v="East"/>
    <x v="2"/>
    <s v="Chairs"/>
    <s v="Product Chairs"/>
    <n v="1750.95"/>
    <n v="6"/>
    <n v="0.1"/>
    <n v="278.68"/>
    <s v="Profit"/>
  </r>
  <r>
    <x v="584"/>
    <d v="2023-08-19T00:00:00"/>
    <d v="2023-08-26T00:00:00"/>
    <s v="Justin Pennington"/>
    <s v="Home Office"/>
    <s v="West"/>
    <x v="0"/>
    <s v="Storage"/>
    <s v="Difficult Storage"/>
    <n v="1392.68"/>
    <n v="8"/>
    <n v="0.1"/>
    <n v="294.33"/>
    <s v="Profit"/>
  </r>
  <r>
    <x v="585"/>
    <d v="2024-09-10T00:00:00"/>
    <d v="2024-09-13T00:00:00"/>
    <s v="Derek Dougherty"/>
    <s v="Corporate"/>
    <s v="North"/>
    <x v="1"/>
    <s v="Phones"/>
    <s v="Past Phones"/>
    <n v="4278.3500000000004"/>
    <n v="3"/>
    <n v="0.2"/>
    <n v="-303.57"/>
    <s v="Loss"/>
  </r>
  <r>
    <x v="586"/>
    <d v="2023-09-04T00:00:00"/>
    <d v="2023-09-11T00:00:00"/>
    <s v="David Pace"/>
    <s v="Consumer"/>
    <s v="West"/>
    <x v="2"/>
    <s v="Chairs"/>
    <s v="Executive Chairs"/>
    <n v="559.9"/>
    <n v="2"/>
    <n v="0.15"/>
    <n v="56.91"/>
    <s v="Profit"/>
  </r>
  <r>
    <x v="587"/>
    <d v="2026-03-06T00:00:00"/>
    <d v="2026-03-08T00:00:00"/>
    <s v="Gina Kent"/>
    <s v="Corporate"/>
    <s v="East"/>
    <x v="0"/>
    <s v="Binders"/>
    <s v="Second Binders"/>
    <n v="1349.14"/>
    <n v="3"/>
    <n v="0"/>
    <n v="216.08"/>
    <s v="Profit"/>
  </r>
  <r>
    <x v="588"/>
    <d v="2025-01-19T00:00:00"/>
    <d v="2025-01-24T00:00:00"/>
    <s v="Kelly Wilson"/>
    <s v="Consumer"/>
    <s v="North"/>
    <x v="2"/>
    <s v="Chairs"/>
    <s v="Sort Chairs"/>
    <n v="2243.64"/>
    <n v="3"/>
    <n v="0.05"/>
    <n v="201.27"/>
    <s v="Profit"/>
  </r>
  <r>
    <x v="589"/>
    <d v="2023-05-28T00:00:00"/>
    <d v="2023-06-03T00:00:00"/>
    <s v="Jeremy Norris"/>
    <s v="Home Office"/>
    <s v="East"/>
    <x v="2"/>
    <s v="Bookcases"/>
    <s v="Explain Bookcases"/>
    <n v="4308.83"/>
    <n v="6"/>
    <n v="0.15"/>
    <n v="245.42"/>
    <s v="Profit"/>
  </r>
  <r>
    <x v="590"/>
    <d v="2024-02-14T00:00:00"/>
    <d v="2024-02-17T00:00:00"/>
    <s v="Lisa Nguyen"/>
    <s v="Corporate"/>
    <s v="West"/>
    <x v="0"/>
    <s v="Paper"/>
    <s v="Heavy Paper"/>
    <n v="4849.2299999999996"/>
    <n v="9"/>
    <n v="0.05"/>
    <n v="605.95000000000005"/>
    <s v="Profit"/>
  </r>
  <r>
    <x v="591"/>
    <d v="2025-07-20T00:00:00"/>
    <d v="2025-07-29T00:00:00"/>
    <s v="Angela Rivas Dvm"/>
    <s v="Consumer"/>
    <s v="West"/>
    <x v="0"/>
    <s v="Storage"/>
    <s v="Not Storage"/>
    <n v="1582.82"/>
    <n v="6"/>
    <n v="0.15"/>
    <n v="153.24"/>
    <s v="Profit"/>
  </r>
  <r>
    <x v="592"/>
    <d v="2026-01-17T00:00:00"/>
    <d v="2026-01-24T00:00:00"/>
    <s v="Alexander Patterson"/>
    <s v="Consumer"/>
    <s v="East"/>
    <x v="1"/>
    <s v="Accessories"/>
    <s v="Thank Accessories"/>
    <n v="1336.04"/>
    <n v="5"/>
    <n v="0"/>
    <n v="-267.14"/>
    <s v="Loss"/>
  </r>
  <r>
    <x v="593"/>
    <d v="2025-05-17T00:00:00"/>
    <d v="2025-05-26T00:00:00"/>
    <s v="Emily Davis"/>
    <s v="Corporate"/>
    <s v="East"/>
    <x v="1"/>
    <s v="Accessories"/>
    <s v="Head Accessories"/>
    <n v="91.17"/>
    <n v="8"/>
    <n v="0.15"/>
    <n v="-3.21"/>
    <s v="Loss"/>
  </r>
  <r>
    <x v="594"/>
    <d v="2023-06-10T00:00:00"/>
    <d v="2023-06-11T00:00:00"/>
    <s v="Felicia Jones"/>
    <s v="Corporate"/>
    <s v="West"/>
    <x v="0"/>
    <s v="Binders"/>
    <s v="Quite Binders"/>
    <n v="2763.65"/>
    <n v="4"/>
    <n v="0.15"/>
    <n v="788.16"/>
    <s v="Profit"/>
  </r>
  <r>
    <x v="595"/>
    <d v="2023-07-06T00:00:00"/>
    <d v="2023-07-13T00:00:00"/>
    <s v="Robert Davis"/>
    <s v="Home Office"/>
    <s v="South"/>
    <x v="2"/>
    <s v="Chairs"/>
    <s v="Turn Chairs"/>
    <n v="4150.71"/>
    <n v="4"/>
    <n v="0.1"/>
    <n v="-649.30999999999995"/>
    <s v="Loss"/>
  </r>
  <r>
    <x v="596"/>
    <d v="2024-03-24T00:00:00"/>
    <d v="2024-03-29T00:00:00"/>
    <s v="Jose Johnson"/>
    <s v="Consumer"/>
    <s v="South"/>
    <x v="0"/>
    <s v="Storage"/>
    <s v="True Storage"/>
    <n v="1459.15"/>
    <n v="9"/>
    <n v="0.1"/>
    <n v="39.54"/>
    <s v="Profit"/>
  </r>
  <r>
    <x v="597"/>
    <d v="2026-02-08T00:00:00"/>
    <d v="2026-02-10T00:00:00"/>
    <s v="Tony Conrad"/>
    <s v="Home Office"/>
    <s v="West"/>
    <x v="2"/>
    <s v="Tables"/>
    <s v="Of Tables"/>
    <n v="3202.62"/>
    <n v="10"/>
    <n v="0.15"/>
    <n v="-161.18"/>
    <s v="Loss"/>
  </r>
  <r>
    <x v="598"/>
    <d v="2023-09-05T00:00:00"/>
    <d v="2023-09-06T00:00:00"/>
    <s v="Raymond Jenkins"/>
    <s v="Consumer"/>
    <s v="East"/>
    <x v="2"/>
    <s v="Tables"/>
    <s v="Above Tables"/>
    <n v="803.14"/>
    <n v="9"/>
    <n v="0"/>
    <n v="-78.489999999999995"/>
    <s v="Loss"/>
  </r>
  <r>
    <x v="599"/>
    <d v="2026-02-17T00:00:00"/>
    <d v="2026-02-25T00:00:00"/>
    <s v="Penny Cobb"/>
    <s v="Corporate"/>
    <s v="South"/>
    <x v="1"/>
    <s v="Phones"/>
    <s v="Yes Phones"/>
    <n v="3649.18"/>
    <n v="4"/>
    <n v="0"/>
    <n v="-427.41"/>
    <s v="Loss"/>
  </r>
  <r>
    <x v="600"/>
    <d v="2023-09-26T00:00:00"/>
    <d v="2023-10-01T00:00:00"/>
    <s v="Andrea Sandoval"/>
    <s v="Consumer"/>
    <s v="East"/>
    <x v="1"/>
    <s v="Accessories"/>
    <s v="Rock Accessories"/>
    <n v="3939.34"/>
    <n v="8"/>
    <n v="0.1"/>
    <n v="216.77"/>
    <s v="Profit"/>
  </r>
  <r>
    <x v="601"/>
    <d v="2025-09-11T00:00:00"/>
    <d v="2025-09-12T00:00:00"/>
    <s v="Cindy Rogers"/>
    <s v="Consumer"/>
    <s v="South"/>
    <x v="2"/>
    <s v="Chairs"/>
    <s v="Law Chairs"/>
    <n v="1369.19"/>
    <n v="7"/>
    <n v="0"/>
    <n v="135.22"/>
    <s v="Profit"/>
  </r>
  <r>
    <x v="602"/>
    <d v="2023-06-02T00:00:00"/>
    <d v="2023-06-03T00:00:00"/>
    <s v="Tina Santos"/>
    <s v="Corporate"/>
    <s v="South"/>
    <x v="1"/>
    <s v="Accessories"/>
    <s v="Consumer Accessories"/>
    <n v="653.71"/>
    <n v="4"/>
    <n v="0.15"/>
    <n v="146.54"/>
    <s v="Profit"/>
  </r>
  <r>
    <x v="603"/>
    <d v="2025-08-13T00:00:00"/>
    <d v="2025-08-17T00:00:00"/>
    <s v="Trevor Hubbard"/>
    <s v="Consumer"/>
    <s v="West"/>
    <x v="0"/>
    <s v="Binders"/>
    <s v="News Binders"/>
    <n v="2331.13"/>
    <n v="2"/>
    <n v="0.2"/>
    <n v="387.68"/>
    <s v="Profit"/>
  </r>
  <r>
    <x v="604"/>
    <d v="2025-06-05T00:00:00"/>
    <d v="2025-06-10T00:00:00"/>
    <s v="Richard White"/>
    <s v="Home Office"/>
    <s v="North"/>
    <x v="1"/>
    <s v="Laptops"/>
    <s v="Require Laptops"/>
    <n v="4684.2700000000004"/>
    <n v="3"/>
    <n v="0.2"/>
    <n v="939.34"/>
    <s v="Profit"/>
  </r>
  <r>
    <x v="605"/>
    <d v="2024-08-08T00:00:00"/>
    <d v="2024-08-13T00:00:00"/>
    <s v="John Roy"/>
    <s v="Consumer"/>
    <s v="South"/>
    <x v="1"/>
    <s v="Accessories"/>
    <s v="Entire Accessories"/>
    <n v="1033.68"/>
    <n v="1"/>
    <n v="0.2"/>
    <n v="-82.92"/>
    <s v="Loss"/>
  </r>
  <r>
    <x v="606"/>
    <d v="2025-03-09T00:00:00"/>
    <d v="2025-03-15T00:00:00"/>
    <s v="Megan Collins"/>
    <s v="Consumer"/>
    <s v="North"/>
    <x v="0"/>
    <s v="Paper"/>
    <s v="Word Paper"/>
    <n v="124.59"/>
    <n v="5"/>
    <n v="0.2"/>
    <n v="-16.72"/>
    <s v="Loss"/>
  </r>
  <r>
    <x v="607"/>
    <d v="2026-02-28T00:00:00"/>
    <d v="2026-03-08T00:00:00"/>
    <s v="Robert Cummings"/>
    <s v="Consumer"/>
    <s v="South"/>
    <x v="2"/>
    <s v="Bookcases"/>
    <s v="Tend Bookcases"/>
    <n v="3457.61"/>
    <n v="3"/>
    <n v="0.1"/>
    <n v="774.29"/>
    <s v="Profit"/>
  </r>
  <r>
    <x v="608"/>
    <d v="2025-09-23T00:00:00"/>
    <d v="2025-10-03T00:00:00"/>
    <s v="Carlos Estrada"/>
    <s v="Consumer"/>
    <s v="North"/>
    <x v="1"/>
    <s v="Phones"/>
    <s v="Quite Phones"/>
    <n v="1725.19"/>
    <n v="1"/>
    <n v="0"/>
    <n v="-7.7"/>
    <s v="Loss"/>
  </r>
  <r>
    <x v="609"/>
    <d v="2024-09-02T00:00:00"/>
    <d v="2024-09-06T00:00:00"/>
    <s v="Jennifer Peterson"/>
    <s v="Corporate"/>
    <s v="South"/>
    <x v="2"/>
    <s v="Tables"/>
    <s v="Choose Tables"/>
    <n v="1617.86"/>
    <n v="9"/>
    <n v="0.2"/>
    <n v="349.75"/>
    <s v="Profit"/>
  </r>
  <r>
    <x v="610"/>
    <d v="2025-01-29T00:00:00"/>
    <d v="2025-02-05T00:00:00"/>
    <s v="Louis Foster"/>
    <s v="Corporate"/>
    <s v="West"/>
    <x v="2"/>
    <s v="Bookcases"/>
    <s v="Tree Bookcases"/>
    <n v="1822.93"/>
    <n v="3"/>
    <n v="0.1"/>
    <n v="536.41999999999996"/>
    <s v="Profit"/>
  </r>
  <r>
    <x v="611"/>
    <d v="2024-07-09T00:00:00"/>
    <d v="2024-07-18T00:00:00"/>
    <s v="Matthew Allen"/>
    <s v="Corporate"/>
    <s v="East"/>
    <x v="0"/>
    <s v="Paper"/>
    <s v="Begin Paper"/>
    <n v="3500.34"/>
    <n v="4"/>
    <n v="0.2"/>
    <n v="-340.78"/>
    <s v="Loss"/>
  </r>
  <r>
    <x v="612"/>
    <s v="24-06-2025"/>
    <d v="2025-06-29T00:00:00"/>
    <s v="Jeffrey Smith"/>
    <s v="Home Office"/>
    <s v="South"/>
    <x v="0"/>
    <s v="Paper"/>
    <s v="Risk Paper"/>
    <n v="4344.93"/>
    <n v="10"/>
    <n v="0.2"/>
    <n v="-485.81"/>
    <s v="Loss"/>
  </r>
  <r>
    <x v="613"/>
    <d v="2023-10-02T00:00:00"/>
    <d v="2023-10-07T00:00:00"/>
    <s v="Mr. Michael Blake"/>
    <s v="Home Office"/>
    <s v="West"/>
    <x v="1"/>
    <s v="Accessories"/>
    <s v="Focus Accessories"/>
    <n v="2730.95"/>
    <n v="8"/>
    <n v="0"/>
    <n v="619.26"/>
    <s v="Profit"/>
  </r>
  <r>
    <x v="614"/>
    <d v="2025-02-01T00:00:00"/>
    <d v="2025-02-02T00:00:00"/>
    <s v="Julia Jones"/>
    <s v="Home Office"/>
    <s v="North"/>
    <x v="0"/>
    <s v="Binders"/>
    <s v="Phone Binders"/>
    <n v="3117.69"/>
    <n v="6"/>
    <n v="0.2"/>
    <n v="-214.08"/>
    <s v="Loss"/>
  </r>
  <r>
    <x v="615"/>
    <d v="2024-09-16T00:00:00"/>
    <d v="2024-09-23T00:00:00"/>
    <s v="Cynthia Roberts"/>
    <s v="Corporate"/>
    <s v="East"/>
    <x v="0"/>
    <s v="Storage"/>
    <s v="Argue Storage"/>
    <n v="989.85"/>
    <n v="8"/>
    <n v="0.2"/>
    <n v="-114.06"/>
    <s v="Loss"/>
  </r>
  <r>
    <x v="616"/>
    <d v="2023-11-24T00:00:00"/>
    <d v="2023-11-30T00:00:00"/>
    <s v="Andrew Schneider"/>
    <s v="Consumer"/>
    <s v="South"/>
    <x v="1"/>
    <s v="Laptops"/>
    <s v="When Laptops"/>
    <n v="596.79999999999995"/>
    <n v="9"/>
    <n v="0.2"/>
    <n v="-97.47"/>
    <s v="Loss"/>
  </r>
  <r>
    <x v="617"/>
    <s v="01-12-2025"/>
    <d v="2025-12-03T00:00:00"/>
    <s v="Jennifer Jacobs"/>
    <s v="Corporate"/>
    <s v="West"/>
    <x v="2"/>
    <s v="Chairs"/>
    <s v="Buy Chairs"/>
    <n v="2452.58"/>
    <n v="2"/>
    <n v="0"/>
    <n v="279.73"/>
    <s v="Profit"/>
  </r>
  <r>
    <x v="618"/>
    <d v="2023-07-16T00:00:00"/>
    <d v="2023-07-26T00:00:00"/>
    <s v="Derek Alvarado"/>
    <s v="Consumer"/>
    <s v="North"/>
    <x v="0"/>
    <s v="Storage"/>
    <s v="Anything Storage"/>
    <n v="1316.9"/>
    <n v="6"/>
    <n v="0.05"/>
    <n v="175.51"/>
    <s v="Profit"/>
  </r>
  <r>
    <x v="619"/>
    <d v="2023-12-01T00:00:00"/>
    <d v="2023-12-09T00:00:00"/>
    <s v="Pamela Taylor"/>
    <s v="Consumer"/>
    <s v="East"/>
    <x v="2"/>
    <s v="Bookcases"/>
    <s v="Outside Bookcases"/>
    <n v="4645.6000000000004"/>
    <n v="2"/>
    <n v="0.15"/>
    <n v="1117.55"/>
    <s v="Profit"/>
  </r>
  <r>
    <x v="620"/>
    <d v="2024-08-22T00:00:00"/>
    <d v="2024-08-29T00:00:00"/>
    <s v="Kristina Kennedy"/>
    <s v="Consumer"/>
    <s v="North"/>
    <x v="0"/>
    <s v="Storage"/>
    <s v="Minute Storage"/>
    <n v="4119.03"/>
    <n v="1"/>
    <n v="0.2"/>
    <n v="-221.61"/>
    <s v="Loss"/>
  </r>
  <r>
    <x v="621"/>
    <d v="2023-08-30T00:00:00"/>
    <d v="2023-09-03T00:00:00"/>
    <s v="Jillian Lawrence"/>
    <s v="Home Office"/>
    <s v="West"/>
    <x v="1"/>
    <s v="Phones"/>
    <s v="Couple Phones"/>
    <n v="4804.8999999999996"/>
    <n v="2"/>
    <n v="0"/>
    <n v="955.43"/>
    <s v="Profit"/>
  </r>
  <r>
    <x v="622"/>
    <d v="2023-11-27T00:00:00"/>
    <d v="2023-12-06T00:00:00"/>
    <s v="Daniel Campbell"/>
    <s v="Home Office"/>
    <s v="West"/>
    <x v="2"/>
    <s v="Chairs"/>
    <s v="Carry Chairs"/>
    <n v="3301.54"/>
    <n v="10"/>
    <n v="0.2"/>
    <n v="1060.21"/>
    <s v="Profit"/>
  </r>
  <r>
    <x v="623"/>
    <d v="2026-05-12T00:00:00"/>
    <d v="2026-05-22T00:00:00"/>
    <s v="Andre Fox"/>
    <s v="Consumer"/>
    <s v="South"/>
    <x v="0"/>
    <s v="Binders"/>
    <s v="Source Binders"/>
    <n v="1821.92"/>
    <n v="8"/>
    <n v="0.2"/>
    <n v="302.23"/>
    <s v="Profit"/>
  </r>
  <r>
    <x v="624"/>
    <d v="2025-04-18T00:00:00"/>
    <d v="2025-04-25T00:00:00"/>
    <s v="Debra Peterson"/>
    <s v="Corporate"/>
    <s v="East"/>
    <x v="2"/>
    <s v="Bookcases"/>
    <s v="Space Bookcases"/>
    <n v="2548.23"/>
    <n v="3"/>
    <n v="0.2"/>
    <n v="889.69"/>
    <s v="Profit"/>
  </r>
  <r>
    <x v="625"/>
    <d v="2026-02-28T00:00:00"/>
    <d v="2026-03-06T00:00:00"/>
    <s v="Allison Hess"/>
    <s v="Home Office"/>
    <s v="East"/>
    <x v="1"/>
    <s v="Laptops"/>
    <s v="Hit Laptops"/>
    <n v="4232.03"/>
    <n v="7"/>
    <n v="0.2"/>
    <n v="155.84"/>
    <s v="Profit"/>
  </r>
  <r>
    <x v="626"/>
    <d v="2026-05-03T00:00:00"/>
    <d v="2026-05-13T00:00:00"/>
    <s v="Johnny Flores"/>
    <s v="Corporate"/>
    <s v="East"/>
    <x v="0"/>
    <s v="Binders"/>
    <s v="High Binders"/>
    <n v="2750.85"/>
    <n v="7"/>
    <n v="0.2"/>
    <n v="851.06"/>
    <s v="Profit"/>
  </r>
  <r>
    <x v="627"/>
    <d v="2025-11-22T00:00:00"/>
    <d v="2025-11-29T00:00:00"/>
    <s v="Jason Gregory"/>
    <s v="Home Office"/>
    <s v="South"/>
    <x v="1"/>
    <s v="Accessories"/>
    <s v="Left Accessories"/>
    <n v="50.97"/>
    <n v="1"/>
    <n v="0.1"/>
    <n v="6.51"/>
    <s v="Profit"/>
  </r>
  <r>
    <x v="628"/>
    <d v="2023-12-06T00:00:00"/>
    <d v="2023-12-11T00:00:00"/>
    <s v="Douglas Anderson"/>
    <s v="Home Office"/>
    <s v="East"/>
    <x v="1"/>
    <s v="Phones"/>
    <s v="Real Phones"/>
    <n v="4922.75"/>
    <n v="4"/>
    <n v="0.1"/>
    <n v="-925.79"/>
    <s v="Loss"/>
  </r>
  <r>
    <x v="629"/>
    <d v="2026-04-05T00:00:00"/>
    <d v="2026-04-14T00:00:00"/>
    <s v="Antonio Vargas"/>
    <s v="Corporate"/>
    <s v="East"/>
    <x v="0"/>
    <s v="Storage"/>
    <s v="Individual Storage"/>
    <n v="2874.81"/>
    <n v="10"/>
    <n v="0.05"/>
    <n v="-425.88"/>
    <s v="Loss"/>
  </r>
  <r>
    <x v="630"/>
    <d v="2025-10-13T00:00:00"/>
    <d v="2025-10-18T00:00:00"/>
    <s v="Michael Martin"/>
    <s v="Corporate"/>
    <s v="North"/>
    <x v="2"/>
    <s v="Chairs"/>
    <s v="Son Chairs"/>
    <n v="1867.06"/>
    <n v="10"/>
    <n v="0.05"/>
    <n v="-134.15"/>
    <s v="Loss"/>
  </r>
  <r>
    <x v="631"/>
    <d v="2024-08-14T00:00:00"/>
    <d v="2024-08-24T00:00:00"/>
    <s v="Paul Chavez"/>
    <s v="Corporate"/>
    <s v="South"/>
    <x v="0"/>
    <s v="Paper"/>
    <s v="Operation Paper"/>
    <n v="4593.51"/>
    <n v="2"/>
    <n v="0.2"/>
    <n v="-98.39"/>
    <s v="Loss"/>
  </r>
  <r>
    <x v="632"/>
    <d v="2025-05-14T00:00:00"/>
    <d v="2025-05-24T00:00:00"/>
    <s v="Adam Coleman"/>
    <s v="Consumer"/>
    <s v="West"/>
    <x v="1"/>
    <s v="Laptops"/>
    <s v="Forward Laptops"/>
    <n v="4106.6000000000004"/>
    <n v="2"/>
    <n v="0.2"/>
    <n v="629.29999999999995"/>
    <s v="Profit"/>
  </r>
  <r>
    <x v="633"/>
    <d v="2023-11-27T00:00:00"/>
    <d v="2023-12-03T00:00:00"/>
    <s v="Keith Pham"/>
    <s v="Consumer"/>
    <s v="South"/>
    <x v="2"/>
    <s v="Chairs"/>
    <s v="Contain Chairs"/>
    <n v="1772.25"/>
    <n v="7"/>
    <n v="0.15"/>
    <n v="552.29999999999995"/>
    <s v="Profit"/>
  </r>
  <r>
    <x v="634"/>
    <d v="2024-06-09T00:00:00"/>
    <d v="2024-06-19T00:00:00"/>
    <s v="Eduardo West"/>
    <s v="Consumer"/>
    <s v="East"/>
    <x v="0"/>
    <s v="Storage"/>
    <s v="Simply Storage"/>
    <n v="4646.83"/>
    <n v="7"/>
    <n v="0"/>
    <n v="-150.41"/>
    <s v="Loss"/>
  </r>
  <r>
    <x v="635"/>
    <d v="2024-12-21T00:00:00"/>
    <d v="2024-12-24T00:00:00"/>
    <s v="Steven Levy"/>
    <s v="Home Office"/>
    <s v="West"/>
    <x v="0"/>
    <s v="Storage"/>
    <s v="Hope Storage"/>
    <n v="1667.82"/>
    <n v="4"/>
    <n v="0.05"/>
    <n v="-287.22000000000003"/>
    <s v="Loss"/>
  </r>
  <r>
    <x v="636"/>
    <d v="2024-06-09T00:00:00"/>
    <d v="2024-06-19T00:00:00"/>
    <s v="Dean Alvarez"/>
    <s v="Corporate"/>
    <s v="South"/>
    <x v="1"/>
    <s v="Laptops"/>
    <s v="Concern Laptops"/>
    <n v="2548.41"/>
    <n v="4"/>
    <n v="0.15"/>
    <n v="-103.51"/>
    <s v="Loss"/>
  </r>
  <r>
    <x v="637"/>
    <d v="2024-12-15T00:00:00"/>
    <d v="2024-12-17T00:00:00"/>
    <s v="Michael Martin"/>
    <s v="Consumer"/>
    <s v="West"/>
    <x v="2"/>
    <s v="Tables"/>
    <s v="We Tables"/>
    <n v="2405.48"/>
    <n v="1"/>
    <n v="0.2"/>
    <n v="47.04"/>
    <s v="Profit"/>
  </r>
  <r>
    <x v="638"/>
    <d v="2023-08-30T00:00:00"/>
    <d v="2023-09-02T00:00:00"/>
    <s v="Kayla Cook"/>
    <s v="Corporate"/>
    <s v="South"/>
    <x v="0"/>
    <s v="Paper"/>
    <s v="Throw Paper"/>
    <n v="3822.06"/>
    <n v="8"/>
    <n v="0.2"/>
    <n v="-347.96"/>
    <s v="Loss"/>
  </r>
  <r>
    <x v="639"/>
    <d v="2023-06-22T00:00:00"/>
    <d v="2023-07-01T00:00:00"/>
    <s v="Sarah Walker"/>
    <s v="Corporate"/>
    <s v="North"/>
    <x v="0"/>
    <s v="Storage"/>
    <s v="Different Storage"/>
    <n v="1268.92"/>
    <n v="2"/>
    <n v="0.1"/>
    <n v="288.33"/>
    <s v="Profit"/>
  </r>
  <r>
    <x v="640"/>
    <d v="2025-12-18T00:00:00"/>
    <d v="2025-12-25T00:00:00"/>
    <s v="Jason Velasquez"/>
    <s v="Home Office"/>
    <s v="North"/>
    <x v="2"/>
    <s v="Bookcases"/>
    <s v="Record Bookcases"/>
    <n v="2146.5300000000002"/>
    <n v="6"/>
    <n v="0.05"/>
    <n v="-50.65"/>
    <s v="Loss"/>
  </r>
  <r>
    <x v="641"/>
    <d v="2026-01-09T00:00:00"/>
    <d v="2026-01-15T00:00:00"/>
    <s v="Rebecca Ray"/>
    <s v="Consumer"/>
    <s v="South"/>
    <x v="1"/>
    <s v="Phones"/>
    <s v="Themselves Phones"/>
    <n v="3100.29"/>
    <n v="8"/>
    <n v="0.2"/>
    <n v="-371.41"/>
    <s v="Loss"/>
  </r>
  <r>
    <x v="642"/>
    <d v="2023-07-27T00:00:00"/>
    <d v="2023-08-02T00:00:00"/>
    <s v="Jason Williams"/>
    <s v="Home Office"/>
    <s v="South"/>
    <x v="2"/>
    <s v="Bookcases"/>
    <s v="Such Bookcases"/>
    <n v="822.16"/>
    <n v="2"/>
    <n v="0"/>
    <n v="170"/>
    <s v="Profit"/>
  </r>
  <r>
    <x v="643"/>
    <d v="2024-03-18T00:00:00"/>
    <d v="2024-03-24T00:00:00"/>
    <s v="Lucas Kelley"/>
    <s v="Consumer"/>
    <s v="East"/>
    <x v="1"/>
    <s v="Phones"/>
    <s v="Organization Phones"/>
    <n v="3484.29"/>
    <n v="2"/>
    <n v="0.1"/>
    <n v="165.62"/>
    <s v="Profit"/>
  </r>
  <r>
    <x v="644"/>
    <d v="2024-12-18T00:00:00"/>
    <d v="2024-12-27T00:00:00"/>
    <s v="Melissa White"/>
    <s v="Home Office"/>
    <s v="West"/>
    <x v="2"/>
    <s v="Bookcases"/>
    <s v="Either Bookcases"/>
    <n v="1098.78"/>
    <n v="9"/>
    <n v="0.2"/>
    <n v="233.71"/>
    <s v="Profit"/>
  </r>
  <r>
    <x v="645"/>
    <s v="10-01-2025"/>
    <d v="2025-01-13T00:00:00"/>
    <s v="Shawn Sloan"/>
    <s v="Home Office"/>
    <s v="North"/>
    <x v="0"/>
    <s v="Storage"/>
    <s v="Provide Storage"/>
    <n v="3490.6"/>
    <n v="1"/>
    <n v="0.15"/>
    <n v="421.15"/>
    <s v="Profit"/>
  </r>
  <r>
    <x v="646"/>
    <d v="2024-01-17T00:00:00"/>
    <d v="2024-01-18T00:00:00"/>
    <s v="Douglas Perez"/>
    <s v="Home Office"/>
    <s v="North"/>
    <x v="1"/>
    <s v="Phones"/>
    <s v="Lead Phones"/>
    <n v="1455.87"/>
    <n v="10"/>
    <n v="0.1"/>
    <n v="-248.67"/>
    <s v="Loss"/>
  </r>
  <r>
    <x v="647"/>
    <d v="2026-05-02T00:00:00"/>
    <d v="2026-05-07T00:00:00"/>
    <s v="Amanda Carrillo"/>
    <s v="Home Office"/>
    <s v="West"/>
    <x v="2"/>
    <s v="Tables"/>
    <s v="Music Tables"/>
    <n v="3331.76"/>
    <n v="6"/>
    <n v="0"/>
    <n v="-631.39"/>
    <s v="Loss"/>
  </r>
  <r>
    <x v="648"/>
    <d v="2025-02-21T00:00:00"/>
    <d v="2025-03-02T00:00:00"/>
    <s v="Amanda Bauer"/>
    <s v="Home Office"/>
    <s v="North"/>
    <x v="2"/>
    <s v="Tables"/>
    <s v="Sometimes Tables"/>
    <n v="4884.2299999999996"/>
    <n v="2"/>
    <n v="0.1"/>
    <n v="325.11"/>
    <s v="Profit"/>
  </r>
  <r>
    <x v="649"/>
    <d v="2025-01-03T00:00:00"/>
    <d v="2025-01-12T00:00:00"/>
    <s v="Joseph Campbell"/>
    <s v="Consumer"/>
    <s v="East"/>
    <x v="2"/>
    <s v="Chairs"/>
    <s v="Whether Chairs"/>
    <n v="4835.62"/>
    <n v="9"/>
    <n v="0.2"/>
    <n v="-909.97"/>
    <s v="Loss"/>
  </r>
  <r>
    <x v="650"/>
    <s v="15-02-2025"/>
    <d v="2025-02-22T00:00:00"/>
    <s v="Steven Morrison"/>
    <s v="Corporate"/>
    <s v="East"/>
    <x v="1"/>
    <s v="Accessories"/>
    <s v="Thus Accessories"/>
    <n v="3734.73"/>
    <n v="1"/>
    <n v="0.1"/>
    <n v="658.7"/>
    <s v="Profit"/>
  </r>
  <r>
    <x v="651"/>
    <d v="2024-09-25T00:00:00"/>
    <d v="2024-09-30T00:00:00"/>
    <s v="Alicia Perez"/>
    <s v="Consumer"/>
    <s v="East"/>
    <x v="2"/>
    <s v="Bookcases"/>
    <s v="Tend Bookcases"/>
    <n v="4068.87"/>
    <n v="5"/>
    <n v="0.15"/>
    <n v="1178.8399999999999"/>
    <s v="Profit"/>
  </r>
  <r>
    <x v="652"/>
    <d v="2026-05-07T00:00:00"/>
    <d v="2026-05-13T00:00:00"/>
    <s v="Timothy Gibbs"/>
    <s v="Home Office"/>
    <s v="South"/>
    <x v="2"/>
    <s v="Chairs"/>
    <s v="Week Chairs"/>
    <n v="4491.0200000000004"/>
    <n v="3"/>
    <n v="0"/>
    <n v="904.67"/>
    <s v="Profit"/>
  </r>
  <r>
    <x v="653"/>
    <d v="2025-09-02T00:00:00"/>
    <d v="2025-09-12T00:00:00"/>
    <s v="James Malone"/>
    <s v="Home Office"/>
    <s v="South"/>
    <x v="1"/>
    <s v="Phones"/>
    <s v="Including Phones"/>
    <n v="806.11"/>
    <n v="5"/>
    <n v="0.2"/>
    <n v="-15.23"/>
    <s v="Loss"/>
  </r>
  <r>
    <x v="654"/>
    <d v="2025-09-17T00:00:00"/>
    <d v="2025-09-20T00:00:00"/>
    <s v="Kevin Christian"/>
    <s v="Home Office"/>
    <s v="South"/>
    <x v="2"/>
    <s v="Bookcases"/>
    <s v="Firm Bookcases"/>
    <n v="2926.1"/>
    <n v="4"/>
    <n v="0.05"/>
    <n v="-87.93"/>
    <s v="Loss"/>
  </r>
  <r>
    <x v="655"/>
    <d v="2023-11-16T00:00:00"/>
    <d v="2023-11-26T00:00:00"/>
    <s v="Jake Middleton"/>
    <s v="Home Office"/>
    <s v="North"/>
    <x v="1"/>
    <s v="Phones"/>
    <s v="Choose Phones"/>
    <n v="4589.7"/>
    <n v="6"/>
    <n v="0"/>
    <n v="488.97"/>
    <s v="Profit"/>
  </r>
  <r>
    <x v="656"/>
    <d v="2025-09-17T00:00:00"/>
    <d v="2025-09-20T00:00:00"/>
    <s v="Karen Ponce"/>
    <s v="Corporate"/>
    <s v="West"/>
    <x v="2"/>
    <s v="Tables"/>
    <s v="Country Tables"/>
    <n v="3649.04"/>
    <n v="6"/>
    <n v="0.15"/>
    <n v="1199.29"/>
    <s v="Profit"/>
  </r>
  <r>
    <x v="657"/>
    <d v="2025-03-24T00:00:00"/>
    <d v="2025-03-29T00:00:00"/>
    <s v="Angel Peterson"/>
    <s v="Consumer"/>
    <s v="East"/>
    <x v="0"/>
    <s v="Storage"/>
    <s v="Away Storage"/>
    <n v="802.19"/>
    <n v="4"/>
    <n v="0"/>
    <n v="-102.4"/>
    <s v="Loss"/>
  </r>
  <r>
    <x v="658"/>
    <d v="2024-01-03T00:00:00"/>
    <d v="2024-01-13T00:00:00"/>
    <s v="Amber Foster"/>
    <s v="Corporate"/>
    <s v="North"/>
    <x v="0"/>
    <s v="Storage"/>
    <s v="Current Storage"/>
    <n v="1193.01"/>
    <n v="4"/>
    <n v="0.05"/>
    <n v="212.42"/>
    <s v="Profit"/>
  </r>
  <r>
    <x v="659"/>
    <d v="2025-11-30T00:00:00"/>
    <d v="2025-12-03T00:00:00"/>
    <s v="David Reese"/>
    <s v="Corporate"/>
    <s v="South"/>
    <x v="0"/>
    <s v="Paper"/>
    <s v="Citizen Paper"/>
    <n v="2536.5100000000002"/>
    <n v="10"/>
    <n v="0.15"/>
    <n v="486.02"/>
    <s v="Profit"/>
  </r>
  <r>
    <x v="660"/>
    <d v="2025-09-30T00:00:00"/>
    <d v="2025-10-08T00:00:00"/>
    <s v="Patricia Reid"/>
    <s v="Consumer"/>
    <s v="East"/>
    <x v="1"/>
    <s v="Accessories"/>
    <s v="Real Accessories"/>
    <n v="730.69"/>
    <n v="4"/>
    <n v="0.05"/>
    <n v="-133.19"/>
    <s v="Loss"/>
  </r>
  <r>
    <x v="661"/>
    <d v="2026-03-13T00:00:00"/>
    <d v="2026-03-17T00:00:00"/>
    <s v="Ashley Ho"/>
    <s v="Corporate"/>
    <s v="West"/>
    <x v="1"/>
    <s v="Phones"/>
    <s v="Market Phones"/>
    <n v="3800.99"/>
    <n v="2"/>
    <n v="0.05"/>
    <n v="1177.95"/>
    <s v="Profit"/>
  </r>
  <r>
    <x v="662"/>
    <d v="2025-08-09T00:00:00"/>
    <d v="2025-08-17T00:00:00"/>
    <s v="Sarah Lopez"/>
    <s v="Home Office"/>
    <s v="West"/>
    <x v="0"/>
    <s v="Paper"/>
    <s v="Whose Paper"/>
    <n v="4443.5600000000004"/>
    <n v="7"/>
    <n v="0.15"/>
    <n v="1008.32"/>
    <s v="Profit"/>
  </r>
  <r>
    <x v="663"/>
    <d v="2024-06-01T00:00:00"/>
    <d v="2024-06-08T00:00:00"/>
    <s v="David Friedman"/>
    <s v="Home Office"/>
    <s v="North"/>
    <x v="0"/>
    <s v="Paper"/>
    <s v="Method Paper"/>
    <n v="3076.95"/>
    <n v="10"/>
    <n v="0.2"/>
    <n v="291.95999999999998"/>
    <s v="Profit"/>
  </r>
  <r>
    <x v="664"/>
    <d v="2026-04-21T00:00:00"/>
    <d v="2026-04-29T00:00:00"/>
    <s v="Margaret Adams"/>
    <s v="Corporate"/>
    <s v="North"/>
    <x v="0"/>
    <s v="Binders"/>
    <s v="Game Binders"/>
    <n v="2311.66"/>
    <n v="1"/>
    <n v="0.05"/>
    <n v="197.15"/>
    <s v="Profit"/>
  </r>
  <r>
    <x v="665"/>
    <d v="2025-12-09T00:00:00"/>
    <d v="2025-12-18T00:00:00"/>
    <s v="Erin Howell"/>
    <s v="Corporate"/>
    <s v="East"/>
    <x v="0"/>
    <s v="Paper"/>
    <s v="Local Paper"/>
    <n v="3837.54"/>
    <n v="1"/>
    <n v="0.05"/>
    <n v="-152.93"/>
    <s v="Loss"/>
  </r>
  <r>
    <x v="666"/>
    <d v="2025-09-13T00:00:00"/>
    <d v="2025-09-16T00:00:00"/>
    <s v="Jordan Martinez"/>
    <s v="Consumer"/>
    <s v="West"/>
    <x v="1"/>
    <s v="Accessories"/>
    <s v="Forget Accessories"/>
    <n v="2141.19"/>
    <n v="10"/>
    <n v="0"/>
    <n v="384.29"/>
    <s v="Profit"/>
  </r>
  <r>
    <x v="667"/>
    <s v="24-01-2024"/>
    <d v="2024-01-26T00:00:00"/>
    <s v="Victor Allen"/>
    <s v="Home Office"/>
    <s v="South"/>
    <x v="0"/>
    <s v="Paper"/>
    <s v="Though Paper"/>
    <n v="3627.1"/>
    <n v="2"/>
    <n v="0.05"/>
    <n v="828.07"/>
    <s v="Profit"/>
  </r>
  <r>
    <x v="668"/>
    <d v="2023-06-21T00:00:00"/>
    <d v="2023-06-27T00:00:00"/>
    <s v="Jessica Ferguson"/>
    <s v="Home Office"/>
    <s v="South"/>
    <x v="1"/>
    <s v="Accessories"/>
    <s v="Until Accessories"/>
    <n v="2281.88"/>
    <n v="3"/>
    <n v="0.15"/>
    <n v="284.49"/>
    <s v="Profit"/>
  </r>
  <r>
    <x v="669"/>
    <d v="2024-06-17T00:00:00"/>
    <d v="2024-06-22T00:00:00"/>
    <s v="Joshua Dalton"/>
    <s v="Consumer"/>
    <s v="North"/>
    <x v="1"/>
    <s v="Phones"/>
    <s v="Candidate Phones"/>
    <n v="1654.17"/>
    <n v="3"/>
    <n v="0.2"/>
    <n v="336.28"/>
    <s v="Profit"/>
  </r>
  <r>
    <x v="670"/>
    <d v="2025-01-07T00:00:00"/>
    <d v="2025-01-13T00:00:00"/>
    <s v="Karen Curtis"/>
    <s v="Home Office"/>
    <s v="South"/>
    <x v="0"/>
    <s v="Paper"/>
    <s v="Cost Paper"/>
    <n v="472.27"/>
    <n v="7"/>
    <n v="0.2"/>
    <n v="111.02"/>
    <s v="Profit"/>
  </r>
  <r>
    <x v="671"/>
    <d v="2024-12-03T00:00:00"/>
    <d v="2024-12-10T00:00:00"/>
    <s v="Kathleen Matthews"/>
    <s v="Home Office"/>
    <s v="South"/>
    <x v="1"/>
    <s v="Laptops"/>
    <s v="Bill Laptops"/>
    <n v="267.33999999999997"/>
    <n v="3"/>
    <n v="0.1"/>
    <n v="29.68"/>
    <s v="Profit"/>
  </r>
  <r>
    <x v="672"/>
    <d v="2023-07-24T00:00:00"/>
    <d v="2023-07-27T00:00:00"/>
    <s v="Lauren Bentley"/>
    <s v="Home Office"/>
    <s v="West"/>
    <x v="2"/>
    <s v="Chairs"/>
    <s v="Forget Chairs"/>
    <n v="3857.33"/>
    <n v="1"/>
    <n v="0.15"/>
    <n v="-117.9"/>
    <s v="Loss"/>
  </r>
  <r>
    <x v="673"/>
    <d v="2025-02-22T00:00:00"/>
    <d v="2025-02-25T00:00:00"/>
    <s v="Jerry Russell"/>
    <s v="Corporate"/>
    <s v="North"/>
    <x v="1"/>
    <s v="Laptops"/>
    <s v="Scene Laptops"/>
    <n v="631.89"/>
    <n v="3"/>
    <n v="0.05"/>
    <n v="-125.15"/>
    <s v="Loss"/>
  </r>
  <r>
    <x v="674"/>
    <d v="2025-10-01T00:00:00"/>
    <d v="2025-10-09T00:00:00"/>
    <s v="Joann Maldonado"/>
    <s v="Consumer"/>
    <s v="South"/>
    <x v="1"/>
    <s v="Accessories"/>
    <s v="Police Accessories"/>
    <n v="2740.33"/>
    <n v="1"/>
    <n v="0.2"/>
    <n v="782.33"/>
    <s v="Profit"/>
  </r>
  <r>
    <x v="675"/>
    <d v="2024-02-14T00:00:00"/>
    <d v="2024-02-22T00:00:00"/>
    <s v="Ashley Best"/>
    <s v="Consumer"/>
    <s v="South"/>
    <x v="0"/>
    <s v="Storage"/>
    <s v="Imagine Storage"/>
    <n v="2296.0100000000002"/>
    <n v="8"/>
    <n v="0"/>
    <n v="300.02"/>
    <s v="Profit"/>
  </r>
  <r>
    <x v="676"/>
    <d v="2023-10-14T00:00:00"/>
    <d v="2023-10-24T00:00:00"/>
    <s v="Brenda Hebert"/>
    <s v="Consumer"/>
    <s v="East"/>
    <x v="0"/>
    <s v="Paper"/>
    <s v="Even Paper"/>
    <n v="3161.75"/>
    <n v="4"/>
    <n v="0"/>
    <n v="-310.92"/>
    <s v="Loss"/>
  </r>
  <r>
    <x v="677"/>
    <d v="2025-04-07T00:00:00"/>
    <d v="2025-04-08T00:00:00"/>
    <s v="Karen Smith"/>
    <s v="Consumer"/>
    <s v="North"/>
    <x v="2"/>
    <s v="Chairs"/>
    <s v="Win Chairs"/>
    <n v="3351.63"/>
    <n v="10"/>
    <n v="0.1"/>
    <n v="-59.96"/>
    <s v="Loss"/>
  </r>
  <r>
    <x v="678"/>
    <d v="2026-03-13T00:00:00"/>
    <d v="2026-03-16T00:00:00"/>
    <s v="Franklin Davis"/>
    <s v="Home Office"/>
    <s v="South"/>
    <x v="2"/>
    <s v="Tables"/>
    <s v="Knowledge Tables"/>
    <n v="848.61"/>
    <n v="5"/>
    <n v="0.2"/>
    <n v="138.75"/>
    <s v="Profit"/>
  </r>
  <r>
    <x v="679"/>
    <d v="2024-03-17T00:00:00"/>
    <d v="2024-03-27T00:00:00"/>
    <s v="Christine Ray"/>
    <s v="Corporate"/>
    <s v="East"/>
    <x v="1"/>
    <s v="Laptops"/>
    <s v="Western Laptops"/>
    <n v="1832.93"/>
    <n v="1"/>
    <n v="0"/>
    <n v="408.16"/>
    <s v="Profit"/>
  </r>
  <r>
    <x v="680"/>
    <d v="2024-03-03T00:00:00"/>
    <d v="2024-03-10T00:00:00"/>
    <s v="Unknown"/>
    <s v="Consumer"/>
    <s v="East"/>
    <x v="1"/>
    <s v="Phones"/>
    <s v="Truth Phones"/>
    <n v="4224.38"/>
    <n v="2"/>
    <n v="0.1"/>
    <n v="249.02"/>
    <s v="Profit"/>
  </r>
  <r>
    <x v="681"/>
    <d v="2023-06-08T00:00:00"/>
    <d v="2023-06-15T00:00:00"/>
    <s v="David Logan"/>
    <s v="Home Office"/>
    <s v="North"/>
    <x v="1"/>
    <s v="Laptops"/>
    <s v="Yourself Laptops"/>
    <n v="2647"/>
    <n v="4"/>
    <n v="0.2"/>
    <n v="-444.69"/>
    <s v="Loss"/>
  </r>
  <r>
    <x v="682"/>
    <d v="2025-09-04T00:00:00"/>
    <d v="2025-09-14T00:00:00"/>
    <s v="Breanna Palmer"/>
    <s v="Corporate"/>
    <s v="East"/>
    <x v="1"/>
    <s v="Laptops"/>
    <s v="Inside Laptops"/>
    <n v="4672.76"/>
    <n v="5"/>
    <n v="0.15"/>
    <n v="630.19000000000005"/>
    <s v="Profit"/>
  </r>
  <r>
    <x v="683"/>
    <d v="2026-01-13T00:00:00"/>
    <d v="2026-01-23T00:00:00"/>
    <s v="Jason Butler"/>
    <s v="Home Office"/>
    <s v="West"/>
    <x v="0"/>
    <s v="Storage"/>
    <s v="Wear Storage"/>
    <n v="1801.57"/>
    <n v="3"/>
    <n v="0.2"/>
    <n v="197.18"/>
    <s v="Profit"/>
  </r>
  <r>
    <x v="684"/>
    <d v="2024-08-30T00:00:00"/>
    <d v="2024-09-09T00:00:00"/>
    <s v="Laura Morrow"/>
    <s v="Consumer"/>
    <s v="West"/>
    <x v="1"/>
    <s v="Phones"/>
    <s v="Affect Phones"/>
    <n v="1201.97"/>
    <n v="5"/>
    <n v="0.05"/>
    <n v="-239.35"/>
    <s v="Loss"/>
  </r>
  <r>
    <x v="685"/>
    <d v="2024-09-13T00:00:00"/>
    <d v="2024-09-17T00:00:00"/>
    <s v="Jennifer Baker"/>
    <s v="Corporate"/>
    <s v="West"/>
    <x v="0"/>
    <s v="Binders"/>
    <s v="Design Binders"/>
    <n v="4007.84"/>
    <n v="7"/>
    <n v="0.15"/>
    <n v="-701.29"/>
    <s v="Loss"/>
  </r>
  <r>
    <x v="686"/>
    <d v="2025-01-09T00:00:00"/>
    <d v="2025-01-13T00:00:00"/>
    <s v="Gabriel House"/>
    <s v="Home Office"/>
    <s v="West"/>
    <x v="2"/>
    <s v="Bookcases"/>
    <s v="Summer Bookcases"/>
    <n v="3465.58"/>
    <n v="5"/>
    <n v="0"/>
    <n v="-106.48"/>
    <s v="Loss"/>
  </r>
  <r>
    <x v="687"/>
    <d v="2026-02-22T00:00:00"/>
    <d v="2026-02-28T00:00:00"/>
    <s v="Jeffrey Vaughn"/>
    <s v="Consumer"/>
    <s v="South"/>
    <x v="2"/>
    <s v="Chairs"/>
    <s v="How Chairs"/>
    <n v="1739.74"/>
    <n v="10"/>
    <n v="0.2"/>
    <n v="570.74"/>
    <s v="Profit"/>
  </r>
  <r>
    <x v="688"/>
    <d v="2024-12-12T00:00:00"/>
    <d v="2024-12-20T00:00:00"/>
    <s v="Michael Hernandez"/>
    <s v="Consumer"/>
    <s v="West"/>
    <x v="1"/>
    <s v="Accessories"/>
    <s v="Tend Accessories"/>
    <n v="4585.01"/>
    <n v="1"/>
    <n v="0.2"/>
    <n v="-574.66"/>
    <s v="Loss"/>
  </r>
  <r>
    <x v="689"/>
    <d v="2024-04-08T00:00:00"/>
    <d v="2024-04-16T00:00:00"/>
    <s v="Stephanie Cabrera Dvm"/>
    <s v="Home Office"/>
    <s v="East"/>
    <x v="0"/>
    <s v="Paper"/>
    <s v="Deep Paper"/>
    <n v="3930.75"/>
    <n v="7"/>
    <n v="0.2"/>
    <n v="-665.03"/>
    <s v="Loss"/>
  </r>
  <r>
    <x v="690"/>
    <d v="2025-10-25T00:00:00"/>
    <d v="2025-10-31T00:00:00"/>
    <s v="Brian Gonzalez"/>
    <s v="Corporate"/>
    <s v="West"/>
    <x v="0"/>
    <s v="Storage"/>
    <s v="Develop Storage"/>
    <n v="2798.13"/>
    <n v="1"/>
    <n v="0.05"/>
    <n v="328.97"/>
    <s v="Profit"/>
  </r>
  <r>
    <x v="691"/>
    <d v="2024-12-24T00:00:00"/>
    <d v="2024-12-29T00:00:00"/>
    <s v="Jennifer Parks"/>
    <s v="Consumer"/>
    <s v="West"/>
    <x v="2"/>
    <s v="Chairs"/>
    <s v="Environment Chairs"/>
    <n v="4211.66"/>
    <n v="6"/>
    <n v="0.15"/>
    <n v="608.92999999999995"/>
    <s v="Profit"/>
  </r>
  <r>
    <x v="692"/>
    <d v="2024-08-02T00:00:00"/>
    <d v="2024-08-04T00:00:00"/>
    <s v="Joseph White"/>
    <s v="Home Office"/>
    <s v="North"/>
    <x v="2"/>
    <s v="Bookcases"/>
    <s v="Morning Bookcases"/>
    <n v="4329.74"/>
    <n v="5"/>
    <n v="0.2"/>
    <n v="1176.83"/>
    <s v="Profit"/>
  </r>
  <r>
    <x v="693"/>
    <d v="2025-03-19T00:00:00"/>
    <d v="2025-03-21T00:00:00"/>
    <s v="Holly Phillips"/>
    <s v="Corporate"/>
    <s v="South"/>
    <x v="1"/>
    <s v="Accessories"/>
    <s v="Join Accessories"/>
    <n v="2510.42"/>
    <n v="4"/>
    <n v="0.1"/>
    <n v="121.88"/>
    <s v="Profit"/>
  </r>
  <r>
    <x v="694"/>
    <d v="2025-08-25T00:00:00"/>
    <d v="2025-08-28T00:00:00"/>
    <s v="Valerie Smith"/>
    <s v="Corporate"/>
    <s v="North"/>
    <x v="0"/>
    <s v="Paper"/>
    <s v="Forward Paper"/>
    <n v="605.54"/>
    <n v="1"/>
    <n v="0.05"/>
    <n v="183.08"/>
    <s v="Profit"/>
  </r>
  <r>
    <x v="695"/>
    <d v="2026-02-16T00:00:00"/>
    <d v="2026-02-19T00:00:00"/>
    <s v="Elizabeth Harris"/>
    <s v="Corporate"/>
    <s v="East"/>
    <x v="1"/>
    <s v="Laptops"/>
    <s v="Way Laptops"/>
    <n v="991.55"/>
    <n v="8"/>
    <n v="0.2"/>
    <n v="278.26"/>
    <s v="Profit"/>
  </r>
  <r>
    <x v="696"/>
    <d v="2024-06-16T00:00:00"/>
    <d v="2024-06-25T00:00:00"/>
    <s v="Alexis Murillo"/>
    <s v="Corporate"/>
    <s v="West"/>
    <x v="2"/>
    <s v="Chairs"/>
    <s v="Make Chairs"/>
    <n v="3399.75"/>
    <n v="3"/>
    <n v="0.05"/>
    <n v="674.9"/>
    <s v="Profit"/>
  </r>
  <r>
    <x v="697"/>
    <d v="2025-07-18T00:00:00"/>
    <d v="2025-07-20T00:00:00"/>
    <s v="Angela Wilkins"/>
    <s v="Consumer"/>
    <s v="East"/>
    <x v="0"/>
    <s v="Storage"/>
    <s v="Exist Storage"/>
    <n v="70.34"/>
    <n v="1"/>
    <n v="0.2"/>
    <n v="18.739999999999998"/>
    <s v="Profit"/>
  </r>
  <r>
    <x v="698"/>
    <d v="2024-06-28T00:00:00"/>
    <d v="2024-06-30T00:00:00"/>
    <s v="John Roberts"/>
    <s v="Corporate"/>
    <s v="South"/>
    <x v="1"/>
    <s v="Phones"/>
    <s v="Language Phones"/>
    <n v="2626.86"/>
    <n v="5"/>
    <n v="0"/>
    <n v="309.07"/>
    <s v="Profit"/>
  </r>
  <r>
    <x v="699"/>
    <d v="2026-01-14T00:00:00"/>
    <d v="2026-01-18T00:00:00"/>
    <s v="Stacy Austin"/>
    <s v="Home Office"/>
    <s v="North"/>
    <x v="1"/>
    <s v="Phones"/>
    <s v="Cultural Phones"/>
    <n v="1468.51"/>
    <n v="9"/>
    <n v="0.1"/>
    <n v="330.46"/>
    <s v="Profit"/>
  </r>
  <r>
    <x v="700"/>
    <d v="2025-09-22T00:00:00"/>
    <d v="2025-09-25T00:00:00"/>
    <s v="Anthony Garcia"/>
    <s v="Consumer"/>
    <s v="South"/>
    <x v="1"/>
    <s v="Phones"/>
    <s v="West Phones"/>
    <n v="1404.5"/>
    <n v="1"/>
    <n v="0.2"/>
    <n v="151.4"/>
    <s v="Profit"/>
  </r>
  <r>
    <x v="701"/>
    <d v="2024-01-19T00:00:00"/>
    <d v="2024-01-28T00:00:00"/>
    <s v="Kimberly Dixon"/>
    <s v="Home Office"/>
    <s v="South"/>
    <x v="0"/>
    <s v="Paper"/>
    <s v="Paper Paper"/>
    <n v="1626.5"/>
    <n v="3"/>
    <n v="0.2"/>
    <n v="393.94"/>
    <s v="Profit"/>
  </r>
  <r>
    <x v="702"/>
    <d v="2024-11-18T00:00:00"/>
    <d v="2024-11-23T00:00:00"/>
    <s v="Terri Lopez"/>
    <s v="Consumer"/>
    <s v="North"/>
    <x v="2"/>
    <s v="Chairs"/>
    <s v="Week Chairs"/>
    <n v="3085.65"/>
    <n v="6"/>
    <n v="0.2"/>
    <n v="135.79"/>
    <s v="Profit"/>
  </r>
  <r>
    <x v="703"/>
    <d v="2026-04-23T00:00:00"/>
    <d v="2026-04-24T00:00:00"/>
    <s v="Jeffery Adams"/>
    <s v="Consumer"/>
    <s v="West"/>
    <x v="1"/>
    <s v="Laptops"/>
    <s v="Garden Laptops"/>
    <n v="574.34"/>
    <n v="1"/>
    <n v="0"/>
    <n v="19.850000000000001"/>
    <s v="Profit"/>
  </r>
  <r>
    <x v="704"/>
    <d v="2026-01-04T00:00:00"/>
    <d v="2026-01-09T00:00:00"/>
    <s v="Ralph Walls"/>
    <s v="Home Office"/>
    <s v="North"/>
    <x v="0"/>
    <s v="Paper"/>
    <s v="Away Paper"/>
    <n v="1695.04"/>
    <n v="4"/>
    <n v="0.2"/>
    <n v="368.03"/>
    <s v="Profit"/>
  </r>
  <r>
    <x v="705"/>
    <d v="2025-03-03T00:00:00"/>
    <d v="2025-03-06T00:00:00"/>
    <s v="David Lambert"/>
    <s v="Home Office"/>
    <s v="West"/>
    <x v="1"/>
    <s v="Laptops"/>
    <s v="Night Laptops"/>
    <n v="509.94"/>
    <n v="8"/>
    <n v="0"/>
    <n v="25.79"/>
    <s v="Profit"/>
  </r>
  <r>
    <x v="706"/>
    <d v="2025-05-20T00:00:00"/>
    <d v="2025-05-24T00:00:00"/>
    <s v="David Hernandez"/>
    <s v="Corporate"/>
    <s v="South"/>
    <x v="1"/>
    <s v="Phones"/>
    <s v="Significant Phones"/>
    <n v="761.42"/>
    <n v="10"/>
    <n v="0.1"/>
    <n v="230.01"/>
    <s v="Profit"/>
  </r>
  <r>
    <x v="707"/>
    <d v="2023-11-27T00:00:00"/>
    <d v="2023-12-03T00:00:00"/>
    <s v="Jacob Hammond"/>
    <s v="Consumer"/>
    <s v="West"/>
    <x v="0"/>
    <s v="Storage"/>
    <s v="My Storage"/>
    <n v="3954.45"/>
    <n v="6"/>
    <n v="0.15"/>
    <n v="269.41000000000003"/>
    <s v="Profit"/>
  </r>
  <r>
    <x v="708"/>
    <d v="2025-10-02T00:00:00"/>
    <d v="2025-10-10T00:00:00"/>
    <s v="Joseph Davis"/>
    <s v="Home Office"/>
    <s v="South"/>
    <x v="2"/>
    <s v="Tables"/>
    <s v="Computer Tables"/>
    <n v="2333.15"/>
    <n v="3"/>
    <n v="0.1"/>
    <n v="518.82000000000005"/>
    <s v="Profit"/>
  </r>
  <r>
    <x v="709"/>
    <d v="2025-01-13T00:00:00"/>
    <d v="2025-01-20T00:00:00"/>
    <s v="Margaret Dennis"/>
    <s v="Consumer"/>
    <s v="East"/>
    <x v="0"/>
    <s v="Binders"/>
    <s v="Score Binders"/>
    <n v="4096.8900000000003"/>
    <n v="2"/>
    <n v="0.1"/>
    <n v="433.79"/>
    <s v="Profit"/>
  </r>
  <r>
    <x v="710"/>
    <d v="2024-04-24T00:00:00"/>
    <d v="2024-05-01T00:00:00"/>
    <s v="Tara Mcdonald"/>
    <s v="Consumer"/>
    <s v="West"/>
    <x v="0"/>
    <s v="Paper"/>
    <s v="Last Paper"/>
    <n v="2973.15"/>
    <n v="4"/>
    <n v="0.2"/>
    <n v="-196.14"/>
    <s v="Loss"/>
  </r>
  <r>
    <x v="711"/>
    <d v="2024-06-09T00:00:00"/>
    <d v="2024-06-15T00:00:00"/>
    <s v="Daniel Kelly"/>
    <s v="Corporate"/>
    <s v="East"/>
    <x v="1"/>
    <s v="Phones"/>
    <s v="Meeting Phones"/>
    <n v="1080.78"/>
    <n v="10"/>
    <n v="0.15"/>
    <n v="250.06"/>
    <s v="Profit"/>
  </r>
  <r>
    <x v="712"/>
    <d v="2023-12-11T00:00:00"/>
    <d v="2023-12-15T00:00:00"/>
    <s v="Roberta Acevedo"/>
    <s v="Home Office"/>
    <s v="West"/>
    <x v="0"/>
    <s v="Storage"/>
    <s v="Senior Storage"/>
    <n v="906.77"/>
    <n v="2"/>
    <n v="0.2"/>
    <n v="282.89"/>
    <s v="Profit"/>
  </r>
  <r>
    <x v="713"/>
    <d v="2025-09-26T00:00:00"/>
    <d v="2025-10-06T00:00:00"/>
    <s v="Victoria Watkins"/>
    <s v="Consumer"/>
    <s v="East"/>
    <x v="2"/>
    <s v="Bookcases"/>
    <s v="Anyone Bookcases"/>
    <n v="2341.4"/>
    <n v="9"/>
    <n v="0"/>
    <n v="590.29999999999995"/>
    <s v="Profit"/>
  </r>
  <r>
    <x v="714"/>
    <d v="2025-05-21T00:00:00"/>
    <d v="2025-05-31T00:00:00"/>
    <s v="Jeffrey Brown"/>
    <s v="Home Office"/>
    <s v="North"/>
    <x v="1"/>
    <s v="Phones"/>
    <s v="Office Phones"/>
    <n v="588.29"/>
    <n v="10"/>
    <n v="0.15"/>
    <n v="-11.72"/>
    <s v="Loss"/>
  </r>
  <r>
    <x v="715"/>
    <d v="2025-12-07T00:00:00"/>
    <d v="2025-12-10T00:00:00"/>
    <s v="David Richards"/>
    <s v="Corporate"/>
    <s v="East"/>
    <x v="2"/>
    <s v="Chairs"/>
    <s v="Consumer Chairs"/>
    <n v="4441.9399999999996"/>
    <n v="1"/>
    <n v="0.05"/>
    <n v="726.19"/>
    <s v="Profit"/>
  </r>
  <r>
    <x v="716"/>
    <d v="2024-06-15T00:00:00"/>
    <d v="2024-06-25T00:00:00"/>
    <s v="Aaron Smith"/>
    <s v="Corporate"/>
    <s v="East"/>
    <x v="1"/>
    <s v="Laptops"/>
    <s v="About Laptops"/>
    <n v="2263.44"/>
    <n v="4"/>
    <n v="0.2"/>
    <n v="639.61"/>
    <s v="Profit"/>
  </r>
  <r>
    <x v="717"/>
    <d v="2025-08-10T00:00:00"/>
    <d v="2025-08-16T00:00:00"/>
    <s v="Danielle Miller"/>
    <s v="Home Office"/>
    <s v="West"/>
    <x v="1"/>
    <s v="Laptops"/>
    <s v="Story Laptops"/>
    <n v="4951.93"/>
    <n v="10"/>
    <n v="0"/>
    <n v="675.05"/>
    <s v="Profit"/>
  </r>
  <r>
    <x v="718"/>
    <d v="2025-01-19T00:00:00"/>
    <d v="2025-01-20T00:00:00"/>
    <s v="Jeff Lowe"/>
    <s v="Home Office"/>
    <s v="East"/>
    <x v="2"/>
    <s v="Tables"/>
    <s v="According Tables"/>
    <n v="1877.65"/>
    <n v="9"/>
    <n v="0"/>
    <n v="-374.66"/>
    <s v="Loss"/>
  </r>
  <r>
    <x v="719"/>
    <d v="2025-08-21T00:00:00"/>
    <d v="2025-08-22T00:00:00"/>
    <s v="James Garcia"/>
    <s v="Home Office"/>
    <s v="West"/>
    <x v="2"/>
    <s v="Tables"/>
    <s v="Newspaper Tables"/>
    <n v="1214.44"/>
    <n v="10"/>
    <n v="0.15"/>
    <n v="174.72"/>
    <s v="Profit"/>
  </r>
  <r>
    <x v="720"/>
    <d v="2024-11-10T00:00:00"/>
    <d v="2024-11-17T00:00:00"/>
    <s v="Ernest Wang"/>
    <s v="Home Office"/>
    <s v="West"/>
    <x v="1"/>
    <s v="Accessories"/>
    <s v="Win Accessories"/>
    <n v="2748.34"/>
    <n v="3"/>
    <n v="0.15"/>
    <n v="-339.45"/>
    <s v="Loss"/>
  </r>
  <r>
    <x v="721"/>
    <d v="2026-01-20T00:00:00"/>
    <d v="2026-01-23T00:00:00"/>
    <s v="James Shaw"/>
    <s v="Home Office"/>
    <s v="North"/>
    <x v="1"/>
    <s v="Accessories"/>
    <s v="Personal Accessories"/>
    <n v="1477.93"/>
    <n v="3"/>
    <n v="0.05"/>
    <n v="-286.14999999999998"/>
    <s v="Loss"/>
  </r>
  <r>
    <x v="722"/>
    <d v="2024-02-07T00:00:00"/>
    <d v="2024-02-15T00:00:00"/>
    <s v="Derrick Weber"/>
    <s v="Corporate"/>
    <s v="West"/>
    <x v="2"/>
    <s v="Bookcases"/>
    <s v="Agent Bookcases"/>
    <n v="3306.74"/>
    <n v="3"/>
    <n v="0"/>
    <n v="-411.78"/>
    <s v="Loss"/>
  </r>
  <r>
    <x v="723"/>
    <d v="2026-04-18T00:00:00"/>
    <d v="2026-04-25T00:00:00"/>
    <s v="Tracie Davenport"/>
    <s v="Corporate"/>
    <s v="West"/>
    <x v="0"/>
    <s v="Storage"/>
    <s v="Teacher Storage"/>
    <n v="3135.08"/>
    <n v="8"/>
    <n v="0.2"/>
    <n v="104.3"/>
    <s v="Profit"/>
  </r>
  <r>
    <x v="724"/>
    <d v="2026-03-28T00:00:00"/>
    <d v="2026-03-31T00:00:00"/>
    <s v="Jennifer Bishop"/>
    <s v="Home Office"/>
    <s v="South"/>
    <x v="1"/>
    <s v="Phones"/>
    <s v="Institution Phones"/>
    <n v="2152.62"/>
    <n v="1"/>
    <n v="0.2"/>
    <n v="159.26"/>
    <s v="Profit"/>
  </r>
  <r>
    <x v="725"/>
    <d v="2024-06-13T00:00:00"/>
    <d v="2024-06-18T00:00:00"/>
    <s v="Rebecca Daniel"/>
    <s v="Consumer"/>
    <s v="West"/>
    <x v="0"/>
    <s v="Storage"/>
    <s v="Director Storage"/>
    <n v="2083.65"/>
    <n v="9"/>
    <n v="0.2"/>
    <n v="3.82"/>
    <s v="Profit"/>
  </r>
  <r>
    <x v="726"/>
    <d v="2026-02-13T00:00:00"/>
    <d v="2026-02-15T00:00:00"/>
    <s v="Dr. Ryan Bailey"/>
    <s v="Home Office"/>
    <s v="East"/>
    <x v="0"/>
    <s v="Paper"/>
    <s v="Generation Paper"/>
    <n v="2922.33"/>
    <n v="2"/>
    <n v="0.05"/>
    <n v="589.15"/>
    <s v="Profit"/>
  </r>
  <r>
    <x v="727"/>
    <d v="2024-12-04T00:00:00"/>
    <d v="2024-12-06T00:00:00"/>
    <s v="Mr. Andrew Anderson"/>
    <s v="Home Office"/>
    <s v="North"/>
    <x v="1"/>
    <s v="Laptops"/>
    <s v="Fire Laptops"/>
    <n v="2640.62"/>
    <n v="10"/>
    <n v="0"/>
    <n v="-171.96"/>
    <s v="Loss"/>
  </r>
  <r>
    <x v="728"/>
    <d v="2026-02-04T00:00:00"/>
    <d v="2026-02-13T00:00:00"/>
    <s v="Juan Norman"/>
    <s v="Corporate"/>
    <s v="North"/>
    <x v="0"/>
    <s v="Storage"/>
    <s v="Player Storage"/>
    <n v="4000.59"/>
    <n v="5"/>
    <n v="0.2"/>
    <n v="-684"/>
    <s v="Loss"/>
  </r>
  <r>
    <x v="729"/>
    <d v="2026-01-07T00:00:00"/>
    <d v="2026-01-16T00:00:00"/>
    <s v="Duane Johnston"/>
    <s v="Corporate"/>
    <s v="East"/>
    <x v="1"/>
    <s v="Accessories"/>
    <s v="Explain Accessories"/>
    <n v="4534.97"/>
    <n v="10"/>
    <n v="0.2"/>
    <n v="-80.12"/>
    <s v="Loss"/>
  </r>
  <r>
    <x v="730"/>
    <d v="2024-01-17T00:00:00"/>
    <d v="2024-01-18T00:00:00"/>
    <s v="Michael Miller"/>
    <s v="Home Office"/>
    <s v="East"/>
    <x v="1"/>
    <s v="Phones"/>
    <s v="Ask Phones"/>
    <n v="3490.5"/>
    <n v="10"/>
    <n v="0.2"/>
    <n v="-114.35"/>
    <s v="Loss"/>
  </r>
  <r>
    <x v="731"/>
    <d v="2026-05-17T00:00:00"/>
    <d v="2026-05-25T00:00:00"/>
    <s v="Christopher Gonzalez"/>
    <s v="Corporate"/>
    <s v="North"/>
    <x v="2"/>
    <s v="Bookcases"/>
    <s v="Position Bookcases"/>
    <n v="2911.8"/>
    <n v="10"/>
    <n v="0"/>
    <n v="468.73"/>
    <s v="Profit"/>
  </r>
  <r>
    <x v="732"/>
    <d v="2024-09-25T00:00:00"/>
    <d v="2024-09-27T00:00:00"/>
    <s v="Mark Chen"/>
    <s v="Home Office"/>
    <s v="East"/>
    <x v="1"/>
    <s v="Accessories"/>
    <s v="Material Accessories"/>
    <n v="677.77"/>
    <n v="2"/>
    <n v="0.1"/>
    <n v="-41.6"/>
    <s v="Loss"/>
  </r>
  <r>
    <x v="733"/>
    <d v="2023-06-16T00:00:00"/>
    <d v="2023-06-17T00:00:00"/>
    <s v="Pamela Baxter"/>
    <s v="Home Office"/>
    <s v="South"/>
    <x v="1"/>
    <s v="Accessories"/>
    <s v="Director Accessories"/>
    <n v="3720.07"/>
    <n v="10"/>
    <n v="0.05"/>
    <n v="1118.1500000000001"/>
    <s v="Profit"/>
  </r>
  <r>
    <x v="734"/>
    <d v="2025-02-02T00:00:00"/>
    <d v="2025-02-08T00:00:00"/>
    <s v="Shannon Morgan"/>
    <s v="Consumer"/>
    <s v="North"/>
    <x v="0"/>
    <s v="Paper"/>
    <s v="There Paper"/>
    <n v="4048.81"/>
    <n v="5"/>
    <n v="0.2"/>
    <n v="-283.79000000000002"/>
    <s v="Loss"/>
  </r>
  <r>
    <x v="735"/>
    <d v="2023-11-22T00:00:00"/>
    <d v="2023-11-25T00:00:00"/>
    <s v="Joanna Weiss"/>
    <s v="Corporate"/>
    <s v="West"/>
    <x v="1"/>
    <s v="Phones"/>
    <s v="New Phones"/>
    <n v="2997.94"/>
    <n v="3"/>
    <n v="0.15"/>
    <n v="641.62"/>
    <s v="Profit"/>
  </r>
  <r>
    <x v="736"/>
    <d v="2023-11-26T00:00:00"/>
    <d v="2023-12-04T00:00:00"/>
    <s v="Unknown"/>
    <s v="Corporate"/>
    <s v="North"/>
    <x v="2"/>
    <s v="Bookcases"/>
    <s v="Raise Bookcases"/>
    <n v="3643.7"/>
    <n v="3"/>
    <n v="0.05"/>
    <n v="429.11"/>
    <s v="Profit"/>
  </r>
  <r>
    <x v="737"/>
    <d v="2024-08-02T00:00:00"/>
    <d v="2024-08-04T00:00:00"/>
    <s v="Jody Martinez"/>
    <s v="Corporate"/>
    <s v="South"/>
    <x v="0"/>
    <s v="Paper"/>
    <s v="Will Paper"/>
    <n v="309.99"/>
    <n v="8"/>
    <n v="0.15"/>
    <n v="19.2"/>
    <s v="Profit"/>
  </r>
  <r>
    <x v="738"/>
    <d v="2023-11-26T00:00:00"/>
    <d v="2023-12-03T00:00:00"/>
    <s v="Jason Moss"/>
    <s v="Consumer"/>
    <s v="East"/>
    <x v="1"/>
    <s v="Laptops"/>
    <s v="Couple Laptops"/>
    <n v="2399.2199999999998"/>
    <n v="3"/>
    <n v="0.2"/>
    <n v="668.55"/>
    <s v="Profit"/>
  </r>
  <r>
    <x v="739"/>
    <d v="2025-04-28T00:00:00"/>
    <d v="2025-05-04T00:00:00"/>
    <s v="Gregory Mills"/>
    <s v="Home Office"/>
    <s v="East"/>
    <x v="1"/>
    <s v="Accessories"/>
    <s v="During Accessories"/>
    <n v="4810.7299999999996"/>
    <n v="1"/>
    <n v="0"/>
    <n v="1466.03"/>
    <s v="Profit"/>
  </r>
  <r>
    <x v="740"/>
    <d v="2026-03-22T00:00:00"/>
    <d v="2026-03-27T00:00:00"/>
    <s v="Edward Carlson"/>
    <s v="Home Office"/>
    <s v="West"/>
    <x v="1"/>
    <s v="Laptops"/>
    <s v="History Laptops"/>
    <n v="1708.09"/>
    <n v="5"/>
    <n v="0"/>
    <n v="-101.74"/>
    <s v="Loss"/>
  </r>
  <r>
    <x v="741"/>
    <d v="2024-03-13T00:00:00"/>
    <d v="2024-03-17T00:00:00"/>
    <s v="Justin Tate"/>
    <s v="Home Office"/>
    <s v="South"/>
    <x v="1"/>
    <s v="Laptops"/>
    <s v="Career Laptops"/>
    <n v="3684.85"/>
    <n v="10"/>
    <n v="0.05"/>
    <n v="316.8"/>
    <s v="Profit"/>
  </r>
  <r>
    <x v="742"/>
    <d v="2025-11-21T00:00:00"/>
    <d v="2025-11-22T00:00:00"/>
    <s v="Benjamin Hughes"/>
    <s v="Home Office"/>
    <s v="West"/>
    <x v="1"/>
    <s v="Laptops"/>
    <s v="Assume Laptops"/>
    <n v="3380.37"/>
    <n v="2"/>
    <n v="0"/>
    <n v="88.52"/>
    <s v="Profit"/>
  </r>
  <r>
    <x v="743"/>
    <d v="2024-10-01T00:00:00"/>
    <d v="2024-10-07T00:00:00"/>
    <s v="Eric Fernandez"/>
    <s v="Consumer"/>
    <s v="North"/>
    <x v="0"/>
    <s v="Paper"/>
    <s v="Garden Paper"/>
    <n v="1136.1099999999999"/>
    <n v="5"/>
    <n v="0.1"/>
    <n v="-106.57"/>
    <s v="Loss"/>
  </r>
  <r>
    <x v="744"/>
    <d v="2025-04-21T00:00:00"/>
    <d v="2025-04-25T00:00:00"/>
    <s v="Tamara Williams"/>
    <s v="Consumer"/>
    <s v="South"/>
    <x v="2"/>
    <s v="Bookcases"/>
    <s v="His Bookcases"/>
    <n v="4754.92"/>
    <n v="2"/>
    <n v="0.2"/>
    <n v="1553.85"/>
    <s v="Profit"/>
  </r>
  <r>
    <x v="745"/>
    <d v="2025-07-14T00:00:00"/>
    <d v="2025-07-24T00:00:00"/>
    <s v="Austin Charles"/>
    <s v="Corporate"/>
    <s v="East"/>
    <x v="1"/>
    <s v="Laptops"/>
    <s v="Raise Laptops"/>
    <n v="4025.84"/>
    <n v="3"/>
    <n v="0"/>
    <n v="735.16"/>
    <s v="Profit"/>
  </r>
  <r>
    <x v="746"/>
    <d v="2026-02-11T00:00:00"/>
    <d v="2026-02-13T00:00:00"/>
    <s v="Unknown"/>
    <s v="Home Office"/>
    <s v="East"/>
    <x v="1"/>
    <s v="Laptops"/>
    <s v="For Laptops"/>
    <n v="3211.96"/>
    <n v="5"/>
    <n v="0.15"/>
    <n v="580.47"/>
    <s v="Profit"/>
  </r>
  <r>
    <x v="747"/>
    <d v="2024-02-23T00:00:00"/>
    <d v="2024-02-25T00:00:00"/>
    <s v="Melissa Cox"/>
    <s v="Consumer"/>
    <s v="East"/>
    <x v="1"/>
    <s v="Phones"/>
    <s v="Fall Phones"/>
    <n v="1422.57"/>
    <n v="1"/>
    <n v="0.15"/>
    <n v="19.52"/>
    <s v="Profit"/>
  </r>
  <r>
    <x v="748"/>
    <d v="2024-10-05T00:00:00"/>
    <d v="2024-10-13T00:00:00"/>
    <s v="Dr. Jason Jackson"/>
    <s v="Home Office"/>
    <s v="West"/>
    <x v="1"/>
    <s v="Phones"/>
    <s v="Society Phones"/>
    <n v="393.52"/>
    <n v="4"/>
    <n v="0.2"/>
    <n v="6.28"/>
    <s v="Profit"/>
  </r>
  <r>
    <x v="749"/>
    <d v="2026-03-23T00:00:00"/>
    <d v="2026-04-01T00:00:00"/>
    <s v="Dylan Whitehead"/>
    <s v="Corporate"/>
    <s v="East"/>
    <x v="2"/>
    <s v="Chairs"/>
    <s v="Five Chairs"/>
    <n v="3855.1"/>
    <n v="4"/>
    <n v="0.2"/>
    <n v="593.04999999999995"/>
    <s v="Profi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ORD-10327"/>
    <d v="2023-05-27T00:00:00"/>
    <d v="2023-05-29T00:00:00"/>
    <s v="Michael Li"/>
    <s v="Consumer"/>
    <x v="0"/>
    <x v="0"/>
    <s v="Tables"/>
    <s v="While Tables"/>
    <n v="2907.87"/>
    <n v="9"/>
    <n v="0.05"/>
    <n v="3.45"/>
    <x v="0"/>
  </r>
  <r>
    <s v="ORD-10075"/>
    <d v="2023-05-25T00:00:00"/>
    <d v="2023-05-31T00:00:00"/>
    <s v="Mr. Nicholas Fischer Iii"/>
    <s v="Corporate"/>
    <x v="1"/>
    <x v="1"/>
    <s v="Binders"/>
    <s v="Whose Binders"/>
    <n v="2687.09"/>
    <n v="6"/>
    <n v="0"/>
    <n v="210.34"/>
    <x v="0"/>
  </r>
  <r>
    <s v="ORD-10590"/>
    <d v="2023-05-28T00:00:00"/>
    <d v="2023-06-03T00:00:00"/>
    <s v="Jeremy Norris"/>
    <s v="Home Office"/>
    <x v="2"/>
    <x v="0"/>
    <s v="Bookcases"/>
    <s v="Explain Bookcases"/>
    <n v="4308.83"/>
    <n v="6"/>
    <n v="0.15"/>
    <n v="245.42"/>
    <x v="0"/>
  </r>
  <r>
    <s v="ORD-10603"/>
    <d v="2023-06-02T00:00:00"/>
    <d v="2023-06-03T00:00:00"/>
    <s v="Tina Santos"/>
    <s v="Corporate"/>
    <x v="3"/>
    <x v="2"/>
    <s v="Accessories"/>
    <s v="Consumer Accessories"/>
    <n v="653.71"/>
    <n v="4"/>
    <n v="0.15"/>
    <n v="146.54"/>
    <x v="0"/>
  </r>
  <r>
    <s v="ORD-10486"/>
    <d v="2023-05-27T00:00:00"/>
    <d v="2023-06-06T00:00:00"/>
    <s v="Rachel Santos"/>
    <s v="Home Office"/>
    <x v="1"/>
    <x v="2"/>
    <s v="Accessories"/>
    <s v="Face Accessories"/>
    <n v="4783.1400000000003"/>
    <n v="3"/>
    <n v="0.15"/>
    <n v="-945.22"/>
    <x v="1"/>
  </r>
  <r>
    <s v="ORD-10233"/>
    <d v="2023-06-03T00:00:00"/>
    <d v="2023-06-06T00:00:00"/>
    <s v="Margaret English"/>
    <s v="Home Office"/>
    <x v="2"/>
    <x v="1"/>
    <s v="Paper"/>
    <s v="Unit Paper"/>
    <n v="3050.99"/>
    <n v="9"/>
    <n v="0.05"/>
    <n v="-59.86"/>
    <x v="1"/>
  </r>
  <r>
    <s v="ORD-10073"/>
    <d v="2023-06-04T00:00:00"/>
    <d v="2023-06-06T00:00:00"/>
    <s v="Patricia Rojas"/>
    <s v="Corporate"/>
    <x v="0"/>
    <x v="0"/>
    <s v="Tables"/>
    <s v="Despite Tables"/>
    <n v="2914.49"/>
    <n v="5"/>
    <n v="0.2"/>
    <n v="502.87"/>
    <x v="0"/>
  </r>
  <r>
    <s v="ORD-10261"/>
    <d v="2023-06-07T00:00:00"/>
    <d v="2023-06-09T00:00:00"/>
    <s v="Melissa Murphy"/>
    <s v="Home Office"/>
    <x v="3"/>
    <x v="0"/>
    <s v="Bookcases"/>
    <s v="Generation Bookcases"/>
    <n v="355.7"/>
    <n v="9"/>
    <n v="0.2"/>
    <n v="-31.59"/>
    <x v="1"/>
  </r>
  <r>
    <s v="ORD-10595"/>
    <d v="2023-06-10T00:00:00"/>
    <d v="2023-06-11T00:00:00"/>
    <s v="Felicia Jones"/>
    <s v="Corporate"/>
    <x v="0"/>
    <x v="1"/>
    <s v="Binders"/>
    <s v="Quite Binders"/>
    <n v="2763.65"/>
    <n v="4"/>
    <n v="0.15"/>
    <n v="788.16"/>
    <x v="0"/>
  </r>
  <r>
    <s v="ORD-10288"/>
    <d v="2023-06-11T00:00:00"/>
    <d v="2023-06-12T00:00:00"/>
    <s v="Nicholas Castro"/>
    <s v="Consumer"/>
    <x v="0"/>
    <x v="0"/>
    <s v="Bookcases"/>
    <s v="Travel Bookcases"/>
    <n v="2643.52"/>
    <n v="2"/>
    <n v="0.2"/>
    <n v="-458.17"/>
    <x v="1"/>
  </r>
  <r>
    <s v="ORD-10143"/>
    <d v="2023-06-06T00:00:00"/>
    <d v="2023-06-15T00:00:00"/>
    <s v="Sharon Scott"/>
    <s v="Corporate"/>
    <x v="0"/>
    <x v="1"/>
    <s v="Binders"/>
    <s v="Goal Binders"/>
    <n v="1543.07"/>
    <n v="1"/>
    <n v="0"/>
    <n v="538.88"/>
    <x v="0"/>
  </r>
  <r>
    <s v="ORD-10682"/>
    <d v="2023-06-08T00:00:00"/>
    <d v="2023-06-15T00:00:00"/>
    <s v="David Logan"/>
    <s v="Home Office"/>
    <x v="1"/>
    <x v="2"/>
    <s v="Laptops"/>
    <s v="Yourself Laptops"/>
    <n v="2647"/>
    <n v="4"/>
    <n v="0.2"/>
    <n v="-444.69"/>
    <x v="1"/>
  </r>
  <r>
    <s v="ORD-10039"/>
    <d v="2023-06-10T00:00:00"/>
    <d v="2023-06-15T00:00:00"/>
    <s v="Rebecca Blake"/>
    <s v="Corporate"/>
    <x v="2"/>
    <x v="0"/>
    <s v="Bookcases"/>
    <s v="Throughout Bookcases"/>
    <n v="2551.77"/>
    <n v="5"/>
    <n v="0"/>
    <n v="-380.82"/>
    <x v="1"/>
  </r>
  <r>
    <s v="ORD-10734"/>
    <d v="2023-06-16T00:00:00"/>
    <d v="2023-06-17T00:00:00"/>
    <s v="Pamela Baxter"/>
    <s v="Home Office"/>
    <x v="3"/>
    <x v="2"/>
    <s v="Accessories"/>
    <s v="Director Accessories"/>
    <n v="3720.07"/>
    <n v="10"/>
    <n v="0.05"/>
    <n v="1118.1500000000001"/>
    <x v="0"/>
  </r>
  <r>
    <s v="ORD-10196"/>
    <d v="2023-06-11T00:00:00"/>
    <d v="2023-06-19T00:00:00"/>
    <s v="Julie Cummings"/>
    <s v="Consumer"/>
    <x v="1"/>
    <x v="1"/>
    <s v="Binders"/>
    <s v="Special Binders"/>
    <n v="4905.05"/>
    <n v="8"/>
    <n v="0.2"/>
    <n v="-489.26"/>
    <x v="1"/>
  </r>
  <r>
    <s v="ORD-10030"/>
    <d v="2023-06-11T00:00:00"/>
    <d v="2023-06-20T00:00:00"/>
    <s v="Daniel King"/>
    <s v="Consumer"/>
    <x v="1"/>
    <x v="2"/>
    <s v="Laptops"/>
    <s v="Themselves Laptops"/>
    <n v="3326.26"/>
    <n v="8"/>
    <n v="0.05"/>
    <n v="-317.83999999999997"/>
    <x v="1"/>
  </r>
  <r>
    <s v="ORD-10217"/>
    <d v="2023-06-21T00:00:00"/>
    <d v="2023-06-26T00:00:00"/>
    <s v="Andrew Maldonado"/>
    <s v="Home Office"/>
    <x v="3"/>
    <x v="1"/>
    <s v="Storage"/>
    <s v="Seven Storage"/>
    <n v="669.59"/>
    <n v="5"/>
    <n v="0.2"/>
    <n v="62.55"/>
    <x v="0"/>
  </r>
  <r>
    <s v="ORD-10576"/>
    <d v="2023-06-20T00:00:00"/>
    <d v="2023-06-27T00:00:00"/>
    <s v="Rachel Terry"/>
    <s v="Home Office"/>
    <x v="3"/>
    <x v="0"/>
    <s v="Bookcases"/>
    <s v="Institution Bookcases"/>
    <n v="4288.7299999999996"/>
    <n v="4"/>
    <n v="0.05"/>
    <n v="1029.3800000000001"/>
    <x v="0"/>
  </r>
  <r>
    <s v="ORD-10669"/>
    <d v="2023-06-21T00:00:00"/>
    <d v="2023-06-27T00:00:00"/>
    <s v="Jessica Ferguson"/>
    <s v="Home Office"/>
    <x v="3"/>
    <x v="2"/>
    <s v="Accessories"/>
    <s v="Until Accessories"/>
    <n v="2281.88"/>
    <n v="3"/>
    <n v="0.15"/>
    <n v="284.49"/>
    <x v="0"/>
  </r>
  <r>
    <s v="ORD-10344"/>
    <d v="2023-06-23T00:00:00"/>
    <d v="2023-06-30T00:00:00"/>
    <s v="Karen Snyder"/>
    <s v="Corporate"/>
    <x v="0"/>
    <x v="1"/>
    <s v="Binders"/>
    <s v="Close Binders"/>
    <n v="2602.29"/>
    <n v="5"/>
    <n v="0.2"/>
    <n v="819.68"/>
    <x v="0"/>
  </r>
  <r>
    <s v="ORD-10640"/>
    <d v="2023-06-22T00:00:00"/>
    <d v="2023-07-01T00:00:00"/>
    <s v="Sarah Walker"/>
    <s v="Corporate"/>
    <x v="1"/>
    <x v="1"/>
    <s v="Storage"/>
    <s v="Different Storage"/>
    <n v="1268.92"/>
    <n v="2"/>
    <n v="0.1"/>
    <n v="288.33"/>
    <x v="0"/>
  </r>
  <r>
    <s v="ORD-10072"/>
    <d v="2023-06-25T00:00:00"/>
    <d v="2023-07-03T00:00:00"/>
    <s v="Cristian Graham"/>
    <s v="Home Office"/>
    <x v="1"/>
    <x v="1"/>
    <s v="Binders"/>
    <s v="Back Binders"/>
    <n v="3512.35"/>
    <n v="6"/>
    <n v="0.05"/>
    <n v="467.99"/>
    <x v="0"/>
  </r>
  <r>
    <s v="ORD-10226"/>
    <d v="2023-06-27T00:00:00"/>
    <d v="2023-07-05T00:00:00"/>
    <s v="Derek Taylor"/>
    <s v="Consumer"/>
    <x v="3"/>
    <x v="2"/>
    <s v="Accessories"/>
    <s v="Mother Accessories"/>
    <n v="164.72"/>
    <n v="7"/>
    <n v="0.2"/>
    <n v="8.48"/>
    <x v="0"/>
  </r>
  <r>
    <s v="ORD-10346"/>
    <d v="2023-06-30T00:00:00"/>
    <d v="2023-07-07T00:00:00"/>
    <s v="Amber Wilson"/>
    <s v="Corporate"/>
    <x v="2"/>
    <x v="0"/>
    <s v="Bookcases"/>
    <s v="Third Bookcases"/>
    <n v="1128.26"/>
    <n v="7"/>
    <n v="0.05"/>
    <n v="81.34"/>
    <x v="0"/>
  </r>
  <r>
    <s v="ORD-10493"/>
    <d v="2023-07-02T00:00:00"/>
    <d v="2023-07-11T00:00:00"/>
    <s v="Jenna Walton"/>
    <s v="Consumer"/>
    <x v="0"/>
    <x v="1"/>
    <s v="Storage"/>
    <s v="You Storage"/>
    <n v="1465.34"/>
    <n v="7"/>
    <n v="0"/>
    <n v="128.22"/>
    <x v="0"/>
  </r>
  <r>
    <s v="ORD-10470"/>
    <d v="2023-07-04T00:00:00"/>
    <d v="2023-07-11T00:00:00"/>
    <s v="William Miller"/>
    <s v="Corporate"/>
    <x v="0"/>
    <x v="0"/>
    <s v="Tables"/>
    <s v="Feel Tables"/>
    <n v="4813.43"/>
    <n v="5"/>
    <n v="0.15"/>
    <n v="863.75"/>
    <x v="0"/>
  </r>
  <r>
    <s v="ORD-10185"/>
    <d v="2023-07-09T00:00:00"/>
    <d v="2023-07-12T00:00:00"/>
    <s v="Elizabeth Lutz"/>
    <s v="Consumer"/>
    <x v="3"/>
    <x v="2"/>
    <s v="Phones"/>
    <s v="Hard Phones"/>
    <n v="1400.32"/>
    <n v="9"/>
    <n v="0.05"/>
    <n v="359.99"/>
    <x v="0"/>
  </r>
  <r>
    <s v="ORD-10596"/>
    <d v="2023-07-06T00:00:00"/>
    <d v="2023-07-13T00:00:00"/>
    <s v="Robert Davis"/>
    <s v="Home Office"/>
    <x v="3"/>
    <x v="0"/>
    <s v="Chairs"/>
    <s v="Turn Chairs"/>
    <n v="4150.71"/>
    <n v="4"/>
    <n v="0.1"/>
    <n v="-649.30999999999995"/>
    <x v="1"/>
  </r>
  <r>
    <s v="ORD-10428"/>
    <d v="2023-07-11T00:00:00"/>
    <d v="2023-07-17T00:00:00"/>
    <s v="Sophia Hughes"/>
    <s v="Corporate"/>
    <x v="2"/>
    <x v="0"/>
    <s v="Tables"/>
    <s v="Effect Tables"/>
    <n v="3468.04"/>
    <n v="1"/>
    <n v="0.2"/>
    <n v="212.83"/>
    <x v="0"/>
  </r>
  <r>
    <s v="ORD-10200"/>
    <d v="2023-07-20T00:00:00"/>
    <d v="2023-07-23T00:00:00"/>
    <s v="Luis Pratt"/>
    <s v="Home Office"/>
    <x v="2"/>
    <x v="2"/>
    <s v="Accessories"/>
    <s v="Authority Accessories"/>
    <n v="2506.21"/>
    <n v="8"/>
    <n v="0.1"/>
    <n v="772.84"/>
    <x v="0"/>
  </r>
  <r>
    <s v="ORD-10191"/>
    <d v="2023-07-16T00:00:00"/>
    <d v="2023-07-24T00:00:00"/>
    <s v="Robert Martinez"/>
    <s v="Consumer"/>
    <x v="3"/>
    <x v="0"/>
    <s v="Chairs"/>
    <s v="Garden Chairs"/>
    <n v="3003.86"/>
    <n v="1"/>
    <n v="0.2"/>
    <n v="250.69"/>
    <x v="0"/>
  </r>
  <r>
    <s v="ORD-10574"/>
    <d v="2023-07-18T00:00:00"/>
    <d v="2023-07-24T00:00:00"/>
    <s v="Denise Romero"/>
    <s v="Corporate"/>
    <x v="2"/>
    <x v="1"/>
    <s v="Paper"/>
    <s v="Us Paper"/>
    <n v="960.37"/>
    <n v="7"/>
    <n v="0.05"/>
    <n v="29.29"/>
    <x v="0"/>
  </r>
  <r>
    <s v="ORD-10619"/>
    <d v="2023-07-16T00:00:00"/>
    <d v="2023-07-26T00:00:00"/>
    <s v="Derek Alvarado"/>
    <s v="Consumer"/>
    <x v="1"/>
    <x v="1"/>
    <s v="Storage"/>
    <s v="Anything Storage"/>
    <n v="1316.9"/>
    <n v="6"/>
    <n v="0.05"/>
    <n v="175.51"/>
    <x v="0"/>
  </r>
  <r>
    <s v="ORD-10571"/>
    <d v="2023-07-19T00:00:00"/>
    <d v="2023-07-26T00:00:00"/>
    <s v="Kimberly Griffith"/>
    <s v="Corporate"/>
    <x v="3"/>
    <x v="0"/>
    <s v="Bookcases"/>
    <s v="During Bookcases"/>
    <n v="2417.6799999999998"/>
    <n v="9"/>
    <n v="0"/>
    <n v="184.62"/>
    <x v="0"/>
  </r>
  <r>
    <s v="ORD-10484"/>
    <d v="2023-07-20T00:00:00"/>
    <d v="2023-07-27T00:00:00"/>
    <s v="Amy Lee"/>
    <s v="Corporate"/>
    <x v="3"/>
    <x v="0"/>
    <s v="Bookcases"/>
    <s v="Direction Bookcases"/>
    <n v="579.46"/>
    <n v="10"/>
    <n v="0.05"/>
    <n v="-56.12"/>
    <x v="1"/>
  </r>
  <r>
    <s v="ORD-10437"/>
    <d v="2023-07-23T00:00:00"/>
    <d v="2023-07-27T00:00:00"/>
    <s v="David Sanford"/>
    <s v="Consumer"/>
    <x v="1"/>
    <x v="0"/>
    <s v="Bookcases"/>
    <s v="Candidate Bookcases"/>
    <n v="3404.59"/>
    <n v="5"/>
    <n v="0.2"/>
    <n v="85.89"/>
    <x v="0"/>
  </r>
  <r>
    <s v="ORD-10673"/>
    <d v="2023-07-24T00:00:00"/>
    <d v="2023-07-27T00:00:00"/>
    <s v="Lauren Bentley"/>
    <s v="Home Office"/>
    <x v="0"/>
    <x v="0"/>
    <s v="Chairs"/>
    <s v="Forget Chairs"/>
    <n v="3857.33"/>
    <n v="1"/>
    <n v="0.15"/>
    <n v="-117.9"/>
    <x v="1"/>
  </r>
  <r>
    <s v="ORD-10213"/>
    <d v="2023-07-26T00:00:00"/>
    <d v="2023-07-28T00:00:00"/>
    <s v="Bryan Lara"/>
    <s v="Corporate"/>
    <x v="1"/>
    <x v="1"/>
    <s v="Binders"/>
    <s v="Positive Binders"/>
    <n v="1580.99"/>
    <n v="8"/>
    <n v="0.2"/>
    <n v="41.01"/>
    <x v="0"/>
  </r>
  <r>
    <s v="ORD-10422"/>
    <d v="2023-07-26T00:00:00"/>
    <d v="2023-07-29T00:00:00"/>
    <s v="Erin Williams"/>
    <s v="Consumer"/>
    <x v="1"/>
    <x v="0"/>
    <s v="Tables"/>
    <s v="Real Tables"/>
    <n v="4747.8500000000004"/>
    <n v="3"/>
    <n v="0.05"/>
    <n v="1161.58"/>
    <x v="0"/>
  </r>
  <r>
    <s v="ORD-10137"/>
    <d v="2023-07-24T00:00:00"/>
    <d v="2023-07-30T00:00:00"/>
    <s v="Alice Villanueva"/>
    <s v="Corporate"/>
    <x v="1"/>
    <x v="1"/>
    <s v="Storage"/>
    <s v="Site Storage"/>
    <n v="349.72"/>
    <n v="5"/>
    <n v="0.05"/>
    <n v="116.29"/>
    <x v="0"/>
  </r>
  <r>
    <s v="ORD-10643"/>
    <d v="2023-07-27T00:00:00"/>
    <d v="2023-08-02T00:00:00"/>
    <s v="Jason Williams"/>
    <s v="Home Office"/>
    <x v="3"/>
    <x v="0"/>
    <s v="Bookcases"/>
    <s v="Such Bookcases"/>
    <n v="822.16"/>
    <n v="2"/>
    <n v="0"/>
    <n v="170"/>
    <x v="0"/>
  </r>
  <r>
    <s v="ORD-10067"/>
    <d v="2023-07-27T00:00:00"/>
    <d v="2023-08-06T00:00:00"/>
    <s v="Christina Henry"/>
    <s v="Consumer"/>
    <x v="1"/>
    <x v="2"/>
    <s v="Phones"/>
    <s v="Moment Phones"/>
    <n v="2693.91"/>
    <n v="7"/>
    <n v="0.2"/>
    <n v="297.45"/>
    <x v="0"/>
  </r>
  <r>
    <s v="ORD-10258"/>
    <d v="2023-08-03T00:00:00"/>
    <d v="2023-08-08T00:00:00"/>
    <s v="Dawn Hill"/>
    <s v="Corporate"/>
    <x v="3"/>
    <x v="1"/>
    <s v="Binders"/>
    <s v="Ability Binders"/>
    <n v="1869.34"/>
    <n v="4"/>
    <n v="0.05"/>
    <n v="610.42999999999995"/>
    <x v="0"/>
  </r>
  <r>
    <s v="ORD-10085"/>
    <d v="2023-07-31T00:00:00"/>
    <d v="2023-08-09T00:00:00"/>
    <s v="Brittany Bradley"/>
    <s v="Corporate"/>
    <x v="2"/>
    <x v="0"/>
    <s v="Bookcases"/>
    <s v="Adult Bookcases"/>
    <n v="4756.84"/>
    <n v="3"/>
    <n v="0.05"/>
    <n v="-385.25"/>
    <x v="1"/>
  </r>
  <r>
    <s v="ORD-10420"/>
    <d v="2023-08-03T00:00:00"/>
    <d v="2023-08-12T00:00:00"/>
    <s v="Frances Wallace"/>
    <s v="Home Office"/>
    <x v="0"/>
    <x v="1"/>
    <s v="Binders"/>
    <s v="Plan Binders"/>
    <n v="351.87"/>
    <n v="7"/>
    <n v="0.2"/>
    <n v="10.64"/>
    <x v="0"/>
  </r>
  <r>
    <s v="ORD-10260"/>
    <d v="2023-08-04T00:00:00"/>
    <d v="2023-08-14T00:00:00"/>
    <s v="John Johnson"/>
    <s v="Home Office"/>
    <x v="2"/>
    <x v="0"/>
    <s v="Bookcases"/>
    <s v="Option Bookcases"/>
    <n v="4372.0200000000004"/>
    <n v="2"/>
    <n v="0.2"/>
    <n v="199.85"/>
    <x v="0"/>
  </r>
  <r>
    <s v="ORD-10406"/>
    <d v="2023-08-12T00:00:00"/>
    <d v="2023-08-14T00:00:00"/>
    <s v="Richard Robinson"/>
    <s v="Consumer"/>
    <x v="2"/>
    <x v="0"/>
    <s v="Tables"/>
    <s v="Pretty Tables"/>
    <n v="1228.08"/>
    <n v="6"/>
    <n v="0.05"/>
    <n v="184.09"/>
    <x v="0"/>
  </r>
  <r>
    <s v="ORD-10069"/>
    <d v="2023-08-10T00:00:00"/>
    <d v="2023-08-16T00:00:00"/>
    <s v="Daniel Williamson"/>
    <s v="Corporate"/>
    <x v="2"/>
    <x v="2"/>
    <s v="Accessories"/>
    <s v="By Accessories"/>
    <n v="3818.09"/>
    <n v="7"/>
    <n v="0.1"/>
    <n v="815.56"/>
    <x v="0"/>
  </r>
  <r>
    <s v="ORD-10125"/>
    <d v="2023-08-09T00:00:00"/>
    <d v="2023-08-17T00:00:00"/>
    <s v="Travis Perkins"/>
    <s v="Corporate"/>
    <x v="3"/>
    <x v="1"/>
    <s v="Storage"/>
    <s v="Son Storage"/>
    <n v="4172.55"/>
    <n v="5"/>
    <n v="0.05"/>
    <n v="558.64"/>
    <x v="0"/>
  </r>
  <r>
    <s v="ORD-10198"/>
    <d v="2023-08-09T00:00:00"/>
    <d v="2023-08-18T00:00:00"/>
    <s v="Carrie Sullivan"/>
    <s v="Corporate"/>
    <x v="1"/>
    <x v="1"/>
    <s v="Paper"/>
    <s v="System Paper"/>
    <n v="2393.33"/>
    <n v="1"/>
    <n v="0.2"/>
    <n v="-227.11"/>
    <x v="1"/>
  </r>
  <r>
    <s v="ORD-10389"/>
    <d v="2023-08-14T00:00:00"/>
    <d v="2023-08-22T00:00:00"/>
    <s v="Annette Butler"/>
    <s v="Consumer"/>
    <x v="2"/>
    <x v="1"/>
    <s v="Paper"/>
    <s v="Matter Paper"/>
    <n v="195.94"/>
    <n v="7"/>
    <n v="0.05"/>
    <n v="-1.04"/>
    <x v="1"/>
  </r>
  <r>
    <s v="ORD-10500"/>
    <d v="2023-08-16T00:00:00"/>
    <d v="2023-08-23T00:00:00"/>
    <s v="Brandy Vega"/>
    <s v="Corporate"/>
    <x v="1"/>
    <x v="2"/>
    <s v="Phones"/>
    <s v="Memory Phones"/>
    <n v="1431.61"/>
    <n v="5"/>
    <n v="0.05"/>
    <n v="-159.61000000000001"/>
    <x v="1"/>
  </r>
  <r>
    <s v="ORD-10282"/>
    <d v="2023-08-19T00:00:00"/>
    <d v="2023-08-23T00:00:00"/>
    <s v="Unknown"/>
    <s v="Corporate"/>
    <x v="0"/>
    <x v="1"/>
    <s v="Storage"/>
    <s v="Trip Storage"/>
    <n v="2013.33"/>
    <n v="4"/>
    <n v="0.2"/>
    <n v="-46.53"/>
    <x v="1"/>
  </r>
  <r>
    <s v="ORD-10383"/>
    <d v="2023-08-14T00:00:00"/>
    <d v="2023-08-24T00:00:00"/>
    <s v="Eric Sherman"/>
    <s v="Consumer"/>
    <x v="2"/>
    <x v="1"/>
    <s v="Storage"/>
    <s v="Easy Storage"/>
    <n v="249.63"/>
    <n v="6"/>
    <n v="0.05"/>
    <n v="-37.4"/>
    <x v="1"/>
  </r>
  <r>
    <s v="ORD-10496"/>
    <d v="2023-08-17T00:00:00"/>
    <d v="2023-08-26T00:00:00"/>
    <s v="Lindsey Moore"/>
    <s v="Home Office"/>
    <x v="1"/>
    <x v="1"/>
    <s v="Storage"/>
    <s v="Cost Storage"/>
    <n v="1974.99"/>
    <n v="9"/>
    <n v="0.2"/>
    <n v="-82.55"/>
    <x v="1"/>
  </r>
  <r>
    <s v="ORD-10585"/>
    <d v="2023-08-19T00:00:00"/>
    <d v="2023-08-26T00:00:00"/>
    <s v="Justin Pennington"/>
    <s v="Home Office"/>
    <x v="0"/>
    <x v="1"/>
    <s v="Storage"/>
    <s v="Difficult Storage"/>
    <n v="1392.68"/>
    <n v="8"/>
    <n v="0.1"/>
    <n v="294.33"/>
    <x v="0"/>
  </r>
  <r>
    <s v="ORD-10456"/>
    <d v="2023-08-21T00:00:00"/>
    <d v="2023-08-26T00:00:00"/>
    <s v="Jeremy Johnson"/>
    <s v="Home Office"/>
    <x v="2"/>
    <x v="0"/>
    <s v="Chairs"/>
    <s v="Attack Chairs"/>
    <n v="4744.8900000000003"/>
    <n v="8"/>
    <n v="0.2"/>
    <n v="408.81"/>
    <x v="0"/>
  </r>
  <r>
    <s v="ORD-10155"/>
    <d v="2023-08-21T00:00:00"/>
    <d v="2023-08-30T00:00:00"/>
    <s v="Ryan Johnson"/>
    <s v="Corporate"/>
    <x v="2"/>
    <x v="0"/>
    <s v="Bookcases"/>
    <s v="Firm Bookcases"/>
    <n v="1114.9100000000001"/>
    <n v="7"/>
    <n v="0.15"/>
    <n v="-13.94"/>
    <x v="1"/>
  </r>
  <r>
    <s v="ORD-10536"/>
    <d v="2023-08-27T00:00:00"/>
    <d v="2023-09-02T00:00:00"/>
    <s v="Diana Martin"/>
    <s v="Corporate"/>
    <x v="1"/>
    <x v="0"/>
    <s v="Chairs"/>
    <s v="Understand Chairs"/>
    <n v="3030"/>
    <n v="2"/>
    <n v="0.2"/>
    <n v="-222.13"/>
    <x v="1"/>
  </r>
  <r>
    <s v="ORD-10639"/>
    <d v="2023-08-30T00:00:00"/>
    <d v="2023-09-02T00:00:00"/>
    <s v="Kayla Cook"/>
    <s v="Corporate"/>
    <x v="3"/>
    <x v="1"/>
    <s v="Paper"/>
    <s v="Throw Paper"/>
    <n v="3822.06"/>
    <n v="8"/>
    <n v="0.2"/>
    <n v="-347.96"/>
    <x v="1"/>
  </r>
  <r>
    <s v="ORD-10358"/>
    <d v="2023-08-30T00:00:00"/>
    <d v="2023-09-03T00:00:00"/>
    <s v="Unknown"/>
    <s v="Home Office"/>
    <x v="1"/>
    <x v="1"/>
    <s v="Binders"/>
    <s v="Thing Binders"/>
    <n v="2499.69"/>
    <n v="2"/>
    <n v="0.05"/>
    <n v="186.9"/>
    <x v="0"/>
  </r>
  <r>
    <s v="ORD-10622"/>
    <d v="2023-08-30T00:00:00"/>
    <d v="2023-09-03T00:00:00"/>
    <s v="Jillian Lawrence"/>
    <s v="Home Office"/>
    <x v="0"/>
    <x v="2"/>
    <s v="Phones"/>
    <s v="Couple Phones"/>
    <n v="4804.8999999999996"/>
    <n v="2"/>
    <n v="0"/>
    <n v="955.43"/>
    <x v="0"/>
  </r>
  <r>
    <s v="ORD-10108"/>
    <d v="2023-08-31T00:00:00"/>
    <d v="2023-09-05T00:00:00"/>
    <s v="Dawn Lee"/>
    <s v="Home Office"/>
    <x v="3"/>
    <x v="1"/>
    <s v="Storage"/>
    <s v="Task Storage"/>
    <n v="2106.6799999999998"/>
    <n v="8"/>
    <n v="0.15"/>
    <n v="-138.93"/>
    <x v="1"/>
  </r>
  <r>
    <s v="ORD-10115"/>
    <d v="2023-08-31T00:00:00"/>
    <d v="2023-09-05T00:00:00"/>
    <s v="Andrew Gardner"/>
    <s v="Corporate"/>
    <x v="0"/>
    <x v="0"/>
    <s v="Tables"/>
    <s v="Collection Tables"/>
    <n v="1725.88"/>
    <n v="7"/>
    <n v="0.2"/>
    <n v="-268.94"/>
    <x v="1"/>
  </r>
  <r>
    <s v="ORD-10599"/>
    <d v="2023-09-05T00:00:00"/>
    <d v="2023-09-06T00:00:00"/>
    <s v="Raymond Jenkins"/>
    <s v="Consumer"/>
    <x v="2"/>
    <x v="0"/>
    <s v="Tables"/>
    <s v="Above Tables"/>
    <n v="803.14"/>
    <n v="9"/>
    <n v="0"/>
    <n v="-78.489999999999995"/>
    <x v="1"/>
  </r>
  <r>
    <s v="ORD-10447"/>
    <d v="2023-09-04T00:00:00"/>
    <d v="2023-09-08T00:00:00"/>
    <s v="Kerry Payne"/>
    <s v="Corporate"/>
    <x v="2"/>
    <x v="1"/>
    <s v="Binders"/>
    <s v="Answer Binders"/>
    <n v="1808.65"/>
    <n v="5"/>
    <n v="0.15"/>
    <n v="422.23"/>
    <x v="0"/>
  </r>
  <r>
    <s v="ORD-10001"/>
    <d v="2023-09-08T00:00:00"/>
    <d v="2023-09-09T00:00:00"/>
    <s v="Traci Sanchez"/>
    <s v="Consumer"/>
    <x v="1"/>
    <x v="1"/>
    <s v="Binders"/>
    <s v="Happy Binders"/>
    <n v="3720.67"/>
    <n v="4"/>
    <n v="0.05"/>
    <n v="-458.59"/>
    <x v="1"/>
  </r>
  <r>
    <s v="ORD-10587"/>
    <d v="2023-09-04T00:00:00"/>
    <d v="2023-09-11T00:00:00"/>
    <s v="David Pace"/>
    <s v="Consumer"/>
    <x v="0"/>
    <x v="0"/>
    <s v="Chairs"/>
    <s v="Executive Chairs"/>
    <n v="559.9"/>
    <n v="2"/>
    <n v="0.15"/>
    <n v="56.91"/>
    <x v="0"/>
  </r>
  <r>
    <s v="ORD-10238"/>
    <d v="2023-09-10T00:00:00"/>
    <d v="2023-09-11T00:00:00"/>
    <s v="Morgan Jones"/>
    <s v="Corporate"/>
    <x v="0"/>
    <x v="1"/>
    <s v="Binders"/>
    <s v="Article Binders"/>
    <n v="2884.22"/>
    <n v="2"/>
    <n v="0.05"/>
    <n v="-546.79999999999995"/>
    <x v="1"/>
  </r>
  <r>
    <s v="ORD-10283"/>
    <d v="2023-09-07T00:00:00"/>
    <d v="2023-09-13T00:00:00"/>
    <s v="Christopher Silva"/>
    <s v="Home Office"/>
    <x v="1"/>
    <x v="2"/>
    <s v="Laptops"/>
    <s v="Yard Laptops"/>
    <n v="1576.69"/>
    <n v="6"/>
    <n v="0.2"/>
    <n v="450.22"/>
    <x v="0"/>
  </r>
  <r>
    <s v="ORD-10572"/>
    <d v="2023-09-05T00:00:00"/>
    <d v="2023-09-14T00:00:00"/>
    <s v="Anthony Rose"/>
    <s v="Corporate"/>
    <x v="1"/>
    <x v="2"/>
    <s v="Phones"/>
    <s v="Early Phones"/>
    <n v="2327.35"/>
    <n v="1"/>
    <n v="0"/>
    <n v="397.41"/>
    <x v="0"/>
  </r>
  <r>
    <s v="ORD-10369"/>
    <d v="2023-09-14T00:00:00"/>
    <d v="2023-09-16T00:00:00"/>
    <s v="Elizabeth Park"/>
    <s v="Consumer"/>
    <x v="3"/>
    <x v="0"/>
    <s v="Bookcases"/>
    <s v="Thank Bookcases"/>
    <n v="1180.5999999999999"/>
    <n v="9"/>
    <n v="0"/>
    <n v="-207.52"/>
    <x v="1"/>
  </r>
  <r>
    <s v="ORD-10187"/>
    <s v="15-09-2023"/>
    <d v="2023-09-16T00:00:00"/>
    <s v="Phyllis Arnold"/>
    <s v="Consumer"/>
    <x v="3"/>
    <x v="2"/>
    <s v="Phones"/>
    <s v="Not Phones"/>
    <n v="1627.49"/>
    <n v="2"/>
    <n v="0.2"/>
    <n v="256.29000000000002"/>
    <x v="0"/>
  </r>
  <r>
    <s v="ORD-10222"/>
    <d v="2023-09-15T00:00:00"/>
    <d v="2023-09-19T00:00:00"/>
    <s v="Tiffany Young"/>
    <s v="Corporate"/>
    <x v="2"/>
    <x v="2"/>
    <s v="Accessories"/>
    <s v="Specific Accessories"/>
    <n v="1733.95"/>
    <n v="3"/>
    <n v="0.1"/>
    <n v="474.78"/>
    <x v="0"/>
  </r>
  <r>
    <s v="ORD-10414"/>
    <d v="2023-09-15T00:00:00"/>
    <d v="2023-09-20T00:00:00"/>
    <s v="Kyle Sandoval"/>
    <s v="Corporate"/>
    <x v="3"/>
    <x v="1"/>
    <s v="Paper"/>
    <s v="Example Paper"/>
    <n v="1225.8599999999999"/>
    <n v="1"/>
    <n v="0.15"/>
    <n v="140.33000000000001"/>
    <x v="0"/>
  </r>
  <r>
    <s v="ORD-10287"/>
    <d v="2023-09-13T00:00:00"/>
    <d v="2023-09-21T00:00:00"/>
    <s v="Amanda Jones"/>
    <s v="Home Office"/>
    <x v="0"/>
    <x v="2"/>
    <s v="Accessories"/>
    <s v="Skill Accessories"/>
    <n v="2331.1"/>
    <n v="6"/>
    <n v="0.05"/>
    <n v="-286.77999999999997"/>
    <x v="1"/>
  </r>
  <r>
    <s v="ORD-10332"/>
    <d v="2023-09-15T00:00:00"/>
    <d v="2023-09-23T00:00:00"/>
    <s v="Danielle Morgan"/>
    <s v="Home Office"/>
    <x v="1"/>
    <x v="1"/>
    <s v="Binders"/>
    <s v="Difference Binders"/>
    <n v="1479.73"/>
    <n v="3"/>
    <n v="0.1"/>
    <n v="389.3"/>
    <x v="0"/>
  </r>
  <r>
    <s v="ORD-10062"/>
    <d v="2023-09-21T00:00:00"/>
    <d v="2023-09-23T00:00:00"/>
    <s v="John Potts"/>
    <s v="Home Office"/>
    <x v="3"/>
    <x v="2"/>
    <s v="Laptops"/>
    <s v="Shake Laptops"/>
    <n v="734.95"/>
    <n v="4"/>
    <n v="0.15"/>
    <n v="133.52000000000001"/>
    <x v="0"/>
  </r>
  <r>
    <s v="ORD-10270"/>
    <d v="2023-09-22T00:00:00"/>
    <d v="2023-09-24T00:00:00"/>
    <s v="Robert Benitez"/>
    <s v="Consumer"/>
    <x v="3"/>
    <x v="2"/>
    <s v="Phones"/>
    <s v="Environmental Phones"/>
    <n v="209.48"/>
    <n v="7"/>
    <n v="0.2"/>
    <n v="46.36"/>
    <x v="0"/>
  </r>
  <r>
    <s v="ORD-10077"/>
    <s v="17-09-2023"/>
    <d v="2023-09-26T00:00:00"/>
    <s v="William Gonzalez"/>
    <s v="Home Office"/>
    <x v="0"/>
    <x v="2"/>
    <s v="Phones"/>
    <s v="Type Phones"/>
    <n v="4829.09"/>
    <n v="5"/>
    <n v="0.2"/>
    <n v="1180.76"/>
    <x v="0"/>
  </r>
  <r>
    <s v="ORD-10359"/>
    <d v="2023-09-22T00:00:00"/>
    <d v="2023-09-28T00:00:00"/>
    <s v="Joshua Costa"/>
    <s v="Home Office"/>
    <x v="0"/>
    <x v="1"/>
    <s v="Binders"/>
    <s v="End Binders"/>
    <n v="4672.93"/>
    <n v="3"/>
    <n v="0.15"/>
    <n v="1277.8"/>
    <x v="0"/>
  </r>
  <r>
    <s v="ORD-10251"/>
    <d v="2023-09-25T00:00:00"/>
    <d v="2023-09-30T00:00:00"/>
    <s v="Unknown"/>
    <s v="Home Office"/>
    <x v="0"/>
    <x v="0"/>
    <s v="Chairs"/>
    <s v="Marriage Chairs"/>
    <n v="2861.41"/>
    <n v="2"/>
    <n v="0.1"/>
    <n v="-124.45"/>
    <x v="1"/>
  </r>
  <r>
    <s v="ORD-10601"/>
    <d v="2023-09-26T00:00:00"/>
    <d v="2023-10-01T00:00:00"/>
    <s v="Andrea Sandoval"/>
    <s v="Consumer"/>
    <x v="2"/>
    <x v="2"/>
    <s v="Accessories"/>
    <s v="Rock Accessories"/>
    <n v="3939.34"/>
    <n v="8"/>
    <n v="0.1"/>
    <n v="216.77"/>
    <x v="0"/>
  </r>
  <r>
    <s v="ORD-10156"/>
    <d v="2023-09-22T00:00:00"/>
    <d v="2023-10-02T00:00:00"/>
    <s v="Unknown"/>
    <s v="Home Office"/>
    <x v="1"/>
    <x v="1"/>
    <s v="Paper"/>
    <s v="Able Paper"/>
    <n v="3001.31"/>
    <n v="1"/>
    <n v="0.05"/>
    <n v="-340.42"/>
    <x v="1"/>
  </r>
  <r>
    <s v="ORD-10354"/>
    <d v="2023-09-23T00:00:00"/>
    <d v="2023-10-03T00:00:00"/>
    <s v="Christopher Kim"/>
    <s v="Consumer"/>
    <x v="0"/>
    <x v="0"/>
    <s v="Bookcases"/>
    <s v="Agency Bookcases"/>
    <n v="91.95"/>
    <n v="3"/>
    <n v="0.15"/>
    <n v="-0.63"/>
    <x v="1"/>
  </r>
  <r>
    <s v="ORD-10182"/>
    <d v="2023-09-29T00:00:00"/>
    <d v="2023-10-03T00:00:00"/>
    <s v="Justin Jones"/>
    <s v="Home Office"/>
    <x v="0"/>
    <x v="0"/>
    <s v="Bookcases"/>
    <s v="Best Bookcases"/>
    <n v="1581.87"/>
    <n v="8"/>
    <n v="0.05"/>
    <n v="3.66"/>
    <x v="0"/>
  </r>
  <r>
    <s v="ORD-10223"/>
    <d v="2023-09-28T00:00:00"/>
    <d v="2023-10-04T00:00:00"/>
    <s v="Scott Miller"/>
    <s v="Consumer"/>
    <x v="2"/>
    <x v="2"/>
    <s v="Phones"/>
    <s v="Until Phones"/>
    <n v="2599.15"/>
    <n v="2"/>
    <n v="0.1"/>
    <n v="-174.26"/>
    <x v="1"/>
  </r>
  <r>
    <s v="ORD-10509"/>
    <d v="2023-09-26T00:00:00"/>
    <d v="2023-10-05T00:00:00"/>
    <s v="Stephanie Howard"/>
    <s v="Consumer"/>
    <x v="3"/>
    <x v="0"/>
    <s v="Chairs"/>
    <s v="Fight Chairs"/>
    <n v="4152.3100000000004"/>
    <n v="7"/>
    <n v="0.2"/>
    <n v="1034.82"/>
    <x v="0"/>
  </r>
  <r>
    <s v="ORD-10429"/>
    <d v="2023-09-30T00:00:00"/>
    <d v="2023-10-05T00:00:00"/>
    <s v="Michelle Hudson"/>
    <s v="Consumer"/>
    <x v="3"/>
    <x v="0"/>
    <s v="Tables"/>
    <s v="Still Tables"/>
    <n v="1589.2"/>
    <n v="8"/>
    <n v="0.2"/>
    <n v="280.76"/>
    <x v="0"/>
  </r>
  <r>
    <s v="ORD-10560"/>
    <d v="2023-10-02T00:00:00"/>
    <d v="2023-10-07T00:00:00"/>
    <s v="Thomas Nash"/>
    <s v="Corporate"/>
    <x v="3"/>
    <x v="0"/>
    <s v="Bookcases"/>
    <s v="Later Bookcases"/>
    <n v="3644.39"/>
    <n v="9"/>
    <n v="0.2"/>
    <n v="-31.15"/>
    <x v="1"/>
  </r>
  <r>
    <s v="ORD-10614"/>
    <d v="2023-10-02T00:00:00"/>
    <d v="2023-10-07T00:00:00"/>
    <s v="Mr. Michael Blake"/>
    <s v="Home Office"/>
    <x v="0"/>
    <x v="2"/>
    <s v="Accessories"/>
    <s v="Focus Accessories"/>
    <n v="2730.95"/>
    <n v="8"/>
    <n v="0"/>
    <n v="619.26"/>
    <x v="0"/>
  </r>
  <r>
    <s v="ORD-10497"/>
    <d v="2023-10-02T00:00:00"/>
    <d v="2023-10-09T00:00:00"/>
    <s v="Anne Cooper"/>
    <s v="Home Office"/>
    <x v="2"/>
    <x v="2"/>
    <s v="Accessories"/>
    <s v="Church Accessories"/>
    <n v="4785.67"/>
    <n v="6"/>
    <n v="0.2"/>
    <n v="-815.52"/>
    <x v="1"/>
  </r>
  <r>
    <s v="ORD-10544"/>
    <d v="2023-09-30T00:00:00"/>
    <d v="2023-10-10T00:00:00"/>
    <s v="Ashley Warren"/>
    <s v="Consumer"/>
    <x v="0"/>
    <x v="0"/>
    <s v="Tables"/>
    <s v="Impact Tables"/>
    <n v="3019.08"/>
    <n v="9"/>
    <n v="0.2"/>
    <n v="645.51"/>
    <x v="0"/>
  </r>
  <r>
    <s v="ORD-10157"/>
    <d v="2023-10-06T00:00:00"/>
    <d v="2023-10-11T00:00:00"/>
    <s v="Amber Reyes"/>
    <s v="Corporate"/>
    <x v="2"/>
    <x v="1"/>
    <s v="Binders"/>
    <s v="Go Binders"/>
    <n v="2243.41"/>
    <n v="7"/>
    <n v="0.15"/>
    <n v="300.37"/>
    <x v="0"/>
  </r>
  <r>
    <s v="ORD-10255"/>
    <d v="2023-10-09T00:00:00"/>
    <d v="2023-10-17T00:00:00"/>
    <s v="Mrs. Jessica Padilla Dds"/>
    <s v="Consumer"/>
    <x v="0"/>
    <x v="0"/>
    <s v="Chairs"/>
    <s v="Some Chairs"/>
    <n v="1651.83"/>
    <n v="4"/>
    <n v="0"/>
    <n v="-93.44"/>
    <x v="1"/>
  </r>
  <r>
    <s v="ORD-10105"/>
    <d v="2023-10-14T00:00:00"/>
    <d v="2023-10-19T00:00:00"/>
    <s v="Robert Rice"/>
    <s v="Corporate"/>
    <x v="0"/>
    <x v="0"/>
    <s v="Chairs"/>
    <s v="Manager Chairs"/>
    <n v="2768.64"/>
    <n v="5"/>
    <n v="0.15"/>
    <n v="787.58"/>
    <x v="0"/>
  </r>
  <r>
    <s v="ORD-10273"/>
    <d v="2023-10-15T00:00:00"/>
    <d v="2023-10-19T00:00:00"/>
    <s v="Stephen Nguyen"/>
    <s v="Home Office"/>
    <x v="2"/>
    <x v="1"/>
    <s v="Paper"/>
    <s v="Interesting Paper"/>
    <n v="4088.14"/>
    <n v="10"/>
    <n v="0.1"/>
    <n v="480.81"/>
    <x v="0"/>
  </r>
  <r>
    <s v="ORD-10519"/>
    <d v="2023-10-18T00:00:00"/>
    <d v="2023-10-20T00:00:00"/>
    <s v="Shelley Smith"/>
    <s v="Home Office"/>
    <x v="0"/>
    <x v="1"/>
    <s v="Storage"/>
    <s v="Age Storage"/>
    <n v="1488.73"/>
    <n v="2"/>
    <n v="0.1"/>
    <n v="-217.34"/>
    <x v="1"/>
  </r>
  <r>
    <s v="ORD-10151"/>
    <d v="2023-10-11T00:00:00"/>
    <d v="2023-10-21T00:00:00"/>
    <s v="Sheryl Davenport"/>
    <s v="Consumer"/>
    <x v="2"/>
    <x v="2"/>
    <s v="Phones"/>
    <s v="Our Phones"/>
    <n v="2561.69"/>
    <n v="3"/>
    <n v="0.2"/>
    <n v="167.03"/>
    <x v="0"/>
  </r>
  <r>
    <s v="ORD-10386"/>
    <d v="2023-10-18T00:00:00"/>
    <d v="2023-10-22T00:00:00"/>
    <s v="Jeremy Parrish"/>
    <s v="Home Office"/>
    <x v="1"/>
    <x v="0"/>
    <s v="Chairs"/>
    <s v="Month Chairs"/>
    <n v="697.04"/>
    <n v="7"/>
    <n v="0.1"/>
    <n v="123.69"/>
    <x v="0"/>
  </r>
  <r>
    <s v="ORD-10677"/>
    <d v="2023-10-14T00:00:00"/>
    <d v="2023-10-24T00:00:00"/>
    <s v="Brenda Hebert"/>
    <s v="Consumer"/>
    <x v="2"/>
    <x v="1"/>
    <s v="Paper"/>
    <s v="Even Paper"/>
    <n v="3161.75"/>
    <n v="4"/>
    <n v="0"/>
    <n v="-310.92"/>
    <x v="1"/>
  </r>
  <r>
    <s v="ORD-10015"/>
    <d v="2023-10-15T00:00:00"/>
    <d v="2023-10-24T00:00:00"/>
    <s v="Patrick Horn"/>
    <s v="Home Office"/>
    <x v="2"/>
    <x v="1"/>
    <s v="Paper"/>
    <s v="Tough Paper"/>
    <n v="4310.8599999999997"/>
    <n v="1"/>
    <n v="0.2"/>
    <n v="846.64"/>
    <x v="0"/>
  </r>
  <r>
    <s v="ORD-10259"/>
    <d v="2023-10-16T00:00:00"/>
    <d v="2023-10-26T00:00:00"/>
    <s v="Ricky Mora"/>
    <s v="Home Office"/>
    <x v="3"/>
    <x v="2"/>
    <s v="Laptops"/>
    <s v="Do Laptops"/>
    <n v="1899.44"/>
    <n v="9"/>
    <n v="0.15"/>
    <n v="411.31"/>
    <x v="0"/>
  </r>
  <r>
    <s v="ORD-10561"/>
    <d v="2023-10-20T00:00:00"/>
    <d v="2023-10-28T00:00:00"/>
    <s v="Brenda Davis"/>
    <s v="Corporate"/>
    <x v="1"/>
    <x v="1"/>
    <s v="Binders"/>
    <s v="Street Binders"/>
    <n v="4652.08"/>
    <n v="10"/>
    <n v="0"/>
    <n v="-262.33"/>
    <x v="1"/>
  </r>
  <r>
    <s v="ORD-10506"/>
    <d v="2023-10-21T00:00:00"/>
    <d v="2023-10-28T00:00:00"/>
    <s v="Mary Stewart"/>
    <s v="Corporate"/>
    <x v="0"/>
    <x v="2"/>
    <s v="Phones"/>
    <s v="Relate Phones"/>
    <n v="1320.12"/>
    <n v="5"/>
    <n v="0"/>
    <n v="397.67"/>
    <x v="0"/>
  </r>
  <r>
    <s v="ORD-10475"/>
    <d v="2023-10-23T00:00:00"/>
    <d v="2023-11-02T00:00:00"/>
    <s v="Amanda French"/>
    <s v="Home Office"/>
    <x v="0"/>
    <x v="1"/>
    <s v="Storage"/>
    <s v="See Storage"/>
    <n v="521.45000000000005"/>
    <n v="4"/>
    <n v="0.15"/>
    <n v="-5.13"/>
    <x v="1"/>
  </r>
  <r>
    <s v="ORD-10451"/>
    <d v="2023-10-29T00:00:00"/>
    <d v="2023-11-04T00:00:00"/>
    <s v="Matthew Nguyen"/>
    <s v="Consumer"/>
    <x v="0"/>
    <x v="0"/>
    <s v="Tables"/>
    <s v="Way Tables"/>
    <n v="3173.61"/>
    <n v="3"/>
    <n v="0.1"/>
    <n v="472.79"/>
    <x v="0"/>
  </r>
  <r>
    <s v="ORD-10046"/>
    <d v="2023-10-31T00:00:00"/>
    <d v="2023-11-04T00:00:00"/>
    <s v="Christina Cooper"/>
    <s v="Consumer"/>
    <x v="2"/>
    <x v="2"/>
    <s v="Phones"/>
    <s v="Live Phones"/>
    <n v="167.14"/>
    <n v="4"/>
    <n v="0.15"/>
    <n v="-3.25"/>
    <x v="1"/>
  </r>
  <r>
    <s v="ORD-10128"/>
    <d v="2023-11-02T00:00:00"/>
    <d v="2023-11-05T00:00:00"/>
    <s v="Curtis Morris"/>
    <s v="Corporate"/>
    <x v="3"/>
    <x v="0"/>
    <s v="Chairs"/>
    <s v="Song Chairs"/>
    <n v="3943.24"/>
    <n v="6"/>
    <n v="0.2"/>
    <n v="299.64"/>
    <x v="0"/>
  </r>
  <r>
    <s v="ORD-10412"/>
    <d v="2023-10-31T00:00:00"/>
    <d v="2023-11-07T00:00:00"/>
    <s v="Sarah Diaz"/>
    <s v="Consumer"/>
    <x v="1"/>
    <x v="1"/>
    <s v="Binders"/>
    <s v="Own Binders"/>
    <n v="4715.09"/>
    <n v="3"/>
    <n v="0.2"/>
    <n v="1364.38"/>
    <x v="0"/>
  </r>
  <r>
    <s v="ORD-10444"/>
    <d v="2023-11-06T00:00:00"/>
    <d v="2023-11-07T00:00:00"/>
    <s v="Diane Moore"/>
    <s v="Home Office"/>
    <x v="3"/>
    <x v="2"/>
    <s v="Laptops"/>
    <s v="Star Laptops"/>
    <n v="2935.97"/>
    <n v="10"/>
    <n v="0.05"/>
    <n v="-33.049999999999997"/>
    <x v="1"/>
  </r>
  <r>
    <s v="ORD-10550"/>
    <d v="2023-11-05T00:00:00"/>
    <d v="2023-11-10T00:00:00"/>
    <s v="Angela Price"/>
    <s v="Home Office"/>
    <x v="2"/>
    <x v="1"/>
    <s v="Storage"/>
    <s v="Great Storage"/>
    <n v="1343.45"/>
    <n v="9"/>
    <n v="0.15"/>
    <n v="148.54"/>
    <x v="0"/>
  </r>
  <r>
    <s v="ORD-10017"/>
    <d v="2023-11-03T00:00:00"/>
    <d v="2023-11-12T00:00:00"/>
    <s v="Thomas Olson"/>
    <s v="Consumer"/>
    <x v="3"/>
    <x v="1"/>
    <s v="Binders"/>
    <s v="Thousand Binders"/>
    <n v="4567.51"/>
    <n v="5"/>
    <n v="0.2"/>
    <n v="361.81"/>
    <x v="0"/>
  </r>
  <r>
    <s v="ORD-10421"/>
    <d v="2023-11-04T00:00:00"/>
    <d v="2023-11-12T00:00:00"/>
    <s v="Tyler Page"/>
    <s v="Home Office"/>
    <x v="0"/>
    <x v="1"/>
    <s v="Binders"/>
    <s v="Cause Binders"/>
    <n v="1529.32"/>
    <n v="7"/>
    <n v="0.2"/>
    <n v="-276.64999999999998"/>
    <x v="1"/>
  </r>
  <r>
    <s v="ORD-10003"/>
    <d v="2023-11-05T00:00:00"/>
    <d v="2023-11-14T00:00:00"/>
    <s v="Thomas Scott"/>
    <s v="Consumer"/>
    <x v="3"/>
    <x v="1"/>
    <s v="Storage"/>
    <s v="Process Storage"/>
    <n v="2126.62"/>
    <n v="8"/>
    <n v="0.2"/>
    <n v="-99.94"/>
    <x v="1"/>
  </r>
  <r>
    <s v="ORD-10272"/>
    <d v="2023-11-09T00:00:00"/>
    <d v="2023-11-16T00:00:00"/>
    <s v="Eric Taylor"/>
    <s v="Consumer"/>
    <x v="3"/>
    <x v="1"/>
    <s v="Binders"/>
    <s v="Three Binders"/>
    <n v="2222.87"/>
    <n v="9"/>
    <n v="0.05"/>
    <n v="477.72"/>
    <x v="0"/>
  </r>
  <r>
    <s v="ORD-10037"/>
    <s v="07-11-2023"/>
    <d v="2023-11-16T00:00:00"/>
    <s v="Shannon Wagner"/>
    <s v="Consumer"/>
    <x v="3"/>
    <x v="1"/>
    <s v="Storage"/>
    <s v="With Storage"/>
    <n v="88.72"/>
    <n v="9"/>
    <n v="0.1"/>
    <n v="27.72"/>
    <x v="0"/>
  </r>
  <r>
    <s v="ORD-10582"/>
    <s v="08-11-2023"/>
    <d v="2023-11-17T00:00:00"/>
    <s v="Daniel Bowman"/>
    <s v="Corporate"/>
    <x v="0"/>
    <x v="2"/>
    <s v="Laptops"/>
    <s v="Career Laptops"/>
    <n v="2463.09"/>
    <n v="8"/>
    <n v="0"/>
    <n v="23.62"/>
    <x v="0"/>
  </r>
  <r>
    <s v="ORD-10248"/>
    <d v="2023-11-19T00:00:00"/>
    <d v="2023-11-22T00:00:00"/>
    <s v="Samantha Briggs"/>
    <s v="Corporate"/>
    <x v="0"/>
    <x v="0"/>
    <s v="Bookcases"/>
    <s v="Painting Bookcases"/>
    <n v="75.650000000000006"/>
    <n v="9"/>
    <n v="0.05"/>
    <n v="1.8"/>
    <x v="0"/>
  </r>
  <r>
    <s v="ORD-10328"/>
    <d v="2023-11-15T00:00:00"/>
    <d v="2023-11-23T00:00:00"/>
    <s v="Christopher Jones"/>
    <s v="Corporate"/>
    <x v="1"/>
    <x v="0"/>
    <s v="Tables"/>
    <s v="Marriage Tables"/>
    <n v="2662.19"/>
    <n v="6"/>
    <n v="0.2"/>
    <n v="36.61"/>
    <x v="0"/>
  </r>
  <r>
    <s v="ORD-10266"/>
    <d v="2023-11-20T00:00:00"/>
    <d v="2023-11-23T00:00:00"/>
    <s v="Marcus Smith"/>
    <s v="Corporate"/>
    <x v="0"/>
    <x v="2"/>
    <s v="Accessories"/>
    <s v="Such Accessories"/>
    <n v="3856.41"/>
    <n v="7"/>
    <n v="0.1"/>
    <n v="1334.59"/>
    <x v="0"/>
  </r>
  <r>
    <s v="ORD-10736"/>
    <d v="2023-11-22T00:00:00"/>
    <d v="2023-11-25T00:00:00"/>
    <s v="Joanna Weiss"/>
    <s v="Corporate"/>
    <x v="0"/>
    <x v="2"/>
    <s v="Phones"/>
    <s v="New Phones"/>
    <n v="2997.94"/>
    <n v="3"/>
    <n v="0.15"/>
    <n v="641.62"/>
    <x v="0"/>
  </r>
  <r>
    <s v="ORD-10656"/>
    <d v="2023-11-16T00:00:00"/>
    <d v="2023-11-26T00:00:00"/>
    <s v="Jake Middleton"/>
    <s v="Home Office"/>
    <x v="1"/>
    <x v="2"/>
    <s v="Phones"/>
    <s v="Choose Phones"/>
    <n v="4589.7"/>
    <n v="6"/>
    <n v="0"/>
    <n v="488.97"/>
    <x v="0"/>
  </r>
  <r>
    <s v="ORD-10617"/>
    <d v="2023-11-24T00:00:00"/>
    <d v="2023-11-30T00:00:00"/>
    <s v="Andrew Schneider"/>
    <s v="Consumer"/>
    <x v="3"/>
    <x v="2"/>
    <s v="Laptops"/>
    <s v="When Laptops"/>
    <n v="596.79999999999995"/>
    <n v="9"/>
    <n v="0.2"/>
    <n v="-97.47"/>
    <x v="1"/>
  </r>
  <r>
    <s v="ORD-10739"/>
    <d v="2023-11-26T00:00:00"/>
    <d v="2023-12-03T00:00:00"/>
    <s v="Jason Moss"/>
    <s v="Consumer"/>
    <x v="2"/>
    <x v="2"/>
    <s v="Laptops"/>
    <s v="Couple Laptops"/>
    <n v="2399.2199999999998"/>
    <n v="3"/>
    <n v="0.2"/>
    <n v="668.55"/>
    <x v="0"/>
  </r>
  <r>
    <s v="ORD-10634"/>
    <d v="2023-11-27T00:00:00"/>
    <d v="2023-12-03T00:00:00"/>
    <s v="Keith Pham"/>
    <s v="Consumer"/>
    <x v="3"/>
    <x v="0"/>
    <s v="Chairs"/>
    <s v="Contain Chairs"/>
    <n v="1772.25"/>
    <n v="7"/>
    <n v="0.15"/>
    <n v="552.29999999999995"/>
    <x v="0"/>
  </r>
  <r>
    <s v="ORD-10708"/>
    <d v="2023-11-27T00:00:00"/>
    <d v="2023-12-03T00:00:00"/>
    <s v="Jacob Hammond"/>
    <s v="Consumer"/>
    <x v="0"/>
    <x v="1"/>
    <s v="Storage"/>
    <s v="My Storage"/>
    <n v="3954.45"/>
    <n v="6"/>
    <n v="0.15"/>
    <n v="269.41000000000003"/>
    <x v="0"/>
  </r>
  <r>
    <s v="ORD-10737"/>
    <d v="2023-11-26T00:00:00"/>
    <d v="2023-12-04T00:00:00"/>
    <s v="Unknown"/>
    <s v="Corporate"/>
    <x v="1"/>
    <x v="0"/>
    <s v="Bookcases"/>
    <s v="Raise Bookcases"/>
    <n v="3643.7"/>
    <n v="3"/>
    <n v="0.05"/>
    <n v="429.11"/>
    <x v="0"/>
  </r>
  <r>
    <s v="ORD-10469"/>
    <d v="2023-11-27T00:00:00"/>
    <d v="2023-12-05T00:00:00"/>
    <s v="Scott Collier"/>
    <s v="Corporate"/>
    <x v="3"/>
    <x v="2"/>
    <s v="Accessories"/>
    <s v="Other Accessories"/>
    <n v="4777.6899999999996"/>
    <n v="5"/>
    <n v="0.2"/>
    <n v="-711.29"/>
    <x v="1"/>
  </r>
  <r>
    <s v="ORD-10533"/>
    <d v="2023-11-26T00:00:00"/>
    <d v="2023-12-06T00:00:00"/>
    <s v="Anna Wood"/>
    <s v="Consumer"/>
    <x v="2"/>
    <x v="1"/>
    <s v="Storage"/>
    <s v="Nothing Storage"/>
    <n v="910.56"/>
    <n v="7"/>
    <n v="0.1"/>
    <n v="112.2"/>
    <x v="0"/>
  </r>
  <r>
    <s v="ORD-10623"/>
    <d v="2023-11-27T00:00:00"/>
    <d v="2023-12-06T00:00:00"/>
    <s v="Daniel Campbell"/>
    <s v="Home Office"/>
    <x v="0"/>
    <x v="0"/>
    <s v="Chairs"/>
    <s v="Carry Chairs"/>
    <n v="3301.54"/>
    <n v="10"/>
    <n v="0.2"/>
    <n v="1060.21"/>
    <x v="0"/>
  </r>
  <r>
    <s v="ORD-10534"/>
    <d v="2023-11-28T00:00:00"/>
    <d v="2023-12-07T00:00:00"/>
    <s v="Angela Mccoy"/>
    <s v="Home Office"/>
    <x v="1"/>
    <x v="2"/>
    <s v="Phones"/>
    <s v="Like Phones"/>
    <n v="2058.92"/>
    <n v="6"/>
    <n v="0.15"/>
    <n v="485.83"/>
    <x v="0"/>
  </r>
  <r>
    <s v="ORD-10019"/>
    <d v="2023-12-02T00:00:00"/>
    <d v="2023-12-07T00:00:00"/>
    <s v="James Hamilton"/>
    <s v="Consumer"/>
    <x v="0"/>
    <x v="0"/>
    <s v="Tables"/>
    <s v="Build Tables"/>
    <n v="1235.29"/>
    <n v="4"/>
    <n v="0.2"/>
    <n v="396.31"/>
    <x v="0"/>
  </r>
  <r>
    <s v="ORD-10374"/>
    <d v="2023-12-03T00:00:00"/>
    <d v="2023-12-07T00:00:00"/>
    <s v="Bianca Rogers"/>
    <s v="Consumer"/>
    <x v="3"/>
    <x v="1"/>
    <s v="Storage"/>
    <s v="Water Storage"/>
    <n v="2346.44"/>
    <n v="10"/>
    <n v="0.15"/>
    <n v="818.4"/>
    <x v="0"/>
  </r>
  <r>
    <s v="ORD-10502"/>
    <d v="2023-11-29T00:00:00"/>
    <d v="2023-12-08T00:00:00"/>
    <s v="Erin Nelson"/>
    <s v="Consumer"/>
    <x v="1"/>
    <x v="2"/>
    <s v="Laptops"/>
    <s v="Civil Laptops"/>
    <n v="1822.52"/>
    <n v="6"/>
    <n v="0.2"/>
    <n v="-144.02000000000001"/>
    <x v="1"/>
  </r>
  <r>
    <s v="ORD-10071"/>
    <d v="2023-12-04T00:00:00"/>
    <d v="2023-12-08T00:00:00"/>
    <s v="Kelly Yoder"/>
    <s v="Corporate"/>
    <x v="1"/>
    <x v="0"/>
    <s v="Chairs"/>
    <s v="Next Chairs"/>
    <n v="4204.18"/>
    <n v="10"/>
    <n v="0.05"/>
    <n v="-289.25"/>
    <x v="1"/>
  </r>
  <r>
    <s v="ORD-10620"/>
    <d v="2023-12-01T00:00:00"/>
    <d v="2023-12-09T00:00:00"/>
    <s v="Pamela Taylor"/>
    <s v="Consumer"/>
    <x v="2"/>
    <x v="0"/>
    <s v="Bookcases"/>
    <s v="Outside Bookcases"/>
    <n v="4645.6000000000004"/>
    <n v="2"/>
    <n v="0.15"/>
    <n v="1117.55"/>
    <x v="0"/>
  </r>
  <r>
    <s v="ORD-10629"/>
    <d v="2023-12-06T00:00:00"/>
    <d v="2023-12-11T00:00:00"/>
    <s v="Douglas Anderson"/>
    <s v="Home Office"/>
    <x v="2"/>
    <x v="2"/>
    <s v="Phones"/>
    <s v="Real Phones"/>
    <n v="4922.75"/>
    <n v="4"/>
    <n v="0.1"/>
    <n v="-925.79"/>
    <x v="1"/>
  </r>
  <r>
    <s v="ORD-10440"/>
    <d v="2023-12-10T00:00:00"/>
    <d v="2023-12-11T00:00:00"/>
    <s v="Michaela Grant Dds"/>
    <s v="Home Office"/>
    <x v="0"/>
    <x v="1"/>
    <s v="Binders"/>
    <s v="Lay Binders"/>
    <n v="2581.9899999999998"/>
    <n v="6"/>
    <n v="0.2"/>
    <n v="402.89"/>
    <x v="0"/>
  </r>
  <r>
    <s v="ORD-10111"/>
    <d v="2023-12-03T00:00:00"/>
    <d v="2023-12-12T00:00:00"/>
    <s v="Blake Butler"/>
    <s v="Corporate"/>
    <x v="0"/>
    <x v="0"/>
    <s v="Tables"/>
    <s v="Customer Tables"/>
    <n v="2447.4899999999998"/>
    <n v="6"/>
    <n v="0.2"/>
    <n v="537.41999999999996"/>
    <x v="0"/>
  </r>
  <r>
    <s v="ORD-10400"/>
    <d v="2023-12-06T00:00:00"/>
    <d v="2023-12-12T00:00:00"/>
    <s v="Elizabeth Park"/>
    <s v="Corporate"/>
    <x v="1"/>
    <x v="0"/>
    <s v="Bookcases"/>
    <s v="Through Bookcases"/>
    <n v="4804.7700000000004"/>
    <n v="6"/>
    <n v="0.2"/>
    <n v="1528.19"/>
    <x v="0"/>
  </r>
  <r>
    <s v="ORD-10542"/>
    <d v="2023-12-06T00:00:00"/>
    <d v="2023-12-12T00:00:00"/>
    <s v="Ashley Roberts"/>
    <s v="Corporate"/>
    <x v="0"/>
    <x v="0"/>
    <s v="Bookcases"/>
    <s v="Economy Bookcases"/>
    <n v="4615.6400000000003"/>
    <n v="10"/>
    <n v="0.2"/>
    <n v="-748.36"/>
    <x v="1"/>
  </r>
  <r>
    <s v="ORD-10285"/>
    <d v="2023-12-11T00:00:00"/>
    <d v="2023-12-12T00:00:00"/>
    <s v="Monica Tucker"/>
    <s v="Corporate"/>
    <x v="3"/>
    <x v="1"/>
    <s v="Binders"/>
    <s v="North Binders"/>
    <n v="1340.83"/>
    <n v="10"/>
    <n v="0.2"/>
    <n v="262.81"/>
    <x v="0"/>
  </r>
  <r>
    <s v="ORD-10265"/>
    <d v="2023-12-11T00:00:00"/>
    <d v="2023-12-13T00:00:00"/>
    <s v="Megan Miranda"/>
    <s v="Corporate"/>
    <x v="1"/>
    <x v="2"/>
    <s v="Accessories"/>
    <s v="Our Accessories"/>
    <n v="2728.76"/>
    <n v="1"/>
    <n v="0"/>
    <n v="934.26"/>
    <x v="0"/>
  </r>
  <r>
    <s v="ORD-10713"/>
    <d v="2023-12-11T00:00:00"/>
    <d v="2023-12-15T00:00:00"/>
    <s v="Roberta Acevedo"/>
    <s v="Home Office"/>
    <x v="0"/>
    <x v="1"/>
    <s v="Storage"/>
    <s v="Senior Storage"/>
    <n v="906.77"/>
    <n v="2"/>
    <n v="0.2"/>
    <n v="282.89"/>
    <x v="0"/>
  </r>
  <r>
    <s v="ORD-10123"/>
    <d v="2023-12-13T00:00:00"/>
    <d v="2023-12-17T00:00:00"/>
    <s v="Heather George"/>
    <s v="Home Office"/>
    <x v="2"/>
    <x v="2"/>
    <s v="Accessories"/>
    <s v="Consumer Accessories"/>
    <n v="4996.8999999999996"/>
    <n v="8"/>
    <n v="0"/>
    <n v="-347.47"/>
    <x v="1"/>
  </r>
  <r>
    <s v="ORD-10094"/>
    <d v="2023-12-11T00:00:00"/>
    <d v="2023-12-18T00:00:00"/>
    <s v="Rhonda Perez"/>
    <s v="Consumer"/>
    <x v="2"/>
    <x v="0"/>
    <s v="Chairs"/>
    <s v="Forget Chairs"/>
    <n v="2279.9899999999998"/>
    <n v="10"/>
    <n v="0.15"/>
    <n v="-90.76"/>
    <x v="1"/>
  </r>
  <r>
    <s v="ORD-10539"/>
    <d v="2023-12-18T00:00:00"/>
    <d v="2023-12-23T00:00:00"/>
    <s v="Casey Potts"/>
    <s v="Home Office"/>
    <x v="1"/>
    <x v="0"/>
    <s v="Chairs"/>
    <s v="Information Chairs"/>
    <n v="4616.1099999999997"/>
    <n v="9"/>
    <n v="0.15"/>
    <n v="598.46"/>
    <x v="0"/>
  </r>
  <r>
    <s v="ORD-10195"/>
    <d v="2023-12-26T00:00:00"/>
    <d v="2023-12-28T00:00:00"/>
    <s v="Cynthia Moore"/>
    <s v="Home Office"/>
    <x v="2"/>
    <x v="2"/>
    <s v="Phones"/>
    <s v="Pull Phones"/>
    <n v="3868.93"/>
    <n v="6"/>
    <n v="0.05"/>
    <n v="-679.44"/>
    <x v="1"/>
  </r>
  <r>
    <s v="ORD-10008"/>
    <d v="2023-12-28T00:00:00"/>
    <d v="2024-01-03T00:00:00"/>
    <s v="Gloria Brown"/>
    <s v="Home Office"/>
    <x v="1"/>
    <x v="2"/>
    <s v="Laptops"/>
    <s v="Beautiful Laptops"/>
    <n v="855.14"/>
    <n v="6"/>
    <n v="0.05"/>
    <n v="144.16999999999999"/>
    <x v="0"/>
  </r>
  <r>
    <s v="ORD-10304"/>
    <d v="2023-12-29T00:00:00"/>
    <d v="2024-01-03T00:00:00"/>
    <s v="Michael Cordova"/>
    <s v="Consumer"/>
    <x v="0"/>
    <x v="0"/>
    <s v="Chairs"/>
    <s v="Reflect Chairs"/>
    <n v="2251.44"/>
    <n v="5"/>
    <n v="0"/>
    <n v="-286.20999999999998"/>
    <x v="1"/>
  </r>
  <r>
    <s v="ORD-10424"/>
    <d v="2023-12-29T00:00:00"/>
    <d v="2024-01-07T00:00:00"/>
    <s v="Stephanie Cruz"/>
    <s v="Consumer"/>
    <x v="0"/>
    <x v="0"/>
    <s v="Tables"/>
    <s v="Far Tables"/>
    <n v="2016.91"/>
    <n v="6"/>
    <n v="0.1"/>
    <n v="173.11"/>
    <x v="0"/>
  </r>
  <r>
    <s v="ORD-10016"/>
    <d v="2024-01-06T00:00:00"/>
    <d v="2024-01-08T00:00:00"/>
    <s v="Danny Clark"/>
    <s v="Home Office"/>
    <x v="2"/>
    <x v="1"/>
    <s v="Paper"/>
    <s v="Cover Paper"/>
    <n v="1502.83"/>
    <n v="3"/>
    <n v="0.15"/>
    <n v="-297.88"/>
    <x v="1"/>
  </r>
  <r>
    <s v="ORD-10511"/>
    <d v="2024-01-06T00:00:00"/>
    <d v="2024-01-11T00:00:00"/>
    <s v="Ann Jones"/>
    <s v="Corporate"/>
    <x v="1"/>
    <x v="1"/>
    <s v="Binders"/>
    <s v="Hold Binders"/>
    <n v="2067.7800000000002"/>
    <n v="8"/>
    <n v="0.2"/>
    <n v="46.41"/>
    <x v="0"/>
  </r>
  <r>
    <s v="ORD-10659"/>
    <d v="2024-01-03T00:00:00"/>
    <d v="2024-01-13T00:00:00"/>
    <s v="Amber Foster"/>
    <s v="Corporate"/>
    <x v="1"/>
    <x v="1"/>
    <s v="Storage"/>
    <s v="Current Storage"/>
    <n v="1193.01"/>
    <n v="4"/>
    <n v="0.05"/>
    <n v="212.42"/>
    <x v="0"/>
  </r>
  <r>
    <s v="ORD-10098"/>
    <d v="2024-01-08T00:00:00"/>
    <d v="2024-01-13T00:00:00"/>
    <s v="Unknown"/>
    <s v="Consumer"/>
    <x v="0"/>
    <x v="1"/>
    <s v="Paper"/>
    <s v="Chance Paper"/>
    <n v="2527.34"/>
    <n v="8"/>
    <n v="0.15"/>
    <n v="-393.65"/>
    <x v="1"/>
  </r>
  <r>
    <s v="ORD-10528"/>
    <d v="2024-01-05T00:00:00"/>
    <d v="2024-01-14T00:00:00"/>
    <s v="Robert Meyers"/>
    <s v="Home Office"/>
    <x v="3"/>
    <x v="2"/>
    <s v="Accessories"/>
    <s v="Teach Accessories"/>
    <n v="102.43"/>
    <n v="4"/>
    <n v="0.2"/>
    <n v="18.059999999999999"/>
    <x v="0"/>
  </r>
  <r>
    <s v="ORD-10549"/>
    <d v="2024-01-12T00:00:00"/>
    <d v="2024-01-16T00:00:00"/>
    <s v="Erin Anderson"/>
    <s v="Consumer"/>
    <x v="0"/>
    <x v="2"/>
    <s v="Laptops"/>
    <s v="Area Laptops"/>
    <n v="3454.45"/>
    <n v="6"/>
    <n v="0.15"/>
    <n v="-2.6"/>
    <x v="1"/>
  </r>
  <r>
    <s v="ORD-10097"/>
    <d v="2024-01-07T00:00:00"/>
    <d v="2024-01-17T00:00:00"/>
    <s v="Eric Collins"/>
    <s v="Corporate"/>
    <x v="2"/>
    <x v="0"/>
    <s v="Tables"/>
    <s v="Year Tables"/>
    <n v="3757.34"/>
    <n v="10"/>
    <n v="0.1"/>
    <n v="156.06"/>
    <x v="0"/>
  </r>
  <r>
    <s v="ORD-10647"/>
    <d v="2024-01-17T00:00:00"/>
    <d v="2024-01-18T00:00:00"/>
    <s v="Douglas Perez"/>
    <s v="Home Office"/>
    <x v="1"/>
    <x v="2"/>
    <s v="Phones"/>
    <s v="Lead Phones"/>
    <n v="1455.87"/>
    <n v="10"/>
    <n v="0.1"/>
    <n v="-248.67"/>
    <x v="1"/>
  </r>
  <r>
    <s v="ORD-10731"/>
    <d v="2024-01-17T00:00:00"/>
    <d v="2024-01-18T00:00:00"/>
    <s v="Michael Miller"/>
    <s v="Home Office"/>
    <x v="2"/>
    <x v="2"/>
    <s v="Phones"/>
    <s v="Ask Phones"/>
    <n v="3490.5"/>
    <n v="10"/>
    <n v="0.2"/>
    <n v="-114.35"/>
    <x v="1"/>
  </r>
  <r>
    <s v="ORD-10439"/>
    <d v="2024-01-15T00:00:00"/>
    <d v="2024-01-21T00:00:00"/>
    <s v="Elizabeth Reid"/>
    <s v="Home Office"/>
    <x v="0"/>
    <x v="2"/>
    <s v="Accessories"/>
    <s v="Health Accessories"/>
    <n v="2322.04"/>
    <n v="4"/>
    <n v="0.15"/>
    <n v="-78.53"/>
    <x v="1"/>
  </r>
  <r>
    <s v="ORD-10141"/>
    <d v="2024-01-19T00:00:00"/>
    <d v="2024-01-23T00:00:00"/>
    <s v="Barry Padilla"/>
    <s v="Consumer"/>
    <x v="0"/>
    <x v="0"/>
    <s v="Tables"/>
    <s v="Back Tables"/>
    <n v="2964.82"/>
    <n v="1"/>
    <n v="0.05"/>
    <n v="-160.24"/>
    <x v="1"/>
  </r>
  <r>
    <s v="ORD-10503"/>
    <d v="2024-01-17T00:00:00"/>
    <d v="2024-01-24T00:00:00"/>
    <s v="Linda Gaines"/>
    <s v="Consumer"/>
    <x v="2"/>
    <x v="1"/>
    <s v="Binders"/>
    <s v="News Binders"/>
    <n v="2738.25"/>
    <n v="7"/>
    <n v="0"/>
    <n v="-21.44"/>
    <x v="1"/>
  </r>
  <r>
    <s v="ORD-10504"/>
    <d v="2024-01-19T00:00:00"/>
    <d v="2024-01-24T00:00:00"/>
    <s v="Dustin Shaw"/>
    <s v="Home Office"/>
    <x v="1"/>
    <x v="2"/>
    <s v="Accessories"/>
    <s v="Country Accessories"/>
    <n v="1131.3"/>
    <n v="10"/>
    <n v="0.2"/>
    <n v="69.2"/>
    <x v="0"/>
  </r>
  <r>
    <s v="ORD-10668"/>
    <s v="24-01-2024"/>
    <d v="2024-01-26T00:00:00"/>
    <s v="Victor Allen"/>
    <s v="Home Office"/>
    <x v="3"/>
    <x v="1"/>
    <s v="Paper"/>
    <s v="Though Paper"/>
    <n v="3627.1"/>
    <n v="2"/>
    <n v="0.05"/>
    <n v="828.07"/>
    <x v="0"/>
  </r>
  <r>
    <s v="ORD-10184"/>
    <d v="2024-01-19T00:00:00"/>
    <d v="2024-01-27T00:00:00"/>
    <s v="Claire Farley"/>
    <s v="Home Office"/>
    <x v="1"/>
    <x v="2"/>
    <s v="Phones"/>
    <s v="Suddenly Phones"/>
    <n v="4376.88"/>
    <n v="9"/>
    <n v="0"/>
    <n v="837.17"/>
    <x v="0"/>
  </r>
  <r>
    <s v="ORD-10702"/>
    <d v="2024-01-19T00:00:00"/>
    <d v="2024-01-28T00:00:00"/>
    <s v="Kimberly Dixon"/>
    <s v="Home Office"/>
    <x v="3"/>
    <x v="1"/>
    <s v="Paper"/>
    <s v="Paper Paper"/>
    <n v="1626.5"/>
    <n v="3"/>
    <n v="0.2"/>
    <n v="393.94"/>
    <x v="0"/>
  </r>
  <r>
    <s v="ORD-10053"/>
    <s v="24-01-2024"/>
    <d v="2024-01-29T00:00:00"/>
    <s v="Alexander Taylor"/>
    <s v="Corporate"/>
    <x v="2"/>
    <x v="1"/>
    <s v="Storage"/>
    <s v="History Storage"/>
    <n v="2060.0700000000002"/>
    <n v="1"/>
    <n v="0.1"/>
    <n v="-86.93"/>
    <x v="1"/>
  </r>
  <r>
    <s v="ORD-10245"/>
    <d v="2024-01-29T00:00:00"/>
    <d v="2024-01-31T00:00:00"/>
    <s v="Lauren Robinson"/>
    <s v="Corporate"/>
    <x v="3"/>
    <x v="0"/>
    <s v="Tables"/>
    <s v="Paper Tables"/>
    <n v="1764.5"/>
    <n v="8"/>
    <n v="0.2"/>
    <n v="-104.03"/>
    <x v="1"/>
  </r>
  <r>
    <s v="ORD-10194"/>
    <d v="2024-01-30T00:00:00"/>
    <d v="2024-01-31T00:00:00"/>
    <s v="Brett Lee"/>
    <s v="Corporate"/>
    <x v="1"/>
    <x v="2"/>
    <s v="Accessories"/>
    <s v="Boy Accessories"/>
    <n v="3196.57"/>
    <n v="6"/>
    <n v="0.1"/>
    <n v="674.55"/>
    <x v="0"/>
  </r>
  <r>
    <s v="ORD-10208"/>
    <d v="2024-01-30T00:00:00"/>
    <d v="2024-02-06T00:00:00"/>
    <s v="Tammy Brown"/>
    <s v="Home Office"/>
    <x v="0"/>
    <x v="2"/>
    <s v="Laptops"/>
    <s v="Our Laptops"/>
    <n v="4572.04"/>
    <n v="2"/>
    <n v="0.1"/>
    <n v="1034.33"/>
    <x v="0"/>
  </r>
  <r>
    <s v="ORD-10471"/>
    <d v="2024-02-05T00:00:00"/>
    <d v="2024-02-07T00:00:00"/>
    <s v="Samuel Butler"/>
    <s v="Home Office"/>
    <x v="0"/>
    <x v="1"/>
    <s v="Binders"/>
    <s v="Establish Binders"/>
    <n v="705.93"/>
    <n v="1"/>
    <n v="0.05"/>
    <n v="-100.92"/>
    <x v="1"/>
  </r>
  <r>
    <s v="ORD-10365"/>
    <d v="2024-01-30T00:00:00"/>
    <d v="2024-02-09T00:00:00"/>
    <s v="Savannah Jackson"/>
    <s v="Consumer"/>
    <x v="1"/>
    <x v="2"/>
    <s v="Laptops"/>
    <s v="Challenge Laptops"/>
    <n v="322.39"/>
    <n v="3"/>
    <n v="0"/>
    <n v="-62.23"/>
    <x v="1"/>
  </r>
  <r>
    <s v="ORD-10298"/>
    <d v="2024-02-06T00:00:00"/>
    <d v="2024-02-10T00:00:00"/>
    <s v="Mary Barnes"/>
    <s v="Home Office"/>
    <x v="3"/>
    <x v="2"/>
    <s v="Phones"/>
    <s v="Election Phones"/>
    <n v="2955.83"/>
    <n v="7"/>
    <n v="0"/>
    <n v="-104.63"/>
    <x v="1"/>
  </r>
  <r>
    <s v="ORD-10397"/>
    <d v="2024-02-07T00:00:00"/>
    <d v="2024-02-10T00:00:00"/>
    <s v="David Rice"/>
    <s v="Consumer"/>
    <x v="0"/>
    <x v="1"/>
    <s v="Storage"/>
    <s v="Between Storage"/>
    <n v="2837.39"/>
    <n v="4"/>
    <n v="0.15"/>
    <n v="278.54000000000002"/>
    <x v="0"/>
  </r>
  <r>
    <s v="ORD-10227"/>
    <d v="2024-02-13T00:00:00"/>
    <d v="2024-02-14T00:00:00"/>
    <s v="Deanna White"/>
    <s v="Home Office"/>
    <x v="0"/>
    <x v="1"/>
    <s v="Paper"/>
    <s v="Day Paper"/>
    <n v="300.18"/>
    <n v="8"/>
    <n v="0.2"/>
    <n v="85.64"/>
    <x v="0"/>
  </r>
  <r>
    <s v="ORD-10723"/>
    <d v="2024-02-07T00:00:00"/>
    <d v="2024-02-15T00:00:00"/>
    <s v="Derrick Weber"/>
    <s v="Corporate"/>
    <x v="0"/>
    <x v="0"/>
    <s v="Bookcases"/>
    <s v="Agent Bookcases"/>
    <n v="3306.74"/>
    <n v="3"/>
    <n v="0"/>
    <n v="-411.78"/>
    <x v="1"/>
  </r>
  <r>
    <s v="ORD-10559"/>
    <d v="2024-02-08T00:00:00"/>
    <d v="2024-02-15T00:00:00"/>
    <s v="Whitney Zimmerman"/>
    <s v="Home Office"/>
    <x v="1"/>
    <x v="2"/>
    <s v="Laptops"/>
    <s v="Into Laptops"/>
    <n v="2056.98"/>
    <n v="4"/>
    <n v="0.2"/>
    <n v="-394.01"/>
    <x v="1"/>
  </r>
  <r>
    <s v="ORD-10591"/>
    <d v="2024-02-14T00:00:00"/>
    <d v="2024-02-17T00:00:00"/>
    <s v="Lisa Nguyen"/>
    <s v="Corporate"/>
    <x v="0"/>
    <x v="1"/>
    <s v="Paper"/>
    <s v="Heavy Paper"/>
    <n v="4849.2299999999996"/>
    <n v="9"/>
    <n v="0.05"/>
    <n v="605.95000000000005"/>
    <x v="0"/>
  </r>
  <r>
    <s v="ORD-10006"/>
    <d v="2024-02-13T00:00:00"/>
    <d v="2024-02-18T00:00:00"/>
    <s v="Stephanie Rodriguez"/>
    <s v="Home Office"/>
    <x v="1"/>
    <x v="0"/>
    <s v="Bookcases"/>
    <s v="Task Bookcases"/>
    <n v="4155.55"/>
    <n v="10"/>
    <n v="0.1"/>
    <n v="488.46"/>
    <x v="0"/>
  </r>
  <r>
    <s v="ORD-10014"/>
    <d v="2024-02-16T00:00:00"/>
    <d v="2024-02-19T00:00:00"/>
    <s v="John Bates"/>
    <s v="Corporate"/>
    <x v="0"/>
    <x v="0"/>
    <s v="Bookcases"/>
    <s v="Individual Bookcases"/>
    <n v="3970.79"/>
    <n v="7"/>
    <n v="0.2"/>
    <n v="-655.42"/>
    <x v="1"/>
  </r>
  <r>
    <s v="ORD-10129"/>
    <d v="2024-02-16T00:00:00"/>
    <d v="2024-02-21T00:00:00"/>
    <s v="Richard Brown"/>
    <s v="Consumer"/>
    <x v="3"/>
    <x v="2"/>
    <s v="Accessories"/>
    <s v="Help Accessories"/>
    <n v="3745.47"/>
    <n v="6"/>
    <n v="0"/>
    <n v="215.67"/>
    <x v="0"/>
  </r>
  <r>
    <s v="ORD-10337"/>
    <d v="2024-02-13T00:00:00"/>
    <d v="2024-02-22T00:00:00"/>
    <s v="Unknown"/>
    <s v="Home Office"/>
    <x v="3"/>
    <x v="1"/>
    <s v="Paper"/>
    <s v="Term Paper"/>
    <n v="1131.78"/>
    <n v="7"/>
    <n v="0"/>
    <n v="231.78"/>
    <x v="0"/>
  </r>
  <r>
    <s v="ORD-10676"/>
    <d v="2024-02-14T00:00:00"/>
    <d v="2024-02-22T00:00:00"/>
    <s v="Ashley Best"/>
    <s v="Consumer"/>
    <x v="3"/>
    <x v="1"/>
    <s v="Storage"/>
    <s v="Imagine Storage"/>
    <n v="2296.0100000000002"/>
    <n v="8"/>
    <n v="0"/>
    <n v="300.02"/>
    <x v="0"/>
  </r>
  <r>
    <s v="ORD-10748"/>
    <d v="2024-02-23T00:00:00"/>
    <d v="2024-02-25T00:00:00"/>
    <s v="Melissa Cox"/>
    <s v="Consumer"/>
    <x v="2"/>
    <x v="2"/>
    <s v="Phones"/>
    <s v="Fall Phones"/>
    <n v="1422.57"/>
    <n v="1"/>
    <n v="0.15"/>
    <n v="19.52"/>
    <x v="0"/>
  </r>
  <r>
    <s v="ORD-10029"/>
    <d v="2024-03-01T00:00:00"/>
    <d v="2024-03-02T00:00:00"/>
    <s v="Linda Wells"/>
    <s v="Corporate"/>
    <x v="2"/>
    <x v="0"/>
    <s v="Tables"/>
    <s v="Important Tables"/>
    <n v="864.95"/>
    <n v="1"/>
    <n v="0.15"/>
    <n v="-46.83"/>
    <x v="1"/>
  </r>
  <r>
    <s v="ORD-10477"/>
    <d v="2024-02-26T00:00:00"/>
    <d v="2024-03-03T00:00:00"/>
    <s v="Paul Osborne"/>
    <s v="Home Office"/>
    <x v="0"/>
    <x v="0"/>
    <s v="Tables"/>
    <s v="Forget Tables"/>
    <n v="1242.4100000000001"/>
    <n v="5"/>
    <n v="0"/>
    <n v="97.92"/>
    <x v="0"/>
  </r>
  <r>
    <s v="ORD-10120"/>
    <d v="2024-02-29T00:00:00"/>
    <d v="2024-03-10T00:00:00"/>
    <s v="Andrew Wang"/>
    <s v="Home Office"/>
    <x v="3"/>
    <x v="0"/>
    <s v="Chairs"/>
    <s v="Whole Chairs"/>
    <n v="4360.66"/>
    <n v="10"/>
    <n v="0.2"/>
    <n v="-294.52999999999997"/>
    <x v="1"/>
  </r>
  <r>
    <s v="ORD-10681"/>
    <d v="2024-03-03T00:00:00"/>
    <d v="2024-03-10T00:00:00"/>
    <s v="Unknown"/>
    <s v="Consumer"/>
    <x v="2"/>
    <x v="2"/>
    <s v="Phones"/>
    <s v="Truth Phones"/>
    <n v="4224.38"/>
    <n v="2"/>
    <n v="0.1"/>
    <n v="249.02"/>
    <x v="0"/>
  </r>
  <r>
    <s v="ORD-10271"/>
    <d v="2024-03-08T00:00:00"/>
    <d v="2024-03-10T00:00:00"/>
    <s v="Deborah Scott"/>
    <s v="Consumer"/>
    <x v="3"/>
    <x v="0"/>
    <s v="Chairs"/>
    <s v="Picture Chairs"/>
    <n v="2990.02"/>
    <n v="8"/>
    <n v="0.2"/>
    <n v="507.15"/>
    <x v="0"/>
  </r>
  <r>
    <s v="ORD-10236"/>
    <d v="2024-03-12T00:00:00"/>
    <d v="2024-03-13T00:00:00"/>
    <s v="Christine Powell"/>
    <s v="Home Office"/>
    <x v="3"/>
    <x v="1"/>
    <s v="Paper"/>
    <s v="Month Paper"/>
    <n v="3004.7"/>
    <n v="5"/>
    <n v="0.2"/>
    <n v="692.88"/>
    <x v="0"/>
  </r>
  <r>
    <s v="ORD-10479"/>
    <d v="2024-03-07T00:00:00"/>
    <d v="2024-03-15T00:00:00"/>
    <s v="Christine Martin"/>
    <s v="Consumer"/>
    <x v="1"/>
    <x v="2"/>
    <s v="Phones"/>
    <s v="Country Phones"/>
    <n v="3738.93"/>
    <n v="1"/>
    <n v="0"/>
    <n v="81.849999999999994"/>
    <x v="0"/>
  </r>
  <r>
    <s v="ORD-10742"/>
    <d v="2024-03-13T00:00:00"/>
    <d v="2024-03-17T00:00:00"/>
    <s v="Justin Tate"/>
    <s v="Home Office"/>
    <x v="3"/>
    <x v="2"/>
    <s v="Laptops"/>
    <s v="Career Laptops"/>
    <n v="3684.85"/>
    <n v="10"/>
    <n v="0.05"/>
    <n v="316.8"/>
    <x v="0"/>
  </r>
  <r>
    <s v="ORD-10360"/>
    <d v="2024-03-15T00:00:00"/>
    <d v="2024-03-18T00:00:00"/>
    <s v="Eric Higgins"/>
    <s v="Consumer"/>
    <x v="2"/>
    <x v="2"/>
    <s v="Laptops"/>
    <s v="Rather Laptops"/>
    <n v="3825.49"/>
    <n v="2"/>
    <n v="0"/>
    <n v="470.73"/>
    <x v="0"/>
  </r>
  <r>
    <s v="ORD-10058"/>
    <d v="2024-03-15T00:00:00"/>
    <d v="2024-03-19T00:00:00"/>
    <s v="Johnathan Logan"/>
    <s v="Consumer"/>
    <x v="1"/>
    <x v="0"/>
    <s v="Tables"/>
    <s v="Baby Tables"/>
    <n v="920.64"/>
    <n v="9"/>
    <n v="0.15"/>
    <n v="-158.69999999999999"/>
    <x v="1"/>
  </r>
  <r>
    <s v="ORD-10059"/>
    <d v="2024-03-13T00:00:00"/>
    <d v="2024-03-21T00:00:00"/>
    <s v="Maria Walker"/>
    <s v="Corporate"/>
    <x v="0"/>
    <x v="2"/>
    <s v="Phones"/>
    <s v="Memory Phones"/>
    <n v="3354.51"/>
    <n v="9"/>
    <n v="0.2"/>
    <n v="-85.49"/>
    <x v="1"/>
  </r>
  <r>
    <s v="ORD-10076"/>
    <d v="2024-03-19T00:00:00"/>
    <d v="2024-03-21T00:00:00"/>
    <s v="Michael Whitney"/>
    <s v="Corporate"/>
    <x v="3"/>
    <x v="2"/>
    <s v="Accessories"/>
    <s v="Give Accessories"/>
    <n v="2195.94"/>
    <n v="6"/>
    <n v="0.2"/>
    <n v="637.63"/>
    <x v="0"/>
  </r>
  <r>
    <s v="ORD-10034"/>
    <d v="2024-03-17T00:00:00"/>
    <d v="2024-03-23T00:00:00"/>
    <s v="Dennis Stewart"/>
    <s v="Corporate"/>
    <x v="0"/>
    <x v="2"/>
    <s v="Phones"/>
    <s v="Stay Phones"/>
    <n v="1231.5"/>
    <n v="7"/>
    <n v="0.05"/>
    <n v="208.65"/>
    <x v="0"/>
  </r>
  <r>
    <s v="ORD-10510"/>
    <d v="2024-03-17T00:00:00"/>
    <d v="2024-03-23T00:00:00"/>
    <s v="Ian Martinez"/>
    <s v="Corporate"/>
    <x v="1"/>
    <x v="0"/>
    <s v="Tables"/>
    <s v="Grow Tables"/>
    <n v="237.54"/>
    <n v="2"/>
    <n v="0"/>
    <n v="-24.25"/>
    <x v="1"/>
  </r>
  <r>
    <s v="ORD-10064"/>
    <d v="2024-03-22T00:00:00"/>
    <d v="2024-03-23T00:00:00"/>
    <s v="Justin Farrell"/>
    <s v="Corporate"/>
    <x v="2"/>
    <x v="1"/>
    <s v="Storage"/>
    <s v="These Storage"/>
    <n v="4290.82"/>
    <n v="10"/>
    <n v="0.15"/>
    <n v="267.48"/>
    <x v="0"/>
  </r>
  <r>
    <s v="ORD-10644"/>
    <d v="2024-03-18T00:00:00"/>
    <d v="2024-03-24T00:00:00"/>
    <s v="Lucas Kelley"/>
    <s v="Consumer"/>
    <x v="2"/>
    <x v="2"/>
    <s v="Phones"/>
    <s v="Organization Phones"/>
    <n v="3484.29"/>
    <n v="2"/>
    <n v="0.1"/>
    <n v="165.62"/>
    <x v="0"/>
  </r>
  <r>
    <s v="ORD-10009"/>
    <d v="2024-03-23T00:00:00"/>
    <d v="2024-03-26T00:00:00"/>
    <s v="Stephen Adkins"/>
    <s v="Corporate"/>
    <x v="3"/>
    <x v="1"/>
    <s v="Storage"/>
    <s v="Purpose Storage"/>
    <n v="2693.99"/>
    <n v="4"/>
    <n v="0.05"/>
    <n v="146.13"/>
    <x v="0"/>
  </r>
  <r>
    <s v="ORD-10680"/>
    <d v="2024-03-17T00:00:00"/>
    <d v="2024-03-27T00:00:00"/>
    <s v="Christine Ray"/>
    <s v="Corporate"/>
    <x v="2"/>
    <x v="2"/>
    <s v="Laptops"/>
    <s v="Western Laptops"/>
    <n v="1832.93"/>
    <n v="1"/>
    <n v="0"/>
    <n v="408.16"/>
    <x v="0"/>
  </r>
  <r>
    <s v="ORD-10306"/>
    <d v="2024-03-23T00:00:00"/>
    <d v="2024-03-29T00:00:00"/>
    <s v="Cheryl Ramos"/>
    <s v="Consumer"/>
    <x v="3"/>
    <x v="1"/>
    <s v="Storage"/>
    <s v="Onto Storage"/>
    <n v="4325.3999999999996"/>
    <n v="1"/>
    <n v="0.1"/>
    <n v="119.36"/>
    <x v="0"/>
  </r>
  <r>
    <s v="ORD-10597"/>
    <d v="2024-03-24T00:00:00"/>
    <d v="2024-03-29T00:00:00"/>
    <s v="Jose Johnson"/>
    <s v="Consumer"/>
    <x v="3"/>
    <x v="1"/>
    <s v="Storage"/>
    <s v="True Storage"/>
    <n v="1459.15"/>
    <n v="9"/>
    <n v="0.1"/>
    <n v="39.54"/>
    <x v="0"/>
  </r>
  <r>
    <s v="ORD-10127"/>
    <d v="2024-03-31T00:00:00"/>
    <d v="2024-04-01T00:00:00"/>
    <s v="Megan Ortega"/>
    <s v="Corporate"/>
    <x v="0"/>
    <x v="2"/>
    <s v="Accessories"/>
    <s v="Him Accessories"/>
    <n v="2918.89"/>
    <n v="3"/>
    <n v="0"/>
    <n v="876.53"/>
    <x v="0"/>
  </r>
  <r>
    <s v="ORD-10403"/>
    <d v="2024-03-23T00:00:00"/>
    <d v="2024-04-02T00:00:00"/>
    <s v="Laura Cox"/>
    <s v="Corporate"/>
    <x v="3"/>
    <x v="0"/>
    <s v="Bookcases"/>
    <s v="Best Bookcases"/>
    <n v="4081.55"/>
    <n v="7"/>
    <n v="0.1"/>
    <n v="831.4"/>
    <x v="0"/>
  </r>
  <r>
    <s v="ORD-10342"/>
    <d v="2024-03-30T00:00:00"/>
    <d v="2024-04-02T00:00:00"/>
    <s v="James Clark"/>
    <s v="Corporate"/>
    <x v="3"/>
    <x v="0"/>
    <s v="Tables"/>
    <s v="Low Tables"/>
    <n v="3522.06"/>
    <n v="3"/>
    <n v="0.05"/>
    <n v="-421.12"/>
    <x v="1"/>
  </r>
  <r>
    <s v="ORD-10023"/>
    <d v="2024-04-01T00:00:00"/>
    <d v="2024-04-02T00:00:00"/>
    <s v="Stacey Lewis"/>
    <s v="Consumer"/>
    <x v="2"/>
    <x v="0"/>
    <s v="Chairs"/>
    <s v="Than Chairs"/>
    <n v="1183.26"/>
    <n v="1"/>
    <n v="0.1"/>
    <n v="-190.54"/>
    <x v="1"/>
  </r>
  <r>
    <s v="ORD-10051"/>
    <d v="2024-04-03T00:00:00"/>
    <d v="2024-04-05T00:00:00"/>
    <s v="Laura James"/>
    <s v="Corporate"/>
    <x v="2"/>
    <x v="1"/>
    <s v="Paper"/>
    <s v="News Paper"/>
    <n v="3612.78"/>
    <n v="5"/>
    <n v="0.2"/>
    <n v="-108"/>
    <x v="1"/>
  </r>
  <r>
    <s v="ORD-10434"/>
    <d v="2024-03-29T00:00:00"/>
    <d v="2024-04-06T00:00:00"/>
    <s v="Theresa Cohen"/>
    <s v="Corporate"/>
    <x v="0"/>
    <x v="2"/>
    <s v="Accessories"/>
    <s v="Rich Accessories"/>
    <n v="2550.38"/>
    <n v="2"/>
    <n v="0.2"/>
    <n v="-467.2"/>
    <x v="1"/>
  </r>
  <r>
    <s v="ORD-10336"/>
    <d v="2024-04-04T00:00:00"/>
    <d v="2024-04-06T00:00:00"/>
    <s v="Benjamin Walker"/>
    <s v="Corporate"/>
    <x v="1"/>
    <x v="1"/>
    <s v="Storage"/>
    <s v="Interview Storage"/>
    <n v="2884.93"/>
    <n v="5"/>
    <n v="0.2"/>
    <n v="729.33"/>
    <x v="0"/>
  </r>
  <r>
    <s v="ORD-10124"/>
    <d v="2024-04-03T00:00:00"/>
    <d v="2024-04-08T00:00:00"/>
    <s v="Andrea Sanchez"/>
    <s v="Home Office"/>
    <x v="1"/>
    <x v="1"/>
    <s v="Paper"/>
    <s v="Thing Paper"/>
    <n v="158.6"/>
    <n v="7"/>
    <n v="0.1"/>
    <n v="-31.01"/>
    <x v="1"/>
  </r>
  <r>
    <s v="ORD-10211"/>
    <d v="2024-04-05T00:00:00"/>
    <d v="2024-04-08T00:00:00"/>
    <s v="Steven Glover"/>
    <s v="Consumer"/>
    <x v="3"/>
    <x v="2"/>
    <s v="Phones"/>
    <s v="Nice Phones"/>
    <n v="3978.8"/>
    <n v="9"/>
    <n v="0.05"/>
    <n v="-530.17999999999995"/>
    <x v="1"/>
  </r>
  <r>
    <s v="ORD-10541"/>
    <d v="2024-04-03T00:00:00"/>
    <d v="2024-04-10T00:00:00"/>
    <s v="David Cherry"/>
    <s v="Home Office"/>
    <x v="2"/>
    <x v="0"/>
    <s v="Chairs"/>
    <s v="Spring Chairs"/>
    <n v="3024.15"/>
    <n v="10"/>
    <n v="0.05"/>
    <n v="431.75"/>
    <x v="0"/>
  </r>
  <r>
    <s v="ORD-10459"/>
    <d v="2024-04-11T00:00:00"/>
    <d v="2024-04-12T00:00:00"/>
    <s v="Desiree Conrad"/>
    <s v="Home Office"/>
    <x v="1"/>
    <x v="0"/>
    <s v="Tables"/>
    <s v="Which Tables"/>
    <n v="1907.2"/>
    <n v="5"/>
    <n v="0.2"/>
    <n v="272.2"/>
    <x v="0"/>
  </r>
  <r>
    <s v="ORD-10063"/>
    <d v="2024-04-08T00:00:00"/>
    <d v="2024-04-15T00:00:00"/>
    <s v="Monica Kelley"/>
    <s v="Corporate"/>
    <x v="0"/>
    <x v="0"/>
    <s v="Tables"/>
    <s v="Power Tables"/>
    <n v="1687.86"/>
    <n v="8"/>
    <n v="0.15"/>
    <n v="-279.77"/>
    <x v="1"/>
  </r>
  <r>
    <s v="ORD-10690"/>
    <d v="2024-04-08T00:00:00"/>
    <d v="2024-04-16T00:00:00"/>
    <s v="Stephanie Cabrera Dvm"/>
    <s v="Home Office"/>
    <x v="2"/>
    <x v="1"/>
    <s v="Paper"/>
    <s v="Deep Paper"/>
    <n v="3930.75"/>
    <n v="7"/>
    <n v="0.2"/>
    <n v="-665.03"/>
    <x v="1"/>
  </r>
  <r>
    <s v="ORD-10118"/>
    <d v="2024-04-12T00:00:00"/>
    <d v="2024-04-17T00:00:00"/>
    <s v="Henry Williams"/>
    <s v="Corporate"/>
    <x v="2"/>
    <x v="0"/>
    <s v="Bookcases"/>
    <s v="Case Bookcases"/>
    <n v="4521.95"/>
    <n v="1"/>
    <n v="0.1"/>
    <n v="1075.68"/>
    <x v="0"/>
  </r>
  <r>
    <s v="ORD-10349"/>
    <d v="2024-04-15T00:00:00"/>
    <d v="2024-04-20T00:00:00"/>
    <s v="April Jackson"/>
    <s v="Corporate"/>
    <x v="1"/>
    <x v="1"/>
    <s v="Binders"/>
    <s v="Message Binders"/>
    <n v="836.94"/>
    <n v="5"/>
    <n v="0"/>
    <n v="133.93"/>
    <x v="0"/>
  </r>
  <r>
    <s v="ORD-10526"/>
    <d v="2024-04-19T00:00:00"/>
    <d v="2024-04-20T00:00:00"/>
    <s v="Steven Holloway"/>
    <s v="Consumer"/>
    <x v="2"/>
    <x v="1"/>
    <s v="Binders"/>
    <s v="Character Binders"/>
    <n v="2780.39"/>
    <n v="9"/>
    <n v="0.2"/>
    <n v="165.87"/>
    <x v="0"/>
  </r>
  <r>
    <s v="ORD-10449"/>
    <d v="2024-04-14T00:00:00"/>
    <d v="2024-04-23T00:00:00"/>
    <s v="Amanda Parker"/>
    <s v="Consumer"/>
    <x v="3"/>
    <x v="2"/>
    <s v="Phones"/>
    <s v="Carry Phones"/>
    <n v="643.09"/>
    <n v="7"/>
    <n v="0.2"/>
    <n v="-23.09"/>
    <x v="1"/>
  </r>
  <r>
    <s v="ORD-10491"/>
    <d v="2024-04-20T00:00:00"/>
    <d v="2024-04-23T00:00:00"/>
    <s v="Joel Johnson"/>
    <s v="Home Office"/>
    <x v="2"/>
    <x v="1"/>
    <s v="Paper"/>
    <s v="Generation Paper"/>
    <n v="4907.6099999999997"/>
    <n v="3"/>
    <n v="0.2"/>
    <n v="482.76"/>
    <x v="0"/>
  </r>
  <r>
    <s v="ORD-10290"/>
    <d v="2024-04-14T00:00:00"/>
    <d v="2024-04-24T00:00:00"/>
    <s v="Randy Johnson"/>
    <s v="Home Office"/>
    <x v="0"/>
    <x v="0"/>
    <s v="Bookcases"/>
    <s v="Blue Bookcases"/>
    <n v="4568.12"/>
    <n v="8"/>
    <n v="0"/>
    <n v="-897.01"/>
    <x v="1"/>
  </r>
  <r>
    <s v="ORD-10204"/>
    <d v="2024-04-17T00:00:00"/>
    <d v="2024-04-24T00:00:00"/>
    <s v="Brittany Summers"/>
    <s v="Home Office"/>
    <x v="0"/>
    <x v="0"/>
    <s v="Bookcases"/>
    <s v="Else Bookcases"/>
    <n v="1848.39"/>
    <n v="3"/>
    <n v="0"/>
    <n v="-224.53"/>
    <x v="1"/>
  </r>
  <r>
    <s v="ORD-10140"/>
    <d v="2024-04-21T00:00:00"/>
    <d v="2024-04-24T00:00:00"/>
    <s v="Jessica Greene"/>
    <s v="Home Office"/>
    <x v="3"/>
    <x v="2"/>
    <s v="Phones"/>
    <s v="Protect Phones"/>
    <n v="2724.07"/>
    <n v="3"/>
    <n v="0"/>
    <n v="445.61"/>
    <x v="0"/>
  </r>
  <r>
    <s v="ORD-10465"/>
    <d v="2024-04-23T00:00:00"/>
    <d v="2024-04-24T00:00:00"/>
    <s v="Joshua Myers"/>
    <s v="Home Office"/>
    <x v="0"/>
    <x v="2"/>
    <s v="Phones"/>
    <s v="Others Phones"/>
    <n v="113.11"/>
    <n v="2"/>
    <n v="0"/>
    <n v="29.34"/>
    <x v="0"/>
  </r>
  <r>
    <s v="ORD-10394"/>
    <d v="2024-04-18T00:00:00"/>
    <d v="2024-04-26T00:00:00"/>
    <s v="Richard Hernandez"/>
    <s v="Consumer"/>
    <x v="3"/>
    <x v="2"/>
    <s v="Phones"/>
    <s v="Trade Phones"/>
    <n v="2670.69"/>
    <n v="10"/>
    <n v="0.05"/>
    <n v="896.52"/>
    <x v="0"/>
  </r>
  <r>
    <s v="ORD-10499"/>
    <d v="2024-04-23T00:00:00"/>
    <d v="2024-04-28T00:00:00"/>
    <s v="Alyssa Martinez Dvm"/>
    <s v="Home Office"/>
    <x v="1"/>
    <x v="1"/>
    <s v="Binders"/>
    <s v="College Binders"/>
    <n v="2271.63"/>
    <n v="2"/>
    <n v="0.05"/>
    <n v="748.19"/>
    <x v="0"/>
  </r>
  <r>
    <s v="ORD-10711"/>
    <d v="2024-04-24T00:00:00"/>
    <d v="2024-05-01T00:00:00"/>
    <s v="Tara Mcdonald"/>
    <s v="Consumer"/>
    <x v="0"/>
    <x v="1"/>
    <s v="Paper"/>
    <s v="Last Paper"/>
    <n v="2973.15"/>
    <n v="4"/>
    <n v="0.2"/>
    <n v="-196.14"/>
    <x v="1"/>
  </r>
  <r>
    <s v="ORD-10048"/>
    <d v="2024-04-27T00:00:00"/>
    <d v="2024-05-02T00:00:00"/>
    <s v="Ann Conner"/>
    <s v="Corporate"/>
    <x v="0"/>
    <x v="0"/>
    <s v="Bookcases"/>
    <s v="Effort Bookcases"/>
    <n v="239.37"/>
    <n v="10"/>
    <n v="0.15"/>
    <n v="-2.36"/>
    <x v="1"/>
  </r>
  <r>
    <s v="ORD-10168"/>
    <d v="2024-04-24T00:00:00"/>
    <d v="2024-05-04T00:00:00"/>
    <s v="Daniel Wolfe"/>
    <s v="Corporate"/>
    <x v="0"/>
    <x v="1"/>
    <s v="Storage"/>
    <s v="Name Storage"/>
    <n v="1649.88"/>
    <n v="6"/>
    <n v="0.05"/>
    <n v="69.08"/>
    <x v="0"/>
  </r>
  <r>
    <s v="ORD-10202"/>
    <d v="2024-04-29T00:00:00"/>
    <d v="2024-05-04T00:00:00"/>
    <s v="Jonathan Arnold"/>
    <s v="Home Office"/>
    <x v="0"/>
    <x v="0"/>
    <s v="Tables"/>
    <s v="Force Tables"/>
    <n v="1567.15"/>
    <n v="10"/>
    <n v="0.2"/>
    <n v="53.85"/>
    <x v="0"/>
  </r>
  <r>
    <s v="ORD-10082"/>
    <d v="2024-04-29T00:00:00"/>
    <d v="2024-05-07T00:00:00"/>
    <s v="Brandon Barker"/>
    <s v="Corporate"/>
    <x v="3"/>
    <x v="1"/>
    <s v="Paper"/>
    <s v="Everybody Paper"/>
    <n v="2268.46"/>
    <n v="1"/>
    <n v="0"/>
    <n v="-86.59"/>
    <x v="1"/>
  </r>
  <r>
    <s v="ORD-10090"/>
    <d v="2024-05-11T00:00:00"/>
    <d v="2024-05-12T00:00:00"/>
    <s v="Ryan Moss"/>
    <s v="Consumer"/>
    <x v="1"/>
    <x v="0"/>
    <s v="Bookcases"/>
    <s v="Else Bookcases"/>
    <n v="801.05"/>
    <n v="10"/>
    <n v="0.1"/>
    <n v="-122.68"/>
    <x v="1"/>
  </r>
  <r>
    <s v="ORD-10056"/>
    <d v="2024-05-12T00:00:00"/>
    <d v="2024-05-15T00:00:00"/>
    <s v="Tara Ferguson"/>
    <s v="Consumer"/>
    <x v="0"/>
    <x v="0"/>
    <s v="Chairs"/>
    <s v="Just Chairs"/>
    <n v="170.91"/>
    <n v="4"/>
    <n v="0.15"/>
    <n v="23.28"/>
    <x v="0"/>
  </r>
  <r>
    <s v="ORD-10398"/>
    <d v="2024-05-14T00:00:00"/>
    <d v="2024-05-15T00:00:00"/>
    <s v="Larry Carter"/>
    <s v="Consumer"/>
    <x v="2"/>
    <x v="0"/>
    <s v="Chairs"/>
    <s v="Production Chairs"/>
    <n v="1201.49"/>
    <n v="4"/>
    <n v="0"/>
    <n v="107.59"/>
    <x v="0"/>
  </r>
  <r>
    <s v="ORD-10210"/>
    <d v="2024-05-09T00:00:00"/>
    <d v="2024-05-17T00:00:00"/>
    <s v="Emily Doyle"/>
    <s v="Consumer"/>
    <x v="2"/>
    <x v="0"/>
    <s v="Bookcases"/>
    <s v="Deep Bookcases"/>
    <n v="4986.45"/>
    <n v="6"/>
    <n v="0.2"/>
    <n v="-44.46"/>
    <x v="1"/>
  </r>
  <r>
    <s v="ORD-10546"/>
    <d v="2024-05-09T00:00:00"/>
    <d v="2024-05-18T00:00:00"/>
    <s v="Matthew Yang"/>
    <s v="Home Office"/>
    <x v="1"/>
    <x v="2"/>
    <s v="Phones"/>
    <s v="Partner Phones"/>
    <n v="2173.33"/>
    <n v="8"/>
    <n v="0.15"/>
    <n v="-15.68"/>
    <x v="1"/>
  </r>
  <r>
    <s v="ORD-10264"/>
    <d v="2024-05-11T00:00:00"/>
    <d v="2024-05-18T00:00:00"/>
    <s v="Mr. David Palmer"/>
    <s v="Consumer"/>
    <x v="1"/>
    <x v="1"/>
    <s v="Binders"/>
    <s v="Return Binders"/>
    <n v="1309.56"/>
    <n v="1"/>
    <n v="0.2"/>
    <n v="-104.97"/>
    <x v="1"/>
  </r>
  <r>
    <s v="ORD-10322"/>
    <d v="2024-05-13T00:00:00"/>
    <d v="2024-05-19T00:00:00"/>
    <s v="Kara Ortiz"/>
    <s v="Corporate"/>
    <x v="1"/>
    <x v="2"/>
    <s v="Accessories"/>
    <s v="Step Accessories"/>
    <n v="2303.9"/>
    <n v="4"/>
    <n v="0.2"/>
    <n v="151.16"/>
    <x v="0"/>
  </r>
  <r>
    <s v="ORD-10119"/>
    <d v="2024-05-18T00:00:00"/>
    <d v="2024-05-21T00:00:00"/>
    <s v="Alexis Robertson"/>
    <s v="Consumer"/>
    <x v="3"/>
    <x v="2"/>
    <s v="Accessories"/>
    <s v="Century Accessories"/>
    <n v="1258.78"/>
    <n v="7"/>
    <n v="0.2"/>
    <n v="220.27"/>
    <x v="0"/>
  </r>
  <r>
    <s v="ORD-10216"/>
    <d v="2024-05-23T00:00:00"/>
    <d v="2024-05-27T00:00:00"/>
    <s v="Christian Hernandez"/>
    <s v="Corporate"/>
    <x v="3"/>
    <x v="0"/>
    <s v="Tables"/>
    <s v="Region Tables"/>
    <n v="1762.81"/>
    <n v="9"/>
    <n v="0.1"/>
    <n v="467.61"/>
    <x v="0"/>
  </r>
  <r>
    <s v="ORD-10405"/>
    <d v="2024-05-22T00:00:00"/>
    <d v="2024-05-28T00:00:00"/>
    <s v="Nicholas Butler"/>
    <s v="Consumer"/>
    <x v="0"/>
    <x v="0"/>
    <s v="Bookcases"/>
    <s v="Pattern Bookcases"/>
    <n v="4609.1400000000003"/>
    <n v="10"/>
    <n v="0.05"/>
    <n v="699.69"/>
    <x v="0"/>
  </r>
  <r>
    <s v="ORD-10395"/>
    <d v="2024-05-23T00:00:00"/>
    <d v="2024-05-28T00:00:00"/>
    <s v="Marissa Fox"/>
    <s v="Corporate"/>
    <x v="2"/>
    <x v="1"/>
    <s v="Binders"/>
    <s v="With Binders"/>
    <n v="2691.76"/>
    <n v="1"/>
    <n v="0.05"/>
    <n v="313.94"/>
    <x v="0"/>
  </r>
  <r>
    <s v="ORD-10387"/>
    <d v="2024-05-24T00:00:00"/>
    <d v="2024-05-29T00:00:00"/>
    <s v="Elizabeth Miller"/>
    <s v="Consumer"/>
    <x v="0"/>
    <x v="1"/>
    <s v="Storage"/>
    <s v="Center Storage"/>
    <n v="4591.2700000000004"/>
    <n v="2"/>
    <n v="0"/>
    <n v="1599.78"/>
    <x v="0"/>
  </r>
  <r>
    <s v="ORD-10027"/>
    <d v="2024-05-29T00:00:00"/>
    <d v="2024-06-01T00:00:00"/>
    <s v="Amanda Roy"/>
    <s v="Home Office"/>
    <x v="1"/>
    <x v="0"/>
    <s v="Tables"/>
    <s v="His Tables"/>
    <n v="1428.8"/>
    <n v="4"/>
    <n v="0"/>
    <n v="62.47"/>
    <x v="0"/>
  </r>
  <r>
    <s v="ORD-10426"/>
    <s v="31-05-2024"/>
    <d v="2024-06-05T00:00:00"/>
    <s v="Christy White"/>
    <s v="Home Office"/>
    <x v="0"/>
    <x v="1"/>
    <s v="Binders"/>
    <s v="New Binders"/>
    <n v="4344"/>
    <n v="6"/>
    <n v="0.15"/>
    <n v="-237.72"/>
    <x v="1"/>
  </r>
  <r>
    <s v="ORD-10664"/>
    <d v="2024-06-01T00:00:00"/>
    <d v="2024-06-08T00:00:00"/>
    <s v="David Friedman"/>
    <s v="Home Office"/>
    <x v="1"/>
    <x v="1"/>
    <s v="Paper"/>
    <s v="Method Paper"/>
    <n v="3076.95"/>
    <n v="10"/>
    <n v="0.2"/>
    <n v="291.95999999999998"/>
    <x v="0"/>
  </r>
  <r>
    <s v="ORD-10540"/>
    <d v="2024-06-04T00:00:00"/>
    <d v="2024-06-09T00:00:00"/>
    <s v="Nichole Richardson"/>
    <s v="Corporate"/>
    <x v="0"/>
    <x v="1"/>
    <s v="Storage"/>
    <s v="His Storage"/>
    <n v="4738.91"/>
    <n v="4"/>
    <n v="0.15"/>
    <n v="633.07000000000005"/>
    <x v="0"/>
  </r>
  <r>
    <s v="ORD-10446"/>
    <d v="2024-06-03T00:00:00"/>
    <d v="2024-06-11T00:00:00"/>
    <s v="Jim Weiss"/>
    <s v="Consumer"/>
    <x v="2"/>
    <x v="2"/>
    <s v="Phones"/>
    <s v="Own Phones"/>
    <n v="683.32"/>
    <n v="5"/>
    <n v="0.2"/>
    <n v="167.13"/>
    <x v="0"/>
  </r>
  <r>
    <s v="ORD-10101"/>
    <d v="2024-06-06T00:00:00"/>
    <d v="2024-06-13T00:00:00"/>
    <s v="Jacqueline Hernandez"/>
    <s v="Corporate"/>
    <x v="2"/>
    <x v="0"/>
    <s v="Bookcases"/>
    <s v="End Bookcases"/>
    <n v="3192.18"/>
    <n v="8"/>
    <n v="0"/>
    <n v="186.76"/>
    <x v="0"/>
  </r>
  <r>
    <s v="ORD-10492"/>
    <d v="2024-06-09T00:00:00"/>
    <d v="2024-06-15T00:00:00"/>
    <s v="Devin Young"/>
    <s v="Home Office"/>
    <x v="0"/>
    <x v="1"/>
    <s v="Binders"/>
    <s v="Music Binders"/>
    <n v="2833.29"/>
    <n v="10"/>
    <n v="0.2"/>
    <n v="902.32"/>
    <x v="0"/>
  </r>
  <r>
    <s v="ORD-10712"/>
    <d v="2024-06-09T00:00:00"/>
    <d v="2024-06-15T00:00:00"/>
    <s v="Daniel Kelly"/>
    <s v="Corporate"/>
    <x v="2"/>
    <x v="2"/>
    <s v="Phones"/>
    <s v="Meeting Phones"/>
    <n v="1080.78"/>
    <n v="10"/>
    <n v="0.15"/>
    <n v="250.06"/>
    <x v="0"/>
  </r>
  <r>
    <s v="ORD-10415"/>
    <d v="2024-06-14T00:00:00"/>
    <d v="2024-06-15T00:00:00"/>
    <s v="Eric Hatfield"/>
    <s v="Corporate"/>
    <x v="3"/>
    <x v="0"/>
    <s v="Tables"/>
    <s v="Else Tables"/>
    <n v="2166.65"/>
    <n v="5"/>
    <n v="0.2"/>
    <n v="311.56"/>
    <x v="0"/>
  </r>
  <r>
    <s v="ORD-10726"/>
    <d v="2024-06-13T00:00:00"/>
    <d v="2024-06-18T00:00:00"/>
    <s v="Rebecca Daniel"/>
    <s v="Consumer"/>
    <x v="0"/>
    <x v="1"/>
    <s v="Storage"/>
    <s v="Director Storage"/>
    <n v="2083.65"/>
    <n v="9"/>
    <n v="0.2"/>
    <n v="3.82"/>
    <x v="0"/>
  </r>
  <r>
    <s v="ORD-10635"/>
    <d v="2024-06-09T00:00:00"/>
    <d v="2024-06-19T00:00:00"/>
    <s v="Eduardo West"/>
    <s v="Consumer"/>
    <x v="2"/>
    <x v="1"/>
    <s v="Storage"/>
    <s v="Simply Storage"/>
    <n v="4646.83"/>
    <n v="7"/>
    <n v="0"/>
    <n v="-150.41"/>
    <x v="1"/>
  </r>
  <r>
    <s v="ORD-10637"/>
    <d v="2024-06-09T00:00:00"/>
    <d v="2024-06-19T00:00:00"/>
    <s v="Dean Alvarez"/>
    <s v="Corporate"/>
    <x v="3"/>
    <x v="2"/>
    <s v="Laptops"/>
    <s v="Concern Laptops"/>
    <n v="2548.41"/>
    <n v="4"/>
    <n v="0.15"/>
    <n v="-103.51"/>
    <x v="1"/>
  </r>
  <r>
    <s v="ORD-10289"/>
    <d v="2024-06-15T00:00:00"/>
    <d v="2024-06-19T00:00:00"/>
    <s v="Alexandra Pitts"/>
    <s v="Corporate"/>
    <x v="2"/>
    <x v="0"/>
    <s v="Bookcases"/>
    <s v="Several Bookcases"/>
    <n v="386.44"/>
    <n v="3"/>
    <n v="0"/>
    <n v="-30.8"/>
    <x v="1"/>
  </r>
  <r>
    <s v="ORD-10553"/>
    <d v="2024-06-14T00:00:00"/>
    <d v="2024-06-22T00:00:00"/>
    <s v="Amy Watson"/>
    <s v="Corporate"/>
    <x v="2"/>
    <x v="1"/>
    <s v="Binders"/>
    <s v="Above Binders"/>
    <n v="3926.39"/>
    <n v="3"/>
    <n v="0"/>
    <n v="-322.14999999999998"/>
    <x v="1"/>
  </r>
  <r>
    <s v="ORD-10670"/>
    <d v="2024-06-17T00:00:00"/>
    <d v="2024-06-22T00:00:00"/>
    <s v="Joshua Dalton"/>
    <s v="Consumer"/>
    <x v="1"/>
    <x v="2"/>
    <s v="Phones"/>
    <s v="Candidate Phones"/>
    <n v="1654.17"/>
    <n v="3"/>
    <n v="0.2"/>
    <n v="336.28"/>
    <x v="0"/>
  </r>
  <r>
    <s v="ORD-10378"/>
    <d v="2024-06-16T00:00:00"/>
    <d v="2024-06-24T00:00:00"/>
    <s v="Jacob Shelton"/>
    <s v="Consumer"/>
    <x v="0"/>
    <x v="1"/>
    <s v="Paper"/>
    <s v="Despite Paper"/>
    <n v="4874.05"/>
    <n v="2"/>
    <n v="0.2"/>
    <n v="-718.59"/>
    <x v="1"/>
  </r>
  <r>
    <s v="ORD-10717"/>
    <d v="2024-06-15T00:00:00"/>
    <d v="2024-06-25T00:00:00"/>
    <s v="Aaron Smith"/>
    <s v="Corporate"/>
    <x v="2"/>
    <x v="2"/>
    <s v="Laptops"/>
    <s v="About Laptops"/>
    <n v="2263.44"/>
    <n v="4"/>
    <n v="0.2"/>
    <n v="639.61"/>
    <x v="0"/>
  </r>
  <r>
    <s v="ORD-10697"/>
    <d v="2024-06-16T00:00:00"/>
    <d v="2024-06-25T00:00:00"/>
    <s v="Alexis Murillo"/>
    <s v="Corporate"/>
    <x v="0"/>
    <x v="0"/>
    <s v="Chairs"/>
    <s v="Make Chairs"/>
    <n v="3399.75"/>
    <n v="3"/>
    <n v="0.05"/>
    <n v="674.9"/>
    <x v="0"/>
  </r>
  <r>
    <s v="ORD-10209"/>
    <d v="2024-06-20T00:00:00"/>
    <d v="2024-06-25T00:00:00"/>
    <s v="Amy Shepherd"/>
    <s v="Home Office"/>
    <x v="0"/>
    <x v="0"/>
    <s v="Bookcases"/>
    <s v="Sound Bookcases"/>
    <n v="3485.2"/>
    <n v="8"/>
    <n v="0.05"/>
    <n v="-461.96"/>
    <x v="1"/>
  </r>
  <r>
    <s v="ORD-10323"/>
    <d v="2024-06-18T00:00:00"/>
    <d v="2024-06-26T00:00:00"/>
    <s v="Nicholas James"/>
    <s v="Consumer"/>
    <x v="1"/>
    <x v="2"/>
    <s v="Laptops"/>
    <s v="Rather Laptops"/>
    <n v="1628.6"/>
    <n v="5"/>
    <n v="0"/>
    <n v="399.99"/>
    <x v="0"/>
  </r>
  <r>
    <s v="ORD-10524"/>
    <d v="2024-06-27T00:00:00"/>
    <d v="2024-06-29T00:00:00"/>
    <s v="Melissa Booth"/>
    <s v="Consumer"/>
    <x v="3"/>
    <x v="2"/>
    <s v="Laptops"/>
    <s v="Physical Laptops"/>
    <n v="920.06"/>
    <n v="10"/>
    <n v="0"/>
    <n v="241.96"/>
    <x v="0"/>
  </r>
  <r>
    <s v="ORD-10277"/>
    <d v="2024-06-25T00:00:00"/>
    <d v="2024-06-30T00:00:00"/>
    <s v="Kevin Randall"/>
    <s v="Home Office"/>
    <x v="0"/>
    <x v="0"/>
    <s v="Chairs"/>
    <s v="Magazine Chairs"/>
    <n v="4294.83"/>
    <n v="3"/>
    <n v="0.15"/>
    <n v="1301.8"/>
    <x v="0"/>
  </r>
  <r>
    <s v="ORD-10448"/>
    <d v="2024-06-25T00:00:00"/>
    <d v="2024-06-30T00:00:00"/>
    <s v="Gary Garcia"/>
    <s v="Home Office"/>
    <x v="1"/>
    <x v="2"/>
    <s v="Laptops"/>
    <s v="Walk Laptops"/>
    <n v="2345.62"/>
    <n v="2"/>
    <n v="0.15"/>
    <n v="-399.88"/>
    <x v="1"/>
  </r>
  <r>
    <s v="ORD-10699"/>
    <d v="2024-06-28T00:00:00"/>
    <d v="2024-06-30T00:00:00"/>
    <s v="John Roberts"/>
    <s v="Corporate"/>
    <x v="3"/>
    <x v="2"/>
    <s v="Phones"/>
    <s v="Language Phones"/>
    <n v="2626.86"/>
    <n v="5"/>
    <n v="0"/>
    <n v="309.07"/>
    <x v="0"/>
  </r>
  <r>
    <s v="ORD-10464"/>
    <d v="2024-06-26T00:00:00"/>
    <d v="2024-07-01T00:00:00"/>
    <s v="Scott Graham"/>
    <s v="Home Office"/>
    <x v="0"/>
    <x v="1"/>
    <s v="Paper"/>
    <s v="Recent Paper"/>
    <n v="843.85"/>
    <n v="9"/>
    <n v="0.15"/>
    <n v="253.74"/>
    <x v="0"/>
  </r>
  <r>
    <s v="ORD-10543"/>
    <d v="2024-07-05T00:00:00"/>
    <d v="2024-07-06T00:00:00"/>
    <s v="Grace Black"/>
    <s v="Consumer"/>
    <x v="1"/>
    <x v="0"/>
    <s v="Chairs"/>
    <s v="Foot Chairs"/>
    <n v="1051.6300000000001"/>
    <n v="9"/>
    <n v="0.2"/>
    <n v="32.479999999999997"/>
    <x v="0"/>
  </r>
  <r>
    <s v="ORD-10235"/>
    <d v="2024-07-02T00:00:00"/>
    <d v="2024-07-07T00:00:00"/>
    <s v="Sean Cantu"/>
    <s v="Consumer"/>
    <x v="0"/>
    <x v="1"/>
    <s v="Storage"/>
    <s v="Ahead Storage"/>
    <n v="2400.7199999999998"/>
    <n v="1"/>
    <n v="0.1"/>
    <n v="-42.78"/>
    <x v="1"/>
  </r>
  <r>
    <s v="ORD-10175"/>
    <d v="2024-07-07T00:00:00"/>
    <d v="2024-07-09T00:00:00"/>
    <s v="Barbara Hall"/>
    <s v="Home Office"/>
    <x v="3"/>
    <x v="0"/>
    <s v="Tables"/>
    <s v="By Tables"/>
    <n v="2811.92"/>
    <n v="7"/>
    <n v="0.1"/>
    <n v="-172.66"/>
    <x v="1"/>
  </r>
  <r>
    <s v="ORD-10296"/>
    <d v="2024-07-01T00:00:00"/>
    <d v="2024-07-10T00:00:00"/>
    <s v="Elizabeth Werner"/>
    <s v="Home Office"/>
    <x v="0"/>
    <x v="1"/>
    <s v="Binders"/>
    <s v="Move Binders"/>
    <n v="4599.8"/>
    <n v="4"/>
    <n v="0.05"/>
    <n v="1360.16"/>
    <x v="0"/>
  </r>
  <r>
    <s v="ORD-10307"/>
    <d v="2024-07-08T00:00:00"/>
    <d v="2024-07-11T00:00:00"/>
    <s v="Unknown"/>
    <s v="Corporate"/>
    <x v="0"/>
    <x v="1"/>
    <s v="Storage"/>
    <s v="Require Storage"/>
    <n v="3442.31"/>
    <n v="3"/>
    <n v="0.05"/>
    <n v="-179.33"/>
    <x v="1"/>
  </r>
  <r>
    <s v="ORD-10573"/>
    <d v="2024-07-03T00:00:00"/>
    <d v="2024-07-13T00:00:00"/>
    <s v="Kristina Salas"/>
    <s v="Corporate"/>
    <x v="0"/>
    <x v="2"/>
    <s v="Accessories"/>
    <s v="Bad Accessories"/>
    <n v="4316.12"/>
    <n v="3"/>
    <n v="0.2"/>
    <n v="-239.26"/>
    <x v="1"/>
  </r>
  <r>
    <s v="ORD-10160"/>
    <d v="2024-07-09T00:00:00"/>
    <d v="2024-07-14T00:00:00"/>
    <s v="Bruce Klein"/>
    <s v="Corporate"/>
    <x v="3"/>
    <x v="0"/>
    <s v="Chairs"/>
    <s v="Nation Chairs"/>
    <n v="1482.76"/>
    <n v="2"/>
    <n v="0"/>
    <n v="109.07"/>
    <x v="0"/>
  </r>
  <r>
    <s v="ORD-10234"/>
    <d v="2024-07-06T00:00:00"/>
    <d v="2024-07-16T00:00:00"/>
    <s v="Alexander Bradford"/>
    <s v="Home Office"/>
    <x v="0"/>
    <x v="0"/>
    <s v="Tables"/>
    <s v="Future Tables"/>
    <n v="3709.63"/>
    <n v="5"/>
    <n v="0.2"/>
    <n v="-55.62"/>
    <x v="1"/>
  </r>
  <r>
    <s v="ORD-10066"/>
    <d v="2024-07-09T00:00:00"/>
    <d v="2024-07-17T00:00:00"/>
    <s v="Kenneth Dunn"/>
    <s v="Corporate"/>
    <x v="3"/>
    <x v="2"/>
    <s v="Accessories"/>
    <s v="Interest Accessories"/>
    <n v="193.67"/>
    <n v="6"/>
    <n v="0.2"/>
    <n v="33.61"/>
    <x v="0"/>
  </r>
  <r>
    <s v="ORD-10612"/>
    <d v="2024-07-09T00:00:00"/>
    <d v="2024-07-18T00:00:00"/>
    <s v="Matthew Allen"/>
    <s v="Corporate"/>
    <x v="2"/>
    <x v="1"/>
    <s v="Paper"/>
    <s v="Begin Paper"/>
    <n v="3500.34"/>
    <n v="4"/>
    <n v="0.2"/>
    <n v="-340.78"/>
    <x v="1"/>
  </r>
  <r>
    <s v="ORD-10080"/>
    <d v="2024-07-12T00:00:00"/>
    <d v="2024-07-18T00:00:00"/>
    <s v="Christine Wood"/>
    <s v="Home Office"/>
    <x v="2"/>
    <x v="2"/>
    <s v="Phones"/>
    <s v="Wrong Phones"/>
    <n v="3999.27"/>
    <n v="6"/>
    <n v="0.1"/>
    <n v="1136.5"/>
    <x v="0"/>
  </r>
  <r>
    <s v="ORD-10295"/>
    <d v="2024-07-18T00:00:00"/>
    <d v="2024-07-19T00:00:00"/>
    <s v="Christopher Garcia"/>
    <s v="Home Office"/>
    <x v="2"/>
    <x v="0"/>
    <s v="Bookcases"/>
    <s v="Across Bookcases"/>
    <n v="3529.08"/>
    <n v="2"/>
    <n v="0.15"/>
    <n v="934.96"/>
    <x v="0"/>
  </r>
  <r>
    <s v="ORD-10193"/>
    <d v="2024-07-19T00:00:00"/>
    <d v="2024-07-21T00:00:00"/>
    <s v="Michael Ruiz"/>
    <s v="Home Office"/>
    <x v="1"/>
    <x v="1"/>
    <s v="Paper"/>
    <s v="Watch Paper"/>
    <n v="4769.3500000000004"/>
    <n v="9"/>
    <n v="0.2"/>
    <n v="1109"/>
    <x v="0"/>
  </r>
  <r>
    <s v="ORD-10152"/>
    <d v="2024-07-24T00:00:00"/>
    <d v="2024-07-26T00:00:00"/>
    <s v="Kendra Gonzalez"/>
    <s v="Home Office"/>
    <x v="1"/>
    <x v="1"/>
    <s v="Paper"/>
    <s v="Scene Paper"/>
    <n v="3824.9"/>
    <n v="10"/>
    <n v="0.05"/>
    <n v="933.17"/>
    <x v="0"/>
  </r>
  <r>
    <s v="ORD-10239"/>
    <d v="2024-07-24T00:00:00"/>
    <d v="2024-07-28T00:00:00"/>
    <s v="Jason Gonzalez"/>
    <s v="Home Office"/>
    <x v="1"/>
    <x v="0"/>
    <s v="Tables"/>
    <s v="Season Tables"/>
    <n v="2081.37"/>
    <n v="10"/>
    <n v="0.15"/>
    <n v="582.89"/>
    <x v="0"/>
  </r>
  <r>
    <s v="ORD-10081"/>
    <d v="2024-07-20T00:00:00"/>
    <d v="2024-07-29T00:00:00"/>
    <s v="Christopher Becker"/>
    <s v="Corporate"/>
    <x v="3"/>
    <x v="1"/>
    <s v="Binders"/>
    <s v="It Binders"/>
    <n v="4742.91"/>
    <n v="2"/>
    <n v="0.05"/>
    <n v="929.81"/>
    <x v="0"/>
  </r>
  <r>
    <s v="ORD-10148"/>
    <d v="2024-07-24T00:00:00"/>
    <d v="2024-07-29T00:00:00"/>
    <s v="Teresa Duke"/>
    <s v="Consumer"/>
    <x v="1"/>
    <x v="2"/>
    <s v="Accessories"/>
    <s v="Own Accessories"/>
    <n v="1902.79"/>
    <n v="3"/>
    <n v="0.2"/>
    <n v="585.38"/>
    <x v="0"/>
  </r>
  <r>
    <s v="ORD-10430"/>
    <d v="2024-07-25T00:00:00"/>
    <d v="2024-08-02T00:00:00"/>
    <s v="James Jackson"/>
    <s v="Home Office"/>
    <x v="1"/>
    <x v="2"/>
    <s v="Laptops"/>
    <s v="Put Laptops"/>
    <n v="3881.45"/>
    <n v="6"/>
    <n v="0.1"/>
    <n v="779.55"/>
    <x v="0"/>
  </r>
  <r>
    <s v="ORD-10453"/>
    <d v="2024-07-26T00:00:00"/>
    <d v="2024-08-02T00:00:00"/>
    <s v="Albert Mora"/>
    <s v="Home Office"/>
    <x v="3"/>
    <x v="1"/>
    <s v="Paper"/>
    <s v="Product Paper"/>
    <n v="2046.8"/>
    <n v="8"/>
    <n v="0.15"/>
    <n v="-404.1"/>
    <x v="1"/>
  </r>
  <r>
    <s v="ORD-10693"/>
    <d v="2024-08-02T00:00:00"/>
    <d v="2024-08-04T00:00:00"/>
    <s v="Joseph White"/>
    <s v="Home Office"/>
    <x v="1"/>
    <x v="0"/>
    <s v="Bookcases"/>
    <s v="Morning Bookcases"/>
    <n v="4329.74"/>
    <n v="5"/>
    <n v="0.2"/>
    <n v="1176.83"/>
    <x v="0"/>
  </r>
  <r>
    <s v="ORD-10738"/>
    <d v="2024-08-02T00:00:00"/>
    <d v="2024-08-04T00:00:00"/>
    <s v="Jody Martinez"/>
    <s v="Corporate"/>
    <x v="3"/>
    <x v="1"/>
    <s v="Paper"/>
    <s v="Will Paper"/>
    <n v="309.99"/>
    <n v="8"/>
    <n v="0.15"/>
    <n v="19.2"/>
    <x v="0"/>
  </r>
  <r>
    <s v="ORD-10407"/>
    <d v="2024-07-31T00:00:00"/>
    <d v="2024-08-05T00:00:00"/>
    <s v="David Johnson"/>
    <s v="Consumer"/>
    <x v="1"/>
    <x v="2"/>
    <s v="Phones"/>
    <s v="Candidate Phones"/>
    <n v="1087.94"/>
    <n v="2"/>
    <n v="0.1"/>
    <n v="-64.010000000000005"/>
    <x v="1"/>
  </r>
  <r>
    <s v="ORD-10324"/>
    <d v="2024-08-03T00:00:00"/>
    <d v="2024-08-05T00:00:00"/>
    <s v="Geoffrey Frank"/>
    <s v="Consumer"/>
    <x v="3"/>
    <x v="2"/>
    <s v="Laptops"/>
    <s v="Will Laptops"/>
    <n v="3401.84"/>
    <n v="3"/>
    <n v="0.2"/>
    <n v="-224"/>
    <x v="1"/>
  </r>
  <r>
    <s v="ORD-10262"/>
    <d v="2024-07-28T00:00:00"/>
    <d v="2024-08-06T00:00:00"/>
    <s v="Danielle Hodge"/>
    <s v="Consumer"/>
    <x v="0"/>
    <x v="0"/>
    <s v="Tables"/>
    <s v="Year Tables"/>
    <n v="2237.11"/>
    <n v="4"/>
    <n v="0.2"/>
    <n v="270.08999999999997"/>
    <x v="0"/>
  </r>
  <r>
    <s v="ORD-10154"/>
    <d v="2024-08-07T00:00:00"/>
    <d v="2024-08-10T00:00:00"/>
    <s v="Brandon Thompson"/>
    <s v="Home Office"/>
    <x v="1"/>
    <x v="0"/>
    <s v="Chairs"/>
    <s v="Three Chairs"/>
    <n v="2853.29"/>
    <n v="7"/>
    <n v="0"/>
    <n v="-348.01"/>
    <x v="1"/>
  </r>
  <r>
    <s v="ORD-10390"/>
    <d v="2024-08-09T00:00:00"/>
    <d v="2024-08-12T00:00:00"/>
    <s v="Jamie Flores"/>
    <s v="Corporate"/>
    <x v="0"/>
    <x v="2"/>
    <s v="Accessories"/>
    <s v="Center Accessories"/>
    <n v="221.51"/>
    <n v="10"/>
    <n v="0.2"/>
    <n v="-14.36"/>
    <x v="1"/>
  </r>
  <r>
    <s v="ORD-10508"/>
    <d v="2024-08-11T00:00:00"/>
    <d v="2024-08-12T00:00:00"/>
    <s v="James Hall"/>
    <s v="Consumer"/>
    <x v="0"/>
    <x v="1"/>
    <s v="Storage"/>
    <s v="Scientist Storage"/>
    <n v="3153.32"/>
    <n v="4"/>
    <n v="0.2"/>
    <n v="461.12"/>
    <x v="0"/>
  </r>
  <r>
    <s v="ORD-10606"/>
    <d v="2024-08-08T00:00:00"/>
    <d v="2024-08-13T00:00:00"/>
    <s v="John Roy"/>
    <s v="Consumer"/>
    <x v="3"/>
    <x v="2"/>
    <s v="Accessories"/>
    <s v="Entire Accessories"/>
    <n v="1033.68"/>
    <n v="1"/>
    <n v="0.2"/>
    <n v="-82.92"/>
    <x v="1"/>
  </r>
  <r>
    <s v="ORD-10351"/>
    <d v="2024-08-12T00:00:00"/>
    <d v="2024-08-14T00:00:00"/>
    <s v="Timothy Daniels"/>
    <s v="Consumer"/>
    <x v="0"/>
    <x v="1"/>
    <s v="Binders"/>
    <s v="Seek Binders"/>
    <n v="55.38"/>
    <n v="8"/>
    <n v="0"/>
    <n v="-7.03"/>
    <x v="1"/>
  </r>
  <r>
    <s v="ORD-10343"/>
    <d v="2024-08-09T00:00:00"/>
    <d v="2024-08-17T00:00:00"/>
    <s v="Christie Collier"/>
    <s v="Corporate"/>
    <x v="1"/>
    <x v="1"/>
    <s v="Paper"/>
    <s v="Simply Paper"/>
    <n v="753.75"/>
    <n v="5"/>
    <n v="0.2"/>
    <n v="20.97"/>
    <x v="0"/>
  </r>
  <r>
    <s v="ORD-10275"/>
    <d v="2024-08-19T00:00:00"/>
    <d v="2024-08-22T00:00:00"/>
    <s v="Christopher Riley"/>
    <s v="Corporate"/>
    <x v="0"/>
    <x v="1"/>
    <s v="Storage"/>
    <s v="Move Storage"/>
    <n v="3148.67"/>
    <n v="7"/>
    <n v="0.2"/>
    <n v="228.57"/>
    <x v="0"/>
  </r>
  <r>
    <s v="ORD-10388"/>
    <d v="2024-08-17T00:00:00"/>
    <d v="2024-08-23T00:00:00"/>
    <s v="Danielle Stuart"/>
    <s v="Home Office"/>
    <x v="0"/>
    <x v="0"/>
    <s v="Chairs"/>
    <s v="Able Chairs"/>
    <n v="656.51"/>
    <n v="8"/>
    <n v="0"/>
    <n v="-70.64"/>
    <x v="1"/>
  </r>
  <r>
    <s v="ORD-10632"/>
    <d v="2024-08-14T00:00:00"/>
    <d v="2024-08-24T00:00:00"/>
    <s v="Paul Chavez"/>
    <s v="Corporate"/>
    <x v="3"/>
    <x v="1"/>
    <s v="Paper"/>
    <s v="Operation Paper"/>
    <n v="4593.51"/>
    <n v="2"/>
    <n v="0.2"/>
    <n v="-98.39"/>
    <x v="1"/>
  </r>
  <r>
    <s v="ORD-10004"/>
    <d v="2024-08-19T00:00:00"/>
    <d v="2024-08-25T00:00:00"/>
    <s v="Samuel Diaz"/>
    <s v="Corporate"/>
    <x v="1"/>
    <x v="1"/>
    <s v="Paper"/>
    <s v="Prepare Paper"/>
    <n v="1425.46"/>
    <n v="4"/>
    <n v="0.1"/>
    <n v="-204.96"/>
    <x v="1"/>
  </r>
  <r>
    <s v="ORD-10145"/>
    <d v="2024-08-20T00:00:00"/>
    <d v="2024-08-25T00:00:00"/>
    <s v="Michelle Fuller"/>
    <s v="Corporate"/>
    <x v="2"/>
    <x v="0"/>
    <s v="Chairs"/>
    <s v="Near Chairs"/>
    <n v="3140.37"/>
    <n v="10"/>
    <n v="0.2"/>
    <n v="601.96"/>
    <x v="0"/>
  </r>
  <r>
    <s v="ORD-10011"/>
    <d v="2024-08-20T00:00:00"/>
    <d v="2024-08-26T00:00:00"/>
    <s v="Jacqueline Johnson"/>
    <s v="Home Office"/>
    <x v="0"/>
    <x v="1"/>
    <s v="Storage"/>
    <s v="Prepare Storage"/>
    <n v="1102.5"/>
    <n v="8"/>
    <n v="0.15"/>
    <n v="315.95"/>
    <x v="0"/>
  </r>
  <r>
    <s v="ORD-10013"/>
    <d v="2024-08-20T00:00:00"/>
    <d v="2024-08-26T00:00:00"/>
    <s v="Kenneth Sullivan"/>
    <s v="Consumer"/>
    <x v="1"/>
    <x v="1"/>
    <s v="Paper"/>
    <s v="Example Paper"/>
    <n v="1135.6400000000001"/>
    <n v="3"/>
    <n v="0.2"/>
    <n v="81.12"/>
    <x v="0"/>
  </r>
  <r>
    <s v="ORD-10096"/>
    <s v="17-08-2024"/>
    <d v="2024-08-26T00:00:00"/>
    <s v="Kimberly Wood"/>
    <s v="Consumer"/>
    <x v="1"/>
    <x v="2"/>
    <s v="Phones"/>
    <s v="Admit Phones"/>
    <n v="1162.81"/>
    <n v="3"/>
    <n v="0.1"/>
    <n v="296.11"/>
    <x v="0"/>
  </r>
  <r>
    <s v="ORD-10564"/>
    <d v="2024-08-19T00:00:00"/>
    <d v="2024-08-27T00:00:00"/>
    <s v="Robert Livingston"/>
    <s v="Consumer"/>
    <x v="3"/>
    <x v="1"/>
    <s v="Binders"/>
    <s v="Between Binders"/>
    <n v="625.53"/>
    <n v="2"/>
    <n v="0.15"/>
    <n v="92.9"/>
    <x v="0"/>
  </r>
  <r>
    <s v="ORD-10301"/>
    <d v="2024-08-23T00:00:00"/>
    <d v="2024-08-28T00:00:00"/>
    <s v="Wanda Graham"/>
    <s v="Home Office"/>
    <x v="0"/>
    <x v="2"/>
    <s v="Phones"/>
    <s v="Relationship Phones"/>
    <n v="3928.56"/>
    <n v="8"/>
    <n v="0.15"/>
    <n v="-292.77"/>
    <x v="1"/>
  </r>
  <r>
    <s v="ORD-10166"/>
    <d v="2024-08-25T00:00:00"/>
    <d v="2024-08-28T00:00:00"/>
    <s v="Stephen Andrews"/>
    <s v="Home Office"/>
    <x v="3"/>
    <x v="2"/>
    <s v="Accessories"/>
    <s v="Stay Accessories"/>
    <n v="1219.53"/>
    <n v="3"/>
    <n v="0.1"/>
    <n v="-111.59"/>
    <x v="1"/>
  </r>
  <r>
    <s v="ORD-10621"/>
    <d v="2024-08-22T00:00:00"/>
    <d v="2024-08-29T00:00:00"/>
    <s v="Kristina Kennedy"/>
    <s v="Consumer"/>
    <x v="1"/>
    <x v="1"/>
    <s v="Storage"/>
    <s v="Minute Storage"/>
    <n v="4119.03"/>
    <n v="1"/>
    <n v="0.2"/>
    <n v="-221.61"/>
    <x v="1"/>
  </r>
  <r>
    <s v="ORD-10352"/>
    <d v="2024-08-25T00:00:00"/>
    <d v="2024-08-31T00:00:00"/>
    <s v="Ryan Williams"/>
    <s v="Consumer"/>
    <x v="3"/>
    <x v="0"/>
    <s v="Chairs"/>
    <s v="Whose Chairs"/>
    <n v="4094.69"/>
    <n v="7"/>
    <n v="0.2"/>
    <n v="-521.27"/>
    <x v="1"/>
  </r>
  <r>
    <s v="ORD-10228"/>
    <d v="2024-08-30T00:00:00"/>
    <d v="2024-08-31T00:00:00"/>
    <s v="Michael Rivera"/>
    <s v="Home Office"/>
    <x v="2"/>
    <x v="2"/>
    <s v="Laptops"/>
    <s v="Better Laptops"/>
    <n v="4243.5"/>
    <n v="7"/>
    <n v="0.05"/>
    <n v="1210.8900000000001"/>
    <x v="0"/>
  </r>
  <r>
    <s v="ORD-10316"/>
    <d v="2024-08-25T00:00:00"/>
    <d v="2024-09-02T00:00:00"/>
    <s v="Amy Carlson"/>
    <s v="Home Office"/>
    <x v="0"/>
    <x v="2"/>
    <s v="Laptops"/>
    <s v="Growth Laptops"/>
    <n v="2932.11"/>
    <n v="9"/>
    <n v="0.2"/>
    <n v="902.86"/>
    <x v="0"/>
  </r>
  <r>
    <s v="ORD-10610"/>
    <d v="2024-09-02T00:00:00"/>
    <d v="2024-09-06T00:00:00"/>
    <s v="Jennifer Peterson"/>
    <s v="Corporate"/>
    <x v="3"/>
    <x v="0"/>
    <s v="Tables"/>
    <s v="Choose Tables"/>
    <n v="1617.86"/>
    <n v="9"/>
    <n v="0.2"/>
    <n v="349.75"/>
    <x v="0"/>
  </r>
  <r>
    <s v="ORD-10219"/>
    <d v="2024-09-06T00:00:00"/>
    <d v="2024-09-07T00:00:00"/>
    <s v="Victoria Smith"/>
    <s v="Home Office"/>
    <x v="0"/>
    <x v="0"/>
    <s v="Chairs"/>
    <s v="Memory Chairs"/>
    <n v="4745.3100000000004"/>
    <n v="10"/>
    <n v="0.1"/>
    <n v="750.34"/>
    <x v="0"/>
  </r>
  <r>
    <s v="ORD-10685"/>
    <d v="2024-08-30T00:00:00"/>
    <d v="2024-09-09T00:00:00"/>
    <s v="Laura Morrow"/>
    <s v="Consumer"/>
    <x v="0"/>
    <x v="2"/>
    <s v="Phones"/>
    <s v="Affect Phones"/>
    <n v="1201.97"/>
    <n v="5"/>
    <n v="0.05"/>
    <n v="-239.35"/>
    <x v="1"/>
  </r>
  <r>
    <s v="ORD-10201"/>
    <d v="2024-09-04T00:00:00"/>
    <d v="2024-09-11T00:00:00"/>
    <s v="Jonathon Chavez"/>
    <s v="Corporate"/>
    <x v="1"/>
    <x v="0"/>
    <s v="Bookcases"/>
    <s v="Want Bookcases"/>
    <n v="440.69"/>
    <n v="10"/>
    <n v="0.05"/>
    <n v="44.07"/>
    <x v="0"/>
  </r>
  <r>
    <s v="ORD-10308"/>
    <d v="2024-09-08T00:00:00"/>
    <d v="2024-09-11T00:00:00"/>
    <s v="Michael Jackson"/>
    <s v="Consumer"/>
    <x v="2"/>
    <x v="0"/>
    <s v="Chairs"/>
    <s v="Decade Chairs"/>
    <n v="2201.65"/>
    <n v="7"/>
    <n v="0.1"/>
    <n v="146.03"/>
    <x v="0"/>
  </r>
  <r>
    <s v="ORD-10586"/>
    <d v="2024-09-10T00:00:00"/>
    <d v="2024-09-13T00:00:00"/>
    <s v="Derek Dougherty"/>
    <s v="Corporate"/>
    <x v="1"/>
    <x v="2"/>
    <s v="Phones"/>
    <s v="Past Phones"/>
    <n v="4278.3500000000004"/>
    <n v="3"/>
    <n v="0.2"/>
    <n v="-303.57"/>
    <x v="1"/>
  </r>
  <r>
    <s v="ORD-10045"/>
    <d v="2024-09-14T00:00:00"/>
    <d v="2024-09-16T00:00:00"/>
    <s v="Michael Robinson"/>
    <s v="Corporate"/>
    <x v="2"/>
    <x v="0"/>
    <s v="Bookcases"/>
    <s v="These Bookcases"/>
    <n v="1943.58"/>
    <n v="1"/>
    <n v="0.15"/>
    <n v="-150.94"/>
    <x v="1"/>
  </r>
  <r>
    <s v="ORD-10686"/>
    <d v="2024-09-13T00:00:00"/>
    <d v="2024-09-17T00:00:00"/>
    <s v="Jennifer Baker"/>
    <s v="Corporate"/>
    <x v="0"/>
    <x v="1"/>
    <s v="Binders"/>
    <s v="Design Binders"/>
    <n v="4007.84"/>
    <n v="7"/>
    <n v="0.15"/>
    <n v="-701.29"/>
    <x v="1"/>
  </r>
  <r>
    <s v="ORD-10373"/>
    <d v="2024-09-14T00:00:00"/>
    <d v="2024-09-20T00:00:00"/>
    <s v="Robert Mcdonald"/>
    <s v="Corporate"/>
    <x v="2"/>
    <x v="2"/>
    <s v="Accessories"/>
    <s v="Space Accessories"/>
    <n v="477.61"/>
    <n v="8"/>
    <n v="0"/>
    <n v="1.39"/>
    <x v="0"/>
  </r>
  <r>
    <s v="ORD-10616"/>
    <d v="2024-09-16T00:00:00"/>
    <d v="2024-09-23T00:00:00"/>
    <s v="Cynthia Roberts"/>
    <s v="Corporate"/>
    <x v="2"/>
    <x v="1"/>
    <s v="Storage"/>
    <s v="Argue Storage"/>
    <n v="989.85"/>
    <n v="8"/>
    <n v="0.2"/>
    <n v="-114.06"/>
    <x v="1"/>
  </r>
  <r>
    <s v="ORD-10385"/>
    <d v="2024-09-16T00:00:00"/>
    <d v="2024-09-25T00:00:00"/>
    <s v="Jeffrey Morgan"/>
    <s v="Consumer"/>
    <x v="1"/>
    <x v="1"/>
    <s v="Storage"/>
    <s v="Particular Storage"/>
    <n v="1286.77"/>
    <n v="8"/>
    <n v="0"/>
    <n v="311.58"/>
    <x v="0"/>
  </r>
  <r>
    <s v="ORD-10079"/>
    <d v="2024-09-16T00:00:00"/>
    <d v="2024-09-26T00:00:00"/>
    <s v="Monica Price"/>
    <s v="Corporate"/>
    <x v="3"/>
    <x v="2"/>
    <s v="Laptops"/>
    <s v="While Laptops"/>
    <n v="3357.53"/>
    <n v="6"/>
    <n v="0"/>
    <n v="241.3"/>
    <x v="0"/>
  </r>
  <r>
    <s v="ORD-10106"/>
    <d v="2024-09-16T00:00:00"/>
    <d v="2024-09-26T00:00:00"/>
    <s v="Samantha Hernandez Phd"/>
    <s v="Home Office"/>
    <x v="0"/>
    <x v="0"/>
    <s v="Bookcases"/>
    <s v="Something Bookcases"/>
    <n v="4006.6"/>
    <n v="3"/>
    <n v="0.1"/>
    <n v="412.53"/>
    <x v="0"/>
  </r>
  <r>
    <s v="ORD-10163"/>
    <d v="2024-09-20T00:00:00"/>
    <d v="2024-09-27T00:00:00"/>
    <s v="Jerry Jackson"/>
    <s v="Consumer"/>
    <x v="0"/>
    <x v="1"/>
    <s v="Paper"/>
    <s v="President Paper"/>
    <n v="1483.1"/>
    <n v="7"/>
    <n v="0"/>
    <n v="491.51"/>
    <x v="0"/>
  </r>
  <r>
    <s v="ORD-10268"/>
    <d v="2024-09-20T00:00:00"/>
    <d v="2024-09-27T00:00:00"/>
    <s v="Jessica Hayes"/>
    <s v="Corporate"/>
    <x v="0"/>
    <x v="0"/>
    <s v="Bookcases"/>
    <s v="Toward Bookcases"/>
    <n v="2667.77"/>
    <n v="4"/>
    <n v="0"/>
    <n v="575.97"/>
    <x v="0"/>
  </r>
  <r>
    <s v="ORD-10733"/>
    <d v="2024-09-25T00:00:00"/>
    <d v="2024-09-27T00:00:00"/>
    <s v="Mark Chen"/>
    <s v="Home Office"/>
    <x v="2"/>
    <x v="2"/>
    <s v="Accessories"/>
    <s v="Material Accessories"/>
    <n v="677.77"/>
    <n v="2"/>
    <n v="0.1"/>
    <n v="-41.6"/>
    <x v="1"/>
  </r>
  <r>
    <s v="ORD-10391"/>
    <d v="2024-09-22T00:00:00"/>
    <d v="2024-09-30T00:00:00"/>
    <s v="Peggy Holder"/>
    <s v="Consumer"/>
    <x v="3"/>
    <x v="2"/>
    <s v="Laptops"/>
    <s v="Budget Laptops"/>
    <n v="351.85"/>
    <n v="5"/>
    <n v="0.15"/>
    <n v="-43.81"/>
    <x v="1"/>
  </r>
  <r>
    <s v="ORD-10652"/>
    <d v="2024-09-25T00:00:00"/>
    <d v="2024-09-30T00:00:00"/>
    <s v="Alicia Perez"/>
    <s v="Consumer"/>
    <x v="2"/>
    <x v="0"/>
    <s v="Bookcases"/>
    <s v="Tend Bookcases"/>
    <n v="4068.87"/>
    <n v="5"/>
    <n v="0.15"/>
    <n v="1178.8399999999999"/>
    <x v="0"/>
  </r>
  <r>
    <s v="ORD-10381"/>
    <d v="2024-09-27T00:00:00"/>
    <d v="2024-09-30T00:00:00"/>
    <s v="Rachel Miller"/>
    <s v="Consumer"/>
    <x v="2"/>
    <x v="1"/>
    <s v="Binders"/>
    <s v="Ok Binders"/>
    <n v="573.01"/>
    <n v="8"/>
    <n v="0.15"/>
    <n v="-15.63"/>
    <x v="1"/>
  </r>
  <r>
    <s v="ORD-10247"/>
    <d v="2024-09-22T00:00:00"/>
    <d v="2024-10-01T00:00:00"/>
    <s v="Brenda Cameron"/>
    <s v="Corporate"/>
    <x v="0"/>
    <x v="0"/>
    <s v="Chairs"/>
    <s v="Employee Chairs"/>
    <n v="1167.07"/>
    <n v="4"/>
    <n v="0"/>
    <n v="-169.1"/>
    <x v="1"/>
  </r>
  <r>
    <s v="ORD-10256"/>
    <d v="2024-09-26T00:00:00"/>
    <d v="2024-10-01T00:00:00"/>
    <s v="Paige Shah"/>
    <s v="Corporate"/>
    <x v="3"/>
    <x v="2"/>
    <s v="Accessories"/>
    <s v="Lawyer Accessories"/>
    <n v="2933.18"/>
    <n v="10"/>
    <n v="0"/>
    <n v="-164.69"/>
    <x v="1"/>
  </r>
  <r>
    <s v="ORD-10025"/>
    <d v="2024-09-29T00:00:00"/>
    <d v="2024-10-01T00:00:00"/>
    <s v="William Fernandez"/>
    <s v="Home Office"/>
    <x v="1"/>
    <x v="0"/>
    <s v="Chairs"/>
    <s v="Cultural Chairs"/>
    <n v="3311.96"/>
    <n v="6"/>
    <n v="0.15"/>
    <n v="86.46"/>
    <x v="0"/>
  </r>
  <r>
    <s v="ORD-10744"/>
    <d v="2024-10-01T00:00:00"/>
    <d v="2024-10-07T00:00:00"/>
    <s v="Eric Fernandez"/>
    <s v="Consumer"/>
    <x v="1"/>
    <x v="1"/>
    <s v="Paper"/>
    <s v="Garden Paper"/>
    <n v="1136.1099999999999"/>
    <n v="5"/>
    <n v="0.1"/>
    <n v="-106.57"/>
    <x v="1"/>
  </r>
  <r>
    <s v="ORD-10231"/>
    <d v="2024-10-01T00:00:00"/>
    <d v="2024-10-08T00:00:00"/>
    <s v="Julie Vega"/>
    <s v="Consumer"/>
    <x v="3"/>
    <x v="0"/>
    <s v="Chairs"/>
    <s v="Real Chairs"/>
    <n v="1897.33"/>
    <n v="6"/>
    <n v="0.2"/>
    <n v="600.36"/>
    <x v="0"/>
  </r>
  <r>
    <s v="ORD-10113"/>
    <d v="2024-10-02T00:00:00"/>
    <d v="2024-10-09T00:00:00"/>
    <s v="Tina Brady"/>
    <s v="Consumer"/>
    <x v="2"/>
    <x v="1"/>
    <s v="Paper"/>
    <s v="Mission Paper"/>
    <n v="4942.6499999999996"/>
    <n v="3"/>
    <n v="0.15"/>
    <n v="1634.3"/>
    <x v="0"/>
  </r>
  <r>
    <s v="ORD-10584"/>
    <d v="2024-10-06T00:00:00"/>
    <d v="2024-10-09T00:00:00"/>
    <s v="Brent Morris"/>
    <s v="Home Office"/>
    <x v="2"/>
    <x v="0"/>
    <s v="Chairs"/>
    <s v="Product Chairs"/>
    <n v="1750.95"/>
    <n v="6"/>
    <n v="0.1"/>
    <n v="278.68"/>
    <x v="0"/>
  </r>
  <r>
    <s v="ORD-10563"/>
    <d v="2024-10-03T00:00:00"/>
    <d v="2024-10-10T00:00:00"/>
    <s v="Brittany Sharp"/>
    <s v="Corporate"/>
    <x v="0"/>
    <x v="1"/>
    <s v="Paper"/>
    <s v="Democrat Paper"/>
    <n v="2837.68"/>
    <n v="4"/>
    <n v="0.1"/>
    <n v="932.69"/>
    <x v="0"/>
  </r>
  <r>
    <s v="ORD-10458"/>
    <d v="2024-10-08T00:00:00"/>
    <d v="2024-10-12T00:00:00"/>
    <s v="Kayla Green"/>
    <s v="Home Office"/>
    <x v="3"/>
    <x v="0"/>
    <s v="Chairs"/>
    <s v="Much Chairs"/>
    <n v="3649.49"/>
    <n v="3"/>
    <n v="0.05"/>
    <n v="743.55"/>
    <x v="0"/>
  </r>
  <r>
    <s v="ORD-10012"/>
    <d v="2024-10-09T00:00:00"/>
    <d v="2024-10-12T00:00:00"/>
    <s v="Kevin Anderson"/>
    <s v="Home Office"/>
    <x v="0"/>
    <x v="0"/>
    <s v="Tables"/>
    <s v="Live Tables"/>
    <n v="1270.81"/>
    <n v="9"/>
    <n v="0.2"/>
    <n v="-70.52"/>
    <x v="1"/>
  </r>
  <r>
    <s v="ORD-10749"/>
    <d v="2024-10-05T00:00:00"/>
    <d v="2024-10-13T00:00:00"/>
    <s v="Dr. Jason Jackson"/>
    <s v="Home Office"/>
    <x v="0"/>
    <x v="2"/>
    <s v="Phones"/>
    <s v="Society Phones"/>
    <n v="393.52"/>
    <n v="4"/>
    <n v="0.2"/>
    <n v="6.28"/>
    <x v="0"/>
  </r>
  <r>
    <s v="ORD-10487"/>
    <d v="2024-10-04T00:00:00"/>
    <d v="2024-10-14T00:00:00"/>
    <s v="Travis George"/>
    <s v="Consumer"/>
    <x v="3"/>
    <x v="1"/>
    <s v="Paper"/>
    <s v="Its Paper"/>
    <n v="2440.5100000000002"/>
    <n v="9"/>
    <n v="0.05"/>
    <n v="440.51"/>
    <x v="0"/>
  </r>
  <r>
    <s v="ORD-10242"/>
    <d v="2024-10-10T00:00:00"/>
    <d v="2024-10-14T00:00:00"/>
    <s v="Kathleen Hardin"/>
    <s v="Corporate"/>
    <x v="2"/>
    <x v="1"/>
    <s v="Paper"/>
    <s v="Condition Paper"/>
    <n v="4788.82"/>
    <n v="5"/>
    <n v="0.2"/>
    <n v="-171.56"/>
    <x v="1"/>
  </r>
  <r>
    <s v="ORD-10529"/>
    <d v="2024-10-14T00:00:00"/>
    <d v="2024-10-17T00:00:00"/>
    <s v="Unknown"/>
    <s v="Consumer"/>
    <x v="0"/>
    <x v="2"/>
    <s v="Phones"/>
    <s v="Evening Phones"/>
    <n v="2853.47"/>
    <n v="10"/>
    <n v="0.2"/>
    <n v="798.14"/>
    <x v="0"/>
  </r>
  <r>
    <s v="ORD-10545"/>
    <d v="2024-10-08T00:00:00"/>
    <d v="2024-10-18T00:00:00"/>
    <s v="Sarah Sloan"/>
    <s v="Home Office"/>
    <x v="0"/>
    <x v="1"/>
    <s v="Binders"/>
    <s v="Forget Binders"/>
    <n v="2719.47"/>
    <n v="1"/>
    <n v="0.2"/>
    <n v="427.17"/>
    <x v="0"/>
  </r>
  <r>
    <s v="ORD-10294"/>
    <s v="20-10-2024"/>
    <d v="2024-10-22T00:00:00"/>
    <s v="Roberto Wells"/>
    <s v="Corporate"/>
    <x v="0"/>
    <x v="2"/>
    <s v="Laptops"/>
    <s v="President Laptops"/>
    <n v="3285.99"/>
    <n v="1"/>
    <n v="0"/>
    <n v="75.260000000000005"/>
    <x v="0"/>
  </r>
  <r>
    <s v="ORD-10178"/>
    <d v="2024-10-17T00:00:00"/>
    <d v="2024-10-24T00:00:00"/>
    <s v="William Gonzalez"/>
    <s v="Consumer"/>
    <x v="2"/>
    <x v="1"/>
    <s v="Storage"/>
    <s v="Onto Storage"/>
    <n v="2567.02"/>
    <n v="1"/>
    <n v="0.1"/>
    <n v="-77.33"/>
    <x v="1"/>
  </r>
  <r>
    <s v="ORD-10144"/>
    <d v="2024-10-18T00:00:00"/>
    <d v="2024-10-26T00:00:00"/>
    <s v="Stephanie Marshall"/>
    <s v="Corporate"/>
    <x v="3"/>
    <x v="1"/>
    <s v="Binders"/>
    <s v="Sister Binders"/>
    <n v="3576.39"/>
    <n v="8"/>
    <n v="0"/>
    <n v="1053.5899999999999"/>
    <x v="0"/>
  </r>
  <r>
    <s v="ORD-10413"/>
    <d v="2024-10-23T00:00:00"/>
    <d v="2024-10-27T00:00:00"/>
    <s v="Dawn Peterson"/>
    <s v="Home Office"/>
    <x v="2"/>
    <x v="0"/>
    <s v="Tables"/>
    <s v="They Tables"/>
    <n v="4873.2700000000004"/>
    <n v="7"/>
    <n v="0.2"/>
    <n v="510.53"/>
    <x v="0"/>
  </r>
  <r>
    <s v="ORD-10368"/>
    <d v="2024-10-21T00:00:00"/>
    <d v="2024-10-30T00:00:00"/>
    <s v="Samuel Wang"/>
    <s v="Consumer"/>
    <x v="2"/>
    <x v="2"/>
    <s v="Accessories"/>
    <s v="Painting Accessories"/>
    <n v="1832.61"/>
    <n v="8"/>
    <n v="0.2"/>
    <n v="-198.32"/>
    <x v="1"/>
  </r>
  <r>
    <s v="ORD-10192"/>
    <d v="2024-10-31T00:00:00"/>
    <d v="2024-11-01T00:00:00"/>
    <s v="Jimmy Fisher"/>
    <s v="Home Office"/>
    <x v="1"/>
    <x v="2"/>
    <s v="Accessories"/>
    <s v="Open Accessories"/>
    <n v="3093.31"/>
    <n v="4"/>
    <n v="0.2"/>
    <n v="90.05"/>
    <x v="0"/>
  </r>
  <r>
    <s v="ORD-10547"/>
    <d v="2024-10-30T00:00:00"/>
    <d v="2024-11-04T00:00:00"/>
    <s v="Kelly Moore"/>
    <s v="Home Office"/>
    <x v="0"/>
    <x v="2"/>
    <s v="Phones"/>
    <s v="Material Phones"/>
    <n v="2411.85"/>
    <n v="4"/>
    <n v="0"/>
    <n v="-106.61"/>
    <x v="1"/>
  </r>
  <r>
    <s v="ORD-10284"/>
    <d v="2024-10-31T00:00:00"/>
    <d v="2024-11-06T00:00:00"/>
    <s v="Mrs. Elizabeth Fernandez Md"/>
    <s v="Home Office"/>
    <x v="3"/>
    <x v="1"/>
    <s v="Paper"/>
    <s v="Hear Paper"/>
    <n v="4575.9399999999996"/>
    <n v="6"/>
    <n v="0.1"/>
    <n v="126.58"/>
    <x v="0"/>
  </r>
  <r>
    <s v="ORD-10338"/>
    <d v="2024-11-01T00:00:00"/>
    <d v="2024-11-09T00:00:00"/>
    <s v="Susan Watson"/>
    <s v="Consumer"/>
    <x v="3"/>
    <x v="2"/>
    <s v="Phones"/>
    <s v="Language Phones"/>
    <n v="1350.94"/>
    <n v="2"/>
    <n v="0.15"/>
    <n v="372.74"/>
    <x v="0"/>
  </r>
  <r>
    <s v="ORD-10370"/>
    <d v="2024-11-03T00:00:00"/>
    <d v="2024-11-09T00:00:00"/>
    <s v="Karen Stevens"/>
    <s v="Consumer"/>
    <x v="0"/>
    <x v="0"/>
    <s v="Tables"/>
    <s v="International Tables"/>
    <n v="1945.75"/>
    <n v="3"/>
    <n v="0.05"/>
    <n v="607.34"/>
    <x v="0"/>
  </r>
  <r>
    <s v="ORD-10130"/>
    <d v="2024-11-05T00:00:00"/>
    <d v="2024-11-12T00:00:00"/>
    <s v="Shannon Smith"/>
    <s v="Corporate"/>
    <x v="1"/>
    <x v="0"/>
    <s v="Bookcases"/>
    <s v="Piece Bookcases"/>
    <n v="4837.99"/>
    <n v="9"/>
    <n v="0.1"/>
    <n v="-727.31"/>
    <x v="1"/>
  </r>
  <r>
    <s v="ORD-10433"/>
    <d v="2024-11-08T00:00:00"/>
    <d v="2024-11-12T00:00:00"/>
    <s v="Joshua Chen"/>
    <s v="Corporate"/>
    <x v="3"/>
    <x v="0"/>
    <s v="Chairs"/>
    <s v="Usually Chairs"/>
    <n v="4193.03"/>
    <n v="4"/>
    <n v="0"/>
    <n v="214.04"/>
    <x v="0"/>
  </r>
  <r>
    <s v="ORD-10579"/>
    <d v="2024-11-08T00:00:00"/>
    <d v="2024-11-13T00:00:00"/>
    <s v="Leslie Gordon"/>
    <s v="Corporate"/>
    <x v="2"/>
    <x v="0"/>
    <s v="Chairs"/>
    <s v="Power Chairs"/>
    <n v="2408.87"/>
    <n v="2"/>
    <n v="0.15"/>
    <n v="504.72"/>
    <x v="0"/>
  </r>
  <r>
    <s v="ORD-10253"/>
    <d v="2024-11-12T00:00:00"/>
    <d v="2024-11-13T00:00:00"/>
    <s v="Donna Martin"/>
    <s v="Consumer"/>
    <x v="3"/>
    <x v="1"/>
    <s v="Binders"/>
    <s v="Pick Binders"/>
    <n v="3696.26"/>
    <n v="5"/>
    <n v="0.2"/>
    <n v="631.77"/>
    <x v="0"/>
  </r>
  <r>
    <s v="ORD-10721"/>
    <d v="2024-11-10T00:00:00"/>
    <d v="2024-11-17T00:00:00"/>
    <s v="Ernest Wang"/>
    <s v="Home Office"/>
    <x v="0"/>
    <x v="2"/>
    <s v="Accessories"/>
    <s v="Win Accessories"/>
    <n v="2748.34"/>
    <n v="3"/>
    <n v="0.15"/>
    <n v="-339.45"/>
    <x v="1"/>
  </r>
  <r>
    <s v="ORD-10380"/>
    <d v="2024-11-12T00:00:00"/>
    <d v="2024-11-18T00:00:00"/>
    <s v="Ethan Walton"/>
    <s v="Consumer"/>
    <x v="3"/>
    <x v="1"/>
    <s v="Storage"/>
    <s v="Situation Storage"/>
    <n v="1624.39"/>
    <n v="5"/>
    <n v="0.05"/>
    <n v="-258.14999999999998"/>
    <x v="1"/>
  </r>
  <r>
    <s v="ORD-10703"/>
    <d v="2024-11-18T00:00:00"/>
    <d v="2024-11-23T00:00:00"/>
    <s v="Terri Lopez"/>
    <s v="Consumer"/>
    <x v="1"/>
    <x v="0"/>
    <s v="Chairs"/>
    <s v="Week Chairs"/>
    <n v="3085.65"/>
    <n v="6"/>
    <n v="0.2"/>
    <n v="135.79"/>
    <x v="0"/>
  </r>
  <r>
    <s v="ORD-10548"/>
    <d v="2024-11-26T00:00:00"/>
    <d v="2024-11-27T00:00:00"/>
    <s v="Jennifer Hudson"/>
    <s v="Home Office"/>
    <x v="1"/>
    <x v="2"/>
    <s v="Phones"/>
    <s v="Plant Phones"/>
    <n v="3560.29"/>
    <n v="1"/>
    <n v="0.2"/>
    <n v="311.16000000000003"/>
    <x v="0"/>
  </r>
  <r>
    <s v="ORD-10078"/>
    <d v="2024-11-18T00:00:00"/>
    <d v="2024-11-28T00:00:00"/>
    <s v="Gabriel Daniels"/>
    <s v="Corporate"/>
    <x v="3"/>
    <x v="2"/>
    <s v="Accessories"/>
    <s v="Theory Accessories"/>
    <n v="1378.56"/>
    <n v="4"/>
    <n v="0"/>
    <n v="-64.23"/>
    <x v="1"/>
  </r>
  <r>
    <s v="ORD-10569"/>
    <d v="2024-11-21T00:00:00"/>
    <d v="2024-11-29T00:00:00"/>
    <s v="Gregory Harding"/>
    <s v="Corporate"/>
    <x v="2"/>
    <x v="1"/>
    <s v="Storage"/>
    <s v="Party Storage"/>
    <n v="3088.44"/>
    <n v="9"/>
    <n v="0"/>
    <n v="822.78"/>
    <x v="0"/>
  </r>
  <r>
    <s v="ORD-10318"/>
    <d v="2024-11-23T00:00:00"/>
    <d v="2024-11-29T00:00:00"/>
    <s v="Randall West"/>
    <s v="Home Office"/>
    <x v="0"/>
    <x v="0"/>
    <s v="Bookcases"/>
    <s v="Include Bookcases"/>
    <n v="873.38"/>
    <n v="10"/>
    <n v="0"/>
    <n v="95.87"/>
    <x v="0"/>
  </r>
  <r>
    <s v="ORD-10102"/>
    <d v="2024-11-29T00:00:00"/>
    <d v="2024-12-01T00:00:00"/>
    <s v="Frederick Norris"/>
    <s v="Corporate"/>
    <x v="0"/>
    <x v="2"/>
    <s v="Laptops"/>
    <s v="Role Laptops"/>
    <n v="4295.78"/>
    <n v="6"/>
    <n v="0.15"/>
    <n v="779.77"/>
    <x v="0"/>
  </r>
  <r>
    <s v="ORD-10240"/>
    <d v="2024-11-24T00:00:00"/>
    <d v="2024-12-03T00:00:00"/>
    <s v="Bobby Wood"/>
    <s v="Corporate"/>
    <x v="2"/>
    <x v="1"/>
    <s v="Binders"/>
    <s v="Than Binders"/>
    <n v="1076.3399999999999"/>
    <n v="6"/>
    <n v="0.2"/>
    <n v="67.92"/>
    <x v="0"/>
  </r>
  <r>
    <s v="ORD-10150"/>
    <d v="2024-11-26T00:00:00"/>
    <d v="2024-12-03T00:00:00"/>
    <s v="Kristina Stanley"/>
    <s v="Corporate"/>
    <x v="2"/>
    <x v="1"/>
    <s v="Binders"/>
    <s v="At Binders"/>
    <n v="1800.31"/>
    <n v="7"/>
    <n v="0.2"/>
    <n v="-309.12"/>
    <x v="1"/>
  </r>
  <r>
    <s v="ORD-10325"/>
    <d v="2024-11-27T00:00:00"/>
    <d v="2024-12-04T00:00:00"/>
    <s v="Kimberly Flowers"/>
    <s v="Consumer"/>
    <x v="0"/>
    <x v="2"/>
    <s v="Laptops"/>
    <s v="Already Laptops"/>
    <n v="4794.3900000000003"/>
    <n v="4"/>
    <n v="0.15"/>
    <n v="701.75"/>
    <x v="0"/>
  </r>
  <r>
    <s v="ORD-10212"/>
    <d v="2024-12-03T00:00:00"/>
    <d v="2024-12-04T00:00:00"/>
    <s v="Unknown"/>
    <s v="Home Office"/>
    <x v="3"/>
    <x v="0"/>
    <s v="Tables"/>
    <s v="Write Tables"/>
    <n v="1836.44"/>
    <n v="10"/>
    <n v="0.1"/>
    <n v="104.81"/>
    <x v="0"/>
  </r>
  <r>
    <s v="ORD-10728"/>
    <d v="2024-12-04T00:00:00"/>
    <d v="2024-12-06T00:00:00"/>
    <s v="Mr. Andrew Anderson"/>
    <s v="Home Office"/>
    <x v="1"/>
    <x v="2"/>
    <s v="Laptops"/>
    <s v="Fire Laptops"/>
    <n v="2640.62"/>
    <n v="10"/>
    <n v="0"/>
    <n v="-171.96"/>
    <x v="1"/>
  </r>
  <r>
    <s v="ORD-10525"/>
    <d v="2024-12-07T00:00:00"/>
    <d v="2024-12-09T00:00:00"/>
    <s v="Megan Serrano"/>
    <s v="Home Office"/>
    <x v="0"/>
    <x v="2"/>
    <s v="Laptops"/>
    <s v="Experience Laptops"/>
    <n v="3650.76"/>
    <n v="1"/>
    <n v="0.2"/>
    <n v="538.1"/>
    <x v="0"/>
  </r>
  <r>
    <s v="ORD-10672"/>
    <d v="2024-12-03T00:00:00"/>
    <d v="2024-12-10T00:00:00"/>
    <s v="Kathleen Matthews"/>
    <s v="Home Office"/>
    <x v="3"/>
    <x v="2"/>
    <s v="Laptops"/>
    <s v="Bill Laptops"/>
    <n v="267.33999999999997"/>
    <n v="3"/>
    <n v="0.1"/>
    <n v="29.68"/>
    <x v="0"/>
  </r>
  <r>
    <s v="ORD-10292"/>
    <d v="2024-12-08T00:00:00"/>
    <d v="2024-12-10T00:00:00"/>
    <s v="Mark Harris"/>
    <s v="Corporate"/>
    <x v="2"/>
    <x v="0"/>
    <s v="Chairs"/>
    <s v="Letter Chairs"/>
    <n v="2645.71"/>
    <n v="4"/>
    <n v="0.05"/>
    <n v="372.73"/>
    <x v="0"/>
  </r>
  <r>
    <s v="ORD-10476"/>
    <d v="2024-12-01T00:00:00"/>
    <d v="2024-12-11T00:00:00"/>
    <s v="Raymond Merritt"/>
    <s v="Corporate"/>
    <x v="3"/>
    <x v="0"/>
    <s v="Bookcases"/>
    <s v="Western Bookcases"/>
    <n v="320.10000000000002"/>
    <n v="3"/>
    <n v="0.2"/>
    <n v="85.42"/>
    <x v="0"/>
  </r>
  <r>
    <s v="ORD-10297"/>
    <d v="2024-12-10T00:00:00"/>
    <d v="2024-12-12T00:00:00"/>
    <s v="Ashley Davis"/>
    <s v="Consumer"/>
    <x v="3"/>
    <x v="2"/>
    <s v="Phones"/>
    <s v="Black Phones"/>
    <n v="3437.92"/>
    <n v="5"/>
    <n v="0.2"/>
    <n v="377.93"/>
    <x v="0"/>
  </r>
  <r>
    <s v="ORD-10638"/>
    <d v="2024-12-15T00:00:00"/>
    <d v="2024-12-17T00:00:00"/>
    <s v="Michael Martin"/>
    <s v="Consumer"/>
    <x v="0"/>
    <x v="0"/>
    <s v="Tables"/>
    <s v="We Tables"/>
    <n v="2405.48"/>
    <n v="1"/>
    <n v="0.2"/>
    <n v="47.04"/>
    <x v="0"/>
  </r>
  <r>
    <s v="ORD-10103"/>
    <d v="2024-12-10T00:00:00"/>
    <d v="2024-12-18T00:00:00"/>
    <s v="Richard Day"/>
    <s v="Corporate"/>
    <x v="1"/>
    <x v="1"/>
    <s v="Binders"/>
    <s v="Money Binders"/>
    <n v="485.9"/>
    <n v="5"/>
    <n v="0.1"/>
    <n v="-66.2"/>
    <x v="1"/>
  </r>
  <r>
    <s v="ORD-10310"/>
    <d v="2024-12-09T00:00:00"/>
    <d v="2024-12-19T00:00:00"/>
    <s v="Regina Delgado"/>
    <s v="Home Office"/>
    <x v="0"/>
    <x v="2"/>
    <s v="Accessories"/>
    <s v="Region Accessories"/>
    <n v="1930.46"/>
    <n v="6"/>
    <n v="0.15"/>
    <n v="-30.68"/>
    <x v="1"/>
  </r>
  <r>
    <s v="ORD-10689"/>
    <d v="2024-12-12T00:00:00"/>
    <d v="2024-12-20T00:00:00"/>
    <s v="Michael Hernandez"/>
    <s v="Consumer"/>
    <x v="0"/>
    <x v="2"/>
    <s v="Accessories"/>
    <s v="Tend Accessories"/>
    <n v="4585.01"/>
    <n v="1"/>
    <n v="0.2"/>
    <n v="-574.66"/>
    <x v="1"/>
  </r>
  <r>
    <s v="ORD-10189"/>
    <d v="2024-12-18T00:00:00"/>
    <d v="2024-12-23T00:00:00"/>
    <s v="Jeremiah Wade"/>
    <s v="Home Office"/>
    <x v="0"/>
    <x v="0"/>
    <s v="Chairs"/>
    <s v="Pick Chairs"/>
    <n v="1117.49"/>
    <n v="3"/>
    <n v="0.2"/>
    <n v="354.38"/>
    <x v="0"/>
  </r>
  <r>
    <s v="ORD-10026"/>
    <d v="2024-12-21T00:00:00"/>
    <d v="2024-12-23T00:00:00"/>
    <s v="Nicholas Taylor"/>
    <s v="Consumer"/>
    <x v="0"/>
    <x v="1"/>
    <s v="Storage"/>
    <s v="Make Storage"/>
    <n v="350.03"/>
    <n v="6"/>
    <n v="0"/>
    <n v="-22.14"/>
    <x v="1"/>
  </r>
  <r>
    <s v="ORD-10636"/>
    <d v="2024-12-21T00:00:00"/>
    <d v="2024-12-24T00:00:00"/>
    <s v="Steven Levy"/>
    <s v="Home Office"/>
    <x v="0"/>
    <x v="1"/>
    <s v="Storage"/>
    <s v="Hope Storage"/>
    <n v="1667.82"/>
    <n v="4"/>
    <n v="0.05"/>
    <n v="-287.22000000000003"/>
    <x v="1"/>
  </r>
  <r>
    <s v="ORD-10466"/>
    <d v="2024-12-18T00:00:00"/>
    <d v="2024-12-27T00:00:00"/>
    <s v="Abigail Harris"/>
    <s v="Corporate"/>
    <x v="2"/>
    <x v="0"/>
    <s v="Chairs"/>
    <s v="Offer Chairs"/>
    <n v="421.49"/>
    <n v="2"/>
    <n v="0.1"/>
    <n v="65.069999999999993"/>
    <x v="0"/>
  </r>
  <r>
    <s v="ORD-10645"/>
    <d v="2024-12-18T00:00:00"/>
    <d v="2024-12-27T00:00:00"/>
    <s v="Melissa White"/>
    <s v="Home Office"/>
    <x v="0"/>
    <x v="0"/>
    <s v="Bookcases"/>
    <s v="Either Bookcases"/>
    <n v="1098.78"/>
    <n v="9"/>
    <n v="0.2"/>
    <n v="233.71"/>
    <x v="0"/>
  </r>
  <r>
    <s v="ORD-10468"/>
    <d v="2024-12-26T00:00:00"/>
    <d v="2024-12-28T00:00:00"/>
    <s v="Leslie Arias"/>
    <s v="Home Office"/>
    <x v="3"/>
    <x v="2"/>
    <s v="Laptops"/>
    <s v="She Laptops"/>
    <n v="520.24"/>
    <n v="1"/>
    <n v="0"/>
    <n v="139.74"/>
    <x v="0"/>
  </r>
  <r>
    <s v="ORD-10692"/>
    <d v="2024-12-24T00:00:00"/>
    <d v="2024-12-29T00:00:00"/>
    <s v="Jennifer Parks"/>
    <s v="Consumer"/>
    <x v="0"/>
    <x v="0"/>
    <s v="Chairs"/>
    <s v="Environment Chairs"/>
    <n v="4211.66"/>
    <n v="6"/>
    <n v="0.15"/>
    <n v="608.92999999999995"/>
    <x v="0"/>
  </r>
  <r>
    <s v="ORD-10371"/>
    <d v="2024-12-26T00:00:00"/>
    <d v="2024-12-30T00:00:00"/>
    <s v="Herbert Jones"/>
    <s v="Home Office"/>
    <x v="2"/>
    <x v="0"/>
    <s v="Tables"/>
    <s v="Perform Tables"/>
    <n v="2110.4699999999998"/>
    <n v="6"/>
    <n v="0.1"/>
    <n v="536.69000000000005"/>
    <x v="0"/>
  </r>
  <r>
    <s v="ORD-10581"/>
    <d v="2025-01-03T00:00:00"/>
    <d v="2025-01-07T00:00:00"/>
    <s v="Brandy Thomas"/>
    <s v="Corporate"/>
    <x v="2"/>
    <x v="1"/>
    <s v="Storage"/>
    <s v="Season Storage"/>
    <n v="2905.43"/>
    <n v="9"/>
    <n v="0.05"/>
    <n v="983.94"/>
    <x v="0"/>
  </r>
  <r>
    <s v="ORD-10020"/>
    <d v="2025-01-05T00:00:00"/>
    <d v="2025-01-08T00:00:00"/>
    <s v="Joshua Smith"/>
    <s v="Home Office"/>
    <x v="0"/>
    <x v="0"/>
    <s v="Bookcases"/>
    <s v="Cell Bookcases"/>
    <n v="685.54"/>
    <n v="8"/>
    <n v="0.2"/>
    <n v="-74.849999999999994"/>
    <x v="1"/>
  </r>
  <r>
    <s v="ORD-10583"/>
    <d v="2025-01-05T00:00:00"/>
    <d v="2025-01-08T00:00:00"/>
    <s v="Andrew Bennett"/>
    <s v="Home Office"/>
    <x v="0"/>
    <x v="1"/>
    <s v="Binders"/>
    <s v="Manage Binders"/>
    <n v="3220.87"/>
    <n v="6"/>
    <n v="0.15"/>
    <n v="474.11"/>
    <x v="0"/>
  </r>
  <r>
    <s v="ORD-10179"/>
    <d v="2025-01-06T00:00:00"/>
    <d v="2025-01-10T00:00:00"/>
    <s v="Bobby Rosario"/>
    <s v="Consumer"/>
    <x v="1"/>
    <x v="2"/>
    <s v="Phones"/>
    <s v="Little Phones"/>
    <n v="4999.88"/>
    <n v="3"/>
    <n v="0"/>
    <n v="-186.57"/>
    <x v="1"/>
  </r>
  <r>
    <s v="ORD-10122"/>
    <d v="2025-01-05T00:00:00"/>
    <d v="2025-01-11T00:00:00"/>
    <s v="Christopher Lee"/>
    <s v="Home Office"/>
    <x v="2"/>
    <x v="0"/>
    <s v="Tables"/>
    <s v="Human Tables"/>
    <n v="4938.88"/>
    <n v="5"/>
    <n v="0.2"/>
    <n v="1625.46"/>
    <x v="0"/>
  </r>
  <r>
    <s v="ORD-10341"/>
    <d v="2025-01-06T00:00:00"/>
    <d v="2025-01-11T00:00:00"/>
    <s v="Charles Gonzalez"/>
    <s v="Consumer"/>
    <x v="0"/>
    <x v="1"/>
    <s v="Paper"/>
    <s v="Quite Paper"/>
    <n v="2885.04"/>
    <n v="9"/>
    <n v="0.2"/>
    <n v="716.5"/>
    <x v="0"/>
  </r>
  <r>
    <s v="ORD-10650"/>
    <d v="2025-01-03T00:00:00"/>
    <d v="2025-01-12T00:00:00"/>
    <s v="Joseph Campbell"/>
    <s v="Consumer"/>
    <x v="2"/>
    <x v="0"/>
    <s v="Chairs"/>
    <s v="Whether Chairs"/>
    <n v="4835.62"/>
    <n v="9"/>
    <n v="0.2"/>
    <n v="-909.97"/>
    <x v="1"/>
  </r>
  <r>
    <s v="ORD-10671"/>
    <d v="2025-01-07T00:00:00"/>
    <d v="2025-01-13T00:00:00"/>
    <s v="Karen Curtis"/>
    <s v="Home Office"/>
    <x v="3"/>
    <x v="1"/>
    <s v="Paper"/>
    <s v="Cost Paper"/>
    <n v="472.27"/>
    <n v="7"/>
    <n v="0.2"/>
    <n v="111.02"/>
    <x v="0"/>
  </r>
  <r>
    <s v="ORD-10687"/>
    <d v="2025-01-09T00:00:00"/>
    <d v="2025-01-13T00:00:00"/>
    <s v="Gabriel House"/>
    <s v="Home Office"/>
    <x v="0"/>
    <x v="0"/>
    <s v="Bookcases"/>
    <s v="Summer Bookcases"/>
    <n v="3465.58"/>
    <n v="5"/>
    <n v="0"/>
    <n v="-106.48"/>
    <x v="1"/>
  </r>
  <r>
    <s v="ORD-10646"/>
    <s v="10-01-2025"/>
    <d v="2025-01-13T00:00:00"/>
    <s v="Shawn Sloan"/>
    <s v="Home Office"/>
    <x v="1"/>
    <x v="1"/>
    <s v="Storage"/>
    <s v="Provide Storage"/>
    <n v="3490.6"/>
    <n v="1"/>
    <n v="0.15"/>
    <n v="421.15"/>
    <x v="0"/>
  </r>
  <r>
    <s v="ORD-10225"/>
    <d v="2025-01-08T00:00:00"/>
    <d v="2025-01-18T00:00:00"/>
    <s v="William Hughes"/>
    <s v="Home Office"/>
    <x v="0"/>
    <x v="0"/>
    <s v="Tables"/>
    <s v="Kitchen Tables"/>
    <n v="3619.59"/>
    <n v="4"/>
    <n v="0.05"/>
    <n v="268.02"/>
    <x v="0"/>
  </r>
  <r>
    <s v="ORD-10538"/>
    <d v="2025-01-16T00:00:00"/>
    <d v="2025-01-19T00:00:00"/>
    <s v="Loretta Roberts"/>
    <s v="Consumer"/>
    <x v="3"/>
    <x v="0"/>
    <s v="Chairs"/>
    <s v="Here Chairs"/>
    <n v="2888.76"/>
    <n v="3"/>
    <n v="0.05"/>
    <n v="422.47"/>
    <x v="0"/>
  </r>
  <r>
    <s v="ORD-10710"/>
    <d v="2025-01-13T00:00:00"/>
    <d v="2025-01-20T00:00:00"/>
    <s v="Margaret Dennis"/>
    <s v="Consumer"/>
    <x v="2"/>
    <x v="1"/>
    <s v="Binders"/>
    <s v="Score Binders"/>
    <n v="4096.8900000000003"/>
    <n v="2"/>
    <n v="0.1"/>
    <n v="433.79"/>
    <x v="0"/>
  </r>
  <r>
    <s v="ORD-10719"/>
    <d v="2025-01-19T00:00:00"/>
    <d v="2025-01-20T00:00:00"/>
    <s v="Jeff Lowe"/>
    <s v="Home Office"/>
    <x v="2"/>
    <x v="0"/>
    <s v="Tables"/>
    <s v="According Tables"/>
    <n v="1877.65"/>
    <n v="9"/>
    <n v="0"/>
    <n v="-374.66"/>
    <x v="1"/>
  </r>
  <r>
    <s v="ORD-10018"/>
    <d v="2025-01-12T00:00:00"/>
    <d v="2025-01-21T00:00:00"/>
    <s v="Jeffrey Levy"/>
    <s v="Corporate"/>
    <x v="1"/>
    <x v="2"/>
    <s v="Phones"/>
    <s v="Ahead Phones"/>
    <n v="4769.82"/>
    <n v="9"/>
    <n v="0"/>
    <n v="617.30999999999995"/>
    <x v="0"/>
  </r>
  <r>
    <s v="ORD-10206"/>
    <d v="2025-01-14T00:00:00"/>
    <d v="2025-01-22T00:00:00"/>
    <s v="Kevin Delacruz"/>
    <s v="Home Office"/>
    <x v="3"/>
    <x v="1"/>
    <s v="Binders"/>
    <s v="Interesting Binders"/>
    <n v="4746.68"/>
    <n v="6"/>
    <n v="0.15"/>
    <n v="1042.83"/>
    <x v="0"/>
  </r>
  <r>
    <s v="ORD-10331"/>
    <d v="2025-01-20T00:00:00"/>
    <d v="2025-01-23T00:00:00"/>
    <s v="Mrs. Crystal Floyd Md"/>
    <s v="Home Office"/>
    <x v="3"/>
    <x v="2"/>
    <s v="Laptops"/>
    <s v="Product Laptops"/>
    <n v="2895.29"/>
    <n v="7"/>
    <n v="0.05"/>
    <n v="195.92"/>
    <x v="0"/>
  </r>
  <r>
    <s v="ORD-10589"/>
    <d v="2025-01-19T00:00:00"/>
    <d v="2025-01-24T00:00:00"/>
    <s v="Kelly Wilson"/>
    <s v="Consumer"/>
    <x v="1"/>
    <x v="0"/>
    <s v="Chairs"/>
    <s v="Sort Chairs"/>
    <n v="2243.64"/>
    <n v="3"/>
    <n v="0.05"/>
    <n v="201.27"/>
    <x v="0"/>
  </r>
  <r>
    <s v="ORD-10084"/>
    <d v="2025-01-19T00:00:00"/>
    <d v="2025-01-27T00:00:00"/>
    <s v="Kristen Payne"/>
    <s v="Consumer"/>
    <x v="2"/>
    <x v="2"/>
    <s v="Laptops"/>
    <s v="Small Laptops"/>
    <n v="1391.04"/>
    <n v="5"/>
    <n v="0.05"/>
    <n v="-185.9"/>
    <x v="1"/>
  </r>
  <r>
    <s v="ORD-10107"/>
    <d v="2025-01-26T00:00:00"/>
    <d v="2025-01-28T00:00:00"/>
    <s v="Gregory Munoz"/>
    <s v="Corporate"/>
    <x v="2"/>
    <x v="0"/>
    <s v="Chairs"/>
    <s v="Role Chairs"/>
    <n v="2334.17"/>
    <n v="2"/>
    <n v="0.2"/>
    <n v="601.47"/>
    <x v="0"/>
  </r>
  <r>
    <s v="ORD-10443"/>
    <d v="2025-01-29T00:00:00"/>
    <d v="2025-02-01T00:00:00"/>
    <s v="Dawn Jones"/>
    <s v="Corporate"/>
    <x v="0"/>
    <x v="1"/>
    <s v="Paper"/>
    <s v="Develop Paper"/>
    <n v="3620.35"/>
    <n v="8"/>
    <n v="0.1"/>
    <n v="-207.5"/>
    <x v="1"/>
  </r>
  <r>
    <s v="ORD-10615"/>
    <d v="2025-02-01T00:00:00"/>
    <d v="2025-02-02T00:00:00"/>
    <s v="Julia Jones"/>
    <s v="Home Office"/>
    <x v="1"/>
    <x v="1"/>
    <s v="Binders"/>
    <s v="Phone Binders"/>
    <n v="3117.69"/>
    <n v="6"/>
    <n v="0.2"/>
    <n v="-214.08"/>
    <x v="1"/>
  </r>
  <r>
    <s v="ORD-10028"/>
    <d v="2025-01-26T00:00:00"/>
    <d v="2025-02-04T00:00:00"/>
    <s v="Charles Moore"/>
    <s v="Corporate"/>
    <x v="0"/>
    <x v="0"/>
    <s v="Bookcases"/>
    <s v="Yeah Bookcases"/>
    <n v="4188.34"/>
    <n v="2"/>
    <n v="0.05"/>
    <n v="-454.56"/>
    <x v="1"/>
  </r>
  <r>
    <s v="ORD-10419"/>
    <d v="2025-02-03T00:00:00"/>
    <d v="2025-02-04T00:00:00"/>
    <s v="Mark Valdez"/>
    <s v="Home Office"/>
    <x v="0"/>
    <x v="2"/>
    <s v="Laptops"/>
    <s v="Thus Laptops"/>
    <n v="798.1"/>
    <n v="2"/>
    <n v="0"/>
    <n v="133.66"/>
    <x v="0"/>
  </r>
  <r>
    <s v="ORD-10611"/>
    <d v="2025-01-29T00:00:00"/>
    <d v="2025-02-05T00:00:00"/>
    <s v="Louis Foster"/>
    <s v="Corporate"/>
    <x v="0"/>
    <x v="0"/>
    <s v="Bookcases"/>
    <s v="Tree Bookcases"/>
    <n v="1822.93"/>
    <n v="3"/>
    <n v="0.1"/>
    <n v="536.41999999999996"/>
    <x v="0"/>
  </r>
  <r>
    <s v="ORD-10061"/>
    <d v="2025-02-03T00:00:00"/>
    <d v="2025-02-07T00:00:00"/>
    <s v="Wanda Byrd"/>
    <s v="Corporate"/>
    <x v="2"/>
    <x v="1"/>
    <s v="Paper"/>
    <s v="Fact Paper"/>
    <n v="1409.26"/>
    <n v="2"/>
    <n v="0.2"/>
    <n v="-60.39"/>
    <x v="1"/>
  </r>
  <r>
    <s v="ORD-10735"/>
    <d v="2025-02-02T00:00:00"/>
    <d v="2025-02-08T00:00:00"/>
    <s v="Shannon Morgan"/>
    <s v="Consumer"/>
    <x v="1"/>
    <x v="1"/>
    <s v="Paper"/>
    <s v="There Paper"/>
    <n v="4048.81"/>
    <n v="5"/>
    <n v="0.2"/>
    <n v="-283.79000000000002"/>
    <x v="1"/>
  </r>
  <r>
    <s v="ORD-10112"/>
    <d v="2025-02-04T00:00:00"/>
    <d v="2025-02-08T00:00:00"/>
    <s v="Tonya Turner"/>
    <s v="Home Office"/>
    <x v="0"/>
    <x v="2"/>
    <s v="Phones"/>
    <s v="Cold Phones"/>
    <n v="2880.4"/>
    <n v="4"/>
    <n v="0.15"/>
    <n v="-506.93"/>
    <x v="1"/>
  </r>
  <r>
    <s v="ORD-10450"/>
    <d v="2025-02-04T00:00:00"/>
    <d v="2025-02-10T00:00:00"/>
    <s v="Leah Walton"/>
    <s v="Home Office"/>
    <x v="3"/>
    <x v="0"/>
    <s v="Chairs"/>
    <s v="Treat Chairs"/>
    <n v="2075.5"/>
    <n v="10"/>
    <n v="0.15"/>
    <n v="-251.61"/>
    <x v="1"/>
  </r>
  <r>
    <s v="ORD-10452"/>
    <d v="2025-02-08T00:00:00"/>
    <d v="2025-02-11T00:00:00"/>
    <s v="Miss Janice Miranda"/>
    <s v="Consumer"/>
    <x v="3"/>
    <x v="2"/>
    <s v="Phones"/>
    <s v="Child Phones"/>
    <n v="2902.58"/>
    <n v="3"/>
    <n v="0.15"/>
    <n v="673.01"/>
    <x v="0"/>
  </r>
  <r>
    <s v="ORD-10575"/>
    <d v="2025-02-04T00:00:00"/>
    <d v="2025-02-12T00:00:00"/>
    <s v="Patricia Robinson"/>
    <s v="Consumer"/>
    <x v="2"/>
    <x v="2"/>
    <s v="Accessories"/>
    <s v="All Accessories"/>
    <n v="940.45"/>
    <n v="3"/>
    <n v="0.2"/>
    <n v="166.75"/>
    <x v="0"/>
  </r>
  <r>
    <s v="ORD-10556"/>
    <d v="2025-02-04T00:00:00"/>
    <d v="2025-02-13T00:00:00"/>
    <s v="Don Pace"/>
    <s v="Consumer"/>
    <x v="0"/>
    <x v="1"/>
    <s v="Storage"/>
    <s v="Over Storage"/>
    <n v="1468.02"/>
    <n v="10"/>
    <n v="0"/>
    <n v="469.98"/>
    <x v="0"/>
  </r>
  <r>
    <s v="ORD-10516"/>
    <s v="05-02-2025"/>
    <d v="2025-02-14T00:00:00"/>
    <s v="Mandy Green"/>
    <s v="Corporate"/>
    <x v="1"/>
    <x v="0"/>
    <s v="Bookcases"/>
    <s v="Eat Bookcases"/>
    <n v="749.8"/>
    <n v="1"/>
    <n v="0"/>
    <n v="86.22"/>
    <x v="0"/>
  </r>
  <r>
    <s v="ORD-10423"/>
    <d v="2025-02-11T00:00:00"/>
    <d v="2025-02-18T00:00:00"/>
    <s v="John Snow"/>
    <s v="Home Office"/>
    <x v="1"/>
    <x v="2"/>
    <s v="Phones"/>
    <s v="Use Phones"/>
    <n v="1049.5"/>
    <n v="3"/>
    <n v="0.2"/>
    <n v="-61.04"/>
    <x v="1"/>
  </r>
  <r>
    <s v="ORD-10230"/>
    <d v="2025-02-11T00:00:00"/>
    <d v="2025-02-20T00:00:00"/>
    <s v="Blake Jones"/>
    <s v="Home Office"/>
    <x v="1"/>
    <x v="0"/>
    <s v="Tables"/>
    <s v="Cold Tables"/>
    <n v="2279.25"/>
    <n v="9"/>
    <n v="0.1"/>
    <n v="578.75"/>
    <x v="0"/>
  </r>
  <r>
    <s v="ORD-10651"/>
    <s v="15-02-2025"/>
    <d v="2025-02-22T00:00:00"/>
    <s v="Steven Morrison"/>
    <s v="Corporate"/>
    <x v="2"/>
    <x v="2"/>
    <s v="Accessories"/>
    <s v="Thus Accessories"/>
    <n v="3734.73"/>
    <n v="1"/>
    <n v="0.1"/>
    <n v="658.7"/>
    <x v="0"/>
  </r>
  <r>
    <s v="ORD-10527"/>
    <d v="2025-02-14T00:00:00"/>
    <d v="2025-02-24T00:00:00"/>
    <s v="Angelica Taylor"/>
    <s v="Home Office"/>
    <x v="1"/>
    <x v="2"/>
    <s v="Phones"/>
    <s v="Site Phones"/>
    <n v="3679.47"/>
    <n v="5"/>
    <n v="0.05"/>
    <n v="204.53"/>
    <x v="0"/>
  </r>
  <r>
    <s v="ORD-10674"/>
    <d v="2025-02-22T00:00:00"/>
    <d v="2025-02-25T00:00:00"/>
    <s v="Jerry Russell"/>
    <s v="Corporate"/>
    <x v="1"/>
    <x v="2"/>
    <s v="Laptops"/>
    <s v="Scene Laptops"/>
    <n v="631.89"/>
    <n v="3"/>
    <n v="0.05"/>
    <n v="-125.15"/>
    <x v="1"/>
  </r>
  <r>
    <s v="ORD-10183"/>
    <d v="2025-02-19T00:00:00"/>
    <d v="2025-02-26T00:00:00"/>
    <s v="David Brady"/>
    <s v="Home Office"/>
    <x v="3"/>
    <x v="2"/>
    <s v="Accessories"/>
    <s v="Event Accessories"/>
    <n v="2539.39"/>
    <n v="7"/>
    <n v="0.05"/>
    <n v="633.04"/>
    <x v="0"/>
  </r>
  <r>
    <s v="ORD-10649"/>
    <d v="2025-02-21T00:00:00"/>
    <d v="2025-03-02T00:00:00"/>
    <s v="Amanda Bauer"/>
    <s v="Home Office"/>
    <x v="1"/>
    <x v="0"/>
    <s v="Tables"/>
    <s v="Sometimes Tables"/>
    <n v="4884.2299999999996"/>
    <n v="2"/>
    <n v="0.1"/>
    <n v="325.11"/>
    <x v="0"/>
  </r>
  <r>
    <s v="ORD-10425"/>
    <d v="2025-03-02T00:00:00"/>
    <d v="2025-03-05T00:00:00"/>
    <s v="Jordan Mcgee"/>
    <s v="Consumer"/>
    <x v="1"/>
    <x v="0"/>
    <s v="Tables"/>
    <s v="Affect Tables"/>
    <n v="783.59"/>
    <n v="10"/>
    <n v="0.2"/>
    <n v="170.12"/>
    <x v="0"/>
  </r>
  <r>
    <s v="ORD-10300"/>
    <d v="2025-02-27T00:00:00"/>
    <d v="2025-03-06T00:00:00"/>
    <s v="Unknown"/>
    <s v="Home Office"/>
    <x v="0"/>
    <x v="0"/>
    <s v="Chairs"/>
    <s v="Character Chairs"/>
    <n v="1199.1099999999999"/>
    <n v="2"/>
    <n v="0.1"/>
    <n v="159.29"/>
    <x v="0"/>
  </r>
  <r>
    <s v="ORD-10706"/>
    <d v="2025-03-03T00:00:00"/>
    <d v="2025-03-06T00:00:00"/>
    <s v="David Lambert"/>
    <s v="Home Office"/>
    <x v="0"/>
    <x v="2"/>
    <s v="Laptops"/>
    <s v="Night Laptops"/>
    <n v="509.94"/>
    <n v="8"/>
    <n v="0"/>
    <n v="25.79"/>
    <x v="0"/>
  </r>
  <r>
    <s v="ORD-10367"/>
    <d v="2025-03-06T00:00:00"/>
    <d v="2025-03-07T00:00:00"/>
    <s v="Melissa Taylor"/>
    <s v="Corporate"/>
    <x v="1"/>
    <x v="1"/>
    <s v="Binders"/>
    <s v="Affect Binders"/>
    <n v="1708.3"/>
    <n v="7"/>
    <n v="0.1"/>
    <n v="150.54"/>
    <x v="0"/>
  </r>
  <r>
    <s v="ORD-10050"/>
    <d v="2025-02-27T00:00:00"/>
    <d v="2025-03-08T00:00:00"/>
    <s v="Andrea Carrillo"/>
    <s v="Home Office"/>
    <x v="2"/>
    <x v="0"/>
    <s v="Bookcases"/>
    <s v="Chair Bookcases"/>
    <n v="3449.94"/>
    <n v="4"/>
    <n v="0.1"/>
    <n v="128.38"/>
    <x v="0"/>
  </r>
  <r>
    <s v="ORD-10055"/>
    <d v="2025-03-04T00:00:00"/>
    <d v="2025-03-09T00:00:00"/>
    <s v="Jennifer Downs"/>
    <s v="Consumer"/>
    <x v="2"/>
    <x v="1"/>
    <s v="Binders"/>
    <s v="Support Binders"/>
    <n v="2601.4899999999998"/>
    <n v="10"/>
    <n v="0.1"/>
    <n v="-386.68"/>
    <x v="1"/>
  </r>
  <r>
    <s v="ORD-10361"/>
    <d v="2025-03-08T00:00:00"/>
    <d v="2025-03-09T00:00:00"/>
    <s v="Robert Porter"/>
    <s v="Home Office"/>
    <x v="0"/>
    <x v="0"/>
    <s v="Chairs"/>
    <s v="Word Chairs"/>
    <n v="4745.97"/>
    <n v="7"/>
    <n v="0.2"/>
    <n v="-201.38"/>
    <x v="1"/>
  </r>
  <r>
    <s v="ORD-10036"/>
    <d v="2025-03-08T00:00:00"/>
    <d v="2025-03-10T00:00:00"/>
    <s v="Katelyn Williams"/>
    <s v="Home Office"/>
    <x v="2"/>
    <x v="0"/>
    <s v="Tables"/>
    <s v="Son Tables"/>
    <n v="4402.3900000000003"/>
    <n v="6"/>
    <n v="0.1"/>
    <n v="-498.52"/>
    <x v="1"/>
  </r>
  <r>
    <s v="ORD-10131"/>
    <d v="2025-03-12T00:00:00"/>
    <d v="2025-03-14T00:00:00"/>
    <s v="Robert Armstrong"/>
    <s v="Home Office"/>
    <x v="2"/>
    <x v="2"/>
    <s v="Laptops"/>
    <s v="Term Laptops"/>
    <n v="2301.19"/>
    <n v="5"/>
    <n v="0.2"/>
    <n v="22.01"/>
    <x v="0"/>
  </r>
  <r>
    <s v="ORD-10312"/>
    <d v="2025-03-07T00:00:00"/>
    <d v="2025-03-15T00:00:00"/>
    <s v="Brandon Harris"/>
    <s v="Corporate"/>
    <x v="2"/>
    <x v="2"/>
    <s v="Laptops"/>
    <s v="Everybody Laptops"/>
    <n v="4840.43"/>
    <n v="4"/>
    <n v="0.1"/>
    <n v="33.06"/>
    <x v="0"/>
  </r>
  <r>
    <s v="ORD-10607"/>
    <d v="2025-03-09T00:00:00"/>
    <d v="2025-03-15T00:00:00"/>
    <s v="Megan Collins"/>
    <s v="Consumer"/>
    <x v="1"/>
    <x v="1"/>
    <s v="Paper"/>
    <s v="Word Paper"/>
    <n v="124.59"/>
    <n v="5"/>
    <n v="0.2"/>
    <n v="-16.72"/>
    <x v="1"/>
  </r>
  <r>
    <s v="ORD-10523"/>
    <d v="2025-03-17T00:00:00"/>
    <d v="2025-03-20T00:00:00"/>
    <s v="Caroline Gardner"/>
    <s v="Corporate"/>
    <x v="2"/>
    <x v="2"/>
    <s v="Accessories"/>
    <s v="Can Accessories"/>
    <n v="3413.92"/>
    <n v="6"/>
    <n v="0.15"/>
    <n v="186.29"/>
    <x v="0"/>
  </r>
  <r>
    <s v="ORD-10694"/>
    <d v="2025-03-19T00:00:00"/>
    <d v="2025-03-21T00:00:00"/>
    <s v="Holly Phillips"/>
    <s v="Corporate"/>
    <x v="3"/>
    <x v="2"/>
    <s v="Accessories"/>
    <s v="Join Accessories"/>
    <n v="2510.42"/>
    <n v="4"/>
    <n v="0.1"/>
    <n v="121.88"/>
    <x v="0"/>
  </r>
  <r>
    <s v="ORD-10280"/>
    <d v="2025-03-12T00:00:00"/>
    <d v="2025-03-22T00:00:00"/>
    <s v="Christine Hunter"/>
    <s v="Corporate"/>
    <x v="2"/>
    <x v="0"/>
    <s v="Chairs"/>
    <s v="General Chairs"/>
    <n v="3635.31"/>
    <n v="9"/>
    <n v="0.05"/>
    <n v="231.45"/>
    <x v="0"/>
  </r>
  <r>
    <s v="ORD-10658"/>
    <d v="2025-03-24T00:00:00"/>
    <d v="2025-03-29T00:00:00"/>
    <s v="Angel Peterson"/>
    <s v="Consumer"/>
    <x v="2"/>
    <x v="1"/>
    <s v="Storage"/>
    <s v="Away Storage"/>
    <n v="802.19"/>
    <n v="4"/>
    <n v="0"/>
    <n v="-102.4"/>
    <x v="1"/>
  </r>
  <r>
    <s v="ORD-10339"/>
    <d v="2025-03-25T00:00:00"/>
    <d v="2025-04-04T00:00:00"/>
    <s v="Yolanda Guerra"/>
    <s v="Home Office"/>
    <x v="3"/>
    <x v="0"/>
    <s v="Bookcases"/>
    <s v="Both Bookcases"/>
    <n v="3461.21"/>
    <n v="10"/>
    <n v="0.2"/>
    <n v="122.84"/>
    <x v="0"/>
  </r>
  <r>
    <s v="ORD-10376"/>
    <d v="2025-03-29T00:00:00"/>
    <d v="2025-04-05T00:00:00"/>
    <s v="Rebecca Brown"/>
    <s v="Consumer"/>
    <x v="0"/>
    <x v="2"/>
    <s v="Phones"/>
    <s v="Wonder Phones"/>
    <n v="4252.58"/>
    <n v="5"/>
    <n v="0"/>
    <n v="-370.58"/>
    <x v="1"/>
  </r>
  <r>
    <s v="ORD-10432"/>
    <d v="2025-04-02T00:00:00"/>
    <d v="2025-04-05T00:00:00"/>
    <s v="Kayla Adkins"/>
    <s v="Home Office"/>
    <x v="1"/>
    <x v="0"/>
    <s v="Bookcases"/>
    <s v="Amount Bookcases"/>
    <n v="374.8"/>
    <n v="9"/>
    <n v="0.15"/>
    <n v="-47"/>
    <x v="1"/>
  </r>
  <r>
    <s v="ORD-10520"/>
    <d v="2025-04-02T00:00:00"/>
    <d v="2025-04-05T00:00:00"/>
    <s v="Stephen Fletcher"/>
    <s v="Consumer"/>
    <x v="3"/>
    <x v="2"/>
    <s v="Accessories"/>
    <s v="Agent Accessories"/>
    <n v="3372.91"/>
    <n v="4"/>
    <n v="0"/>
    <n v="-145.62"/>
    <x v="1"/>
  </r>
  <r>
    <s v="ORD-10457"/>
    <d v="2025-04-05T00:00:00"/>
    <d v="2025-04-08T00:00:00"/>
    <s v="Mr. Brian Hayden Dds"/>
    <s v="Consumer"/>
    <x v="0"/>
    <x v="2"/>
    <s v="Laptops"/>
    <s v="Return Laptops"/>
    <n v="1746.53"/>
    <n v="8"/>
    <n v="0.1"/>
    <n v="371.25"/>
    <x v="0"/>
  </r>
  <r>
    <s v="ORD-10678"/>
    <d v="2025-04-07T00:00:00"/>
    <d v="2025-04-08T00:00:00"/>
    <s v="Karen Smith"/>
    <s v="Consumer"/>
    <x v="1"/>
    <x v="0"/>
    <s v="Chairs"/>
    <s v="Win Chairs"/>
    <n v="3351.63"/>
    <n v="10"/>
    <n v="0.1"/>
    <n v="-59.96"/>
    <x v="1"/>
  </r>
  <r>
    <s v="ORD-10485"/>
    <d v="2025-04-03T00:00:00"/>
    <d v="2025-04-09T00:00:00"/>
    <s v="Stephen Meyer"/>
    <s v="Home Office"/>
    <x v="1"/>
    <x v="2"/>
    <s v="Phones"/>
    <s v="Remember Phones"/>
    <n v="583.44000000000005"/>
    <n v="7"/>
    <n v="0"/>
    <n v="180.66"/>
    <x v="0"/>
  </r>
  <r>
    <s v="ORD-10382"/>
    <d v="2025-04-09T00:00:00"/>
    <d v="2025-04-14T00:00:00"/>
    <s v="Karen Merritt"/>
    <s v="Home Office"/>
    <x v="2"/>
    <x v="0"/>
    <s v="Tables"/>
    <s v="Black Tables"/>
    <n v="2343.5700000000002"/>
    <n v="2"/>
    <n v="0"/>
    <n v="-265.55"/>
    <x v="1"/>
  </r>
  <r>
    <s v="ORD-10461"/>
    <d v="2025-04-12T00:00:00"/>
    <d v="2025-04-15T00:00:00"/>
    <s v="Anthony Stone"/>
    <s v="Consumer"/>
    <x v="2"/>
    <x v="2"/>
    <s v="Laptops"/>
    <s v="Among Laptops"/>
    <n v="1067.2"/>
    <n v="1"/>
    <n v="0.1"/>
    <n v="33.590000000000003"/>
    <x v="0"/>
  </r>
  <r>
    <s v="ORD-10401"/>
    <d v="2025-04-10T00:00:00"/>
    <d v="2025-04-16T00:00:00"/>
    <s v="Francisco Martinez"/>
    <s v="Home Office"/>
    <x v="0"/>
    <x v="2"/>
    <s v="Accessories"/>
    <s v="Modern Accessories"/>
    <n v="725.44"/>
    <n v="3"/>
    <n v="0.2"/>
    <n v="233.43"/>
    <x v="0"/>
  </r>
  <r>
    <s v="ORD-10126"/>
    <d v="2025-04-07T00:00:00"/>
    <d v="2025-04-17T00:00:00"/>
    <s v="Mark Mora"/>
    <s v="Home Office"/>
    <x v="1"/>
    <x v="1"/>
    <s v="Binders"/>
    <s v="Garden Binders"/>
    <n v="1290.5999999999999"/>
    <n v="3"/>
    <n v="0.2"/>
    <n v="-189.15"/>
    <x v="1"/>
  </r>
  <r>
    <s v="ORD-10047"/>
    <d v="2025-04-10T00:00:00"/>
    <d v="2025-04-19T00:00:00"/>
    <s v="David Anderson"/>
    <s v="Consumer"/>
    <x v="2"/>
    <x v="2"/>
    <s v="Laptops"/>
    <s v="Interesting Laptops"/>
    <n v="2028.41"/>
    <n v="9"/>
    <n v="0.1"/>
    <n v="642.15"/>
    <x v="0"/>
  </r>
  <r>
    <s v="ORD-10132"/>
    <d v="2025-04-16T00:00:00"/>
    <d v="2025-04-20T00:00:00"/>
    <s v="Marcia Jackson"/>
    <s v="Home Office"/>
    <x v="3"/>
    <x v="0"/>
    <s v="Bookcases"/>
    <s v="Often Bookcases"/>
    <n v="2383.81"/>
    <n v="10"/>
    <n v="0.2"/>
    <n v="-46.71"/>
    <x v="1"/>
  </r>
  <r>
    <s v="ORD-10279"/>
    <d v="2025-04-18T00:00:00"/>
    <d v="2025-04-20T00:00:00"/>
    <s v="Terri Freeman"/>
    <s v="Home Office"/>
    <x v="1"/>
    <x v="2"/>
    <s v="Accessories"/>
    <s v="Course Accessories"/>
    <n v="2701.4"/>
    <n v="4"/>
    <n v="0"/>
    <n v="-141.41"/>
    <x v="1"/>
  </r>
  <r>
    <s v="ORD-10404"/>
    <d v="2025-04-20T00:00:00"/>
    <d v="2025-04-21T00:00:00"/>
    <s v="Heather Mccarthy"/>
    <s v="Home Office"/>
    <x v="0"/>
    <x v="0"/>
    <s v="Bookcases"/>
    <s v="Argue Bookcases"/>
    <n v="4746.5"/>
    <n v="10"/>
    <n v="0.15"/>
    <n v="1271.6600000000001"/>
    <x v="0"/>
  </r>
  <r>
    <s v="ORD-10086"/>
    <d v="2025-04-13T00:00:00"/>
    <d v="2025-04-22T00:00:00"/>
    <s v="Christy Harris"/>
    <s v="Corporate"/>
    <x v="3"/>
    <x v="1"/>
    <s v="Storage"/>
    <s v="Fear Storage"/>
    <n v="3004.11"/>
    <n v="2"/>
    <n v="0.05"/>
    <n v="-111.35"/>
    <x v="1"/>
  </r>
  <r>
    <s v="ORD-10507"/>
    <d v="2025-04-19T00:00:00"/>
    <d v="2025-04-24T00:00:00"/>
    <s v="Unknown"/>
    <s v="Consumer"/>
    <x v="3"/>
    <x v="2"/>
    <s v="Phones"/>
    <s v="Mrs Phones"/>
    <n v="4496.49"/>
    <n v="4"/>
    <n v="0.1"/>
    <n v="371.6"/>
    <x v="0"/>
  </r>
  <r>
    <s v="ORD-10329"/>
    <d v="2025-04-17T00:00:00"/>
    <d v="2025-04-25T00:00:00"/>
    <s v="Karen Thomas"/>
    <s v="Home Office"/>
    <x v="3"/>
    <x v="2"/>
    <s v="Accessories"/>
    <s v="Evening Accessories"/>
    <n v="3105.95"/>
    <n v="5"/>
    <n v="0.2"/>
    <n v="386.98"/>
    <x v="0"/>
  </r>
  <r>
    <s v="ORD-10625"/>
    <d v="2025-04-18T00:00:00"/>
    <d v="2025-04-25T00:00:00"/>
    <s v="Debra Peterson"/>
    <s v="Corporate"/>
    <x v="2"/>
    <x v="0"/>
    <s v="Bookcases"/>
    <s v="Space Bookcases"/>
    <n v="2548.23"/>
    <n v="3"/>
    <n v="0.2"/>
    <n v="889.69"/>
    <x v="0"/>
  </r>
  <r>
    <s v="ORD-10745"/>
    <d v="2025-04-21T00:00:00"/>
    <d v="2025-04-25T00:00:00"/>
    <s v="Tamara Williams"/>
    <s v="Consumer"/>
    <x v="3"/>
    <x v="0"/>
    <s v="Bookcases"/>
    <s v="His Bookcases"/>
    <n v="4754.92"/>
    <n v="2"/>
    <n v="0.2"/>
    <n v="1553.85"/>
    <x v="0"/>
  </r>
  <r>
    <s v="ORD-10366"/>
    <d v="2025-04-22T00:00:00"/>
    <d v="2025-04-28T00:00:00"/>
    <s v="Elizabeth Walker"/>
    <s v="Home Office"/>
    <x v="2"/>
    <x v="0"/>
    <s v="Tables"/>
    <s v="Lay Tables"/>
    <n v="2638.88"/>
    <n v="5"/>
    <n v="0.05"/>
    <n v="11.95"/>
    <x v="0"/>
  </r>
  <r>
    <s v="ORD-10149"/>
    <d v="2025-04-24T00:00:00"/>
    <d v="2025-05-01T00:00:00"/>
    <s v="Amanda Murray"/>
    <s v="Home Office"/>
    <x v="2"/>
    <x v="0"/>
    <s v="Chairs"/>
    <s v="Room Chairs"/>
    <n v="527.99"/>
    <n v="6"/>
    <n v="0.05"/>
    <n v="55.97"/>
    <x v="0"/>
  </r>
  <r>
    <s v="ORD-10357"/>
    <d v="2025-04-26T00:00:00"/>
    <d v="2025-05-01T00:00:00"/>
    <s v="Rhonda Woods"/>
    <s v="Corporate"/>
    <x v="2"/>
    <x v="1"/>
    <s v="Binders"/>
    <s v="Watch Binders"/>
    <n v="1066.96"/>
    <n v="10"/>
    <n v="0.2"/>
    <n v="-102.69"/>
    <x v="1"/>
  </r>
  <r>
    <s v="ORD-10568"/>
    <d v="2025-04-27T00:00:00"/>
    <d v="2025-05-01T00:00:00"/>
    <s v="Mr. Edward Lester"/>
    <s v="Consumer"/>
    <x v="1"/>
    <x v="0"/>
    <s v="Chairs"/>
    <s v="Machine Chairs"/>
    <n v="4189.8599999999997"/>
    <n v="6"/>
    <n v="0.05"/>
    <n v="957.03"/>
    <x v="0"/>
  </r>
  <r>
    <s v="ORD-10379"/>
    <d v="2025-04-24T00:00:00"/>
    <d v="2025-05-04T00:00:00"/>
    <s v="Vickie Cooper"/>
    <s v="Corporate"/>
    <x v="0"/>
    <x v="0"/>
    <s v="Bookcases"/>
    <s v="Mission Bookcases"/>
    <n v="358.3"/>
    <n v="3"/>
    <n v="0.05"/>
    <n v="-14.18"/>
    <x v="1"/>
  </r>
  <r>
    <s v="ORD-10740"/>
    <d v="2025-04-28T00:00:00"/>
    <d v="2025-05-04T00:00:00"/>
    <s v="Gregory Mills"/>
    <s v="Home Office"/>
    <x v="2"/>
    <x v="2"/>
    <s v="Accessories"/>
    <s v="During Accessories"/>
    <n v="4810.7299999999996"/>
    <n v="1"/>
    <n v="0"/>
    <n v="1466.03"/>
    <x v="0"/>
  </r>
  <r>
    <s v="ORD-10136"/>
    <d v="2025-04-29T00:00:00"/>
    <d v="2025-05-05T00:00:00"/>
    <s v="Austin Brown"/>
    <s v="Consumer"/>
    <x v="2"/>
    <x v="2"/>
    <s v="Phones"/>
    <s v="Cause Phones"/>
    <n v="1125.48"/>
    <n v="8"/>
    <n v="0.05"/>
    <n v="304.44"/>
    <x v="0"/>
  </r>
  <r>
    <s v="ORD-10057"/>
    <d v="2025-04-26T00:00:00"/>
    <d v="2025-05-06T00:00:00"/>
    <s v="Brittany Woodward"/>
    <s v="Consumer"/>
    <x v="1"/>
    <x v="2"/>
    <s v="Laptops"/>
    <s v="Laugh Laptops"/>
    <n v="1012.45"/>
    <n v="7"/>
    <n v="0.15"/>
    <n v="20.059999999999999"/>
    <x v="0"/>
  </r>
  <r>
    <s v="ORD-10535"/>
    <d v="2025-04-28T00:00:00"/>
    <d v="2025-05-06T00:00:00"/>
    <s v="Ashley Pittman"/>
    <s v="Consumer"/>
    <x v="3"/>
    <x v="1"/>
    <s v="Binders"/>
    <s v="Either Binders"/>
    <n v="869.75"/>
    <n v="2"/>
    <n v="0.2"/>
    <n v="133.87"/>
    <x v="0"/>
  </r>
  <r>
    <s v="ORD-10035"/>
    <d v="2025-05-05T00:00:00"/>
    <d v="2025-05-06T00:00:00"/>
    <s v="Ms. Colleen Smith Dds"/>
    <s v="Consumer"/>
    <x v="2"/>
    <x v="2"/>
    <s v="Phones"/>
    <s v="Available Phones"/>
    <n v="2318.5100000000002"/>
    <n v="10"/>
    <n v="0"/>
    <n v="-370.28"/>
    <x v="1"/>
  </r>
  <r>
    <s v="ORD-10237"/>
    <d v="2025-04-28T00:00:00"/>
    <d v="2025-05-08T00:00:00"/>
    <s v="Brandon Hicks"/>
    <s v="Corporate"/>
    <x v="3"/>
    <x v="1"/>
    <s v="Binders"/>
    <s v="Fight Binders"/>
    <n v="2428.2199999999998"/>
    <n v="9"/>
    <n v="0.2"/>
    <n v="477.51"/>
    <x v="0"/>
  </r>
  <r>
    <s v="ORD-10580"/>
    <d v="2025-04-30T00:00:00"/>
    <d v="2025-05-09T00:00:00"/>
    <s v="Rachael Johnston"/>
    <s v="Consumer"/>
    <x v="2"/>
    <x v="2"/>
    <s v="Laptops"/>
    <s v="Experience Laptops"/>
    <n v="4662.63"/>
    <n v="5"/>
    <n v="0.1"/>
    <n v="-881.66"/>
    <x v="1"/>
  </r>
  <r>
    <s v="ORD-10133"/>
    <s v="02-05-2025"/>
    <d v="2025-05-10T00:00:00"/>
    <s v="Maria Cardenas"/>
    <s v="Consumer"/>
    <x v="1"/>
    <x v="1"/>
    <s v="Binders"/>
    <s v="Just Binders"/>
    <n v="4551.47"/>
    <n v="5"/>
    <n v="0.2"/>
    <n v="111.8"/>
    <x v="0"/>
  </r>
  <r>
    <s v="ORD-10224"/>
    <d v="2025-05-08T00:00:00"/>
    <d v="2025-05-11T00:00:00"/>
    <s v="Ryan Stephenson"/>
    <s v="Corporate"/>
    <x v="3"/>
    <x v="2"/>
    <s v="Phones"/>
    <s v="Pay Phones"/>
    <n v="529.22"/>
    <n v="5"/>
    <n v="0.15"/>
    <n v="145.69"/>
    <x v="0"/>
  </r>
  <r>
    <s v="ORD-10171"/>
    <d v="2025-05-05T00:00:00"/>
    <d v="2025-05-14T00:00:00"/>
    <s v="Mr. Travis Love Md"/>
    <s v="Home Office"/>
    <x v="3"/>
    <x v="2"/>
    <s v="Laptops"/>
    <s v="Seat Laptops"/>
    <n v="4773.45"/>
    <n v="1"/>
    <n v="0.15"/>
    <n v="1431.93"/>
    <x v="0"/>
  </r>
  <r>
    <s v="ORD-10244"/>
    <d v="2025-05-05T00:00:00"/>
    <d v="2025-05-15T00:00:00"/>
    <s v="Rose Taylor"/>
    <s v="Consumer"/>
    <x v="2"/>
    <x v="2"/>
    <s v="Phones"/>
    <s v="Home Phones"/>
    <n v="3399.28"/>
    <n v="7"/>
    <n v="0.15"/>
    <n v="850.19"/>
    <x v="0"/>
  </r>
  <r>
    <s v="ORD-10345"/>
    <d v="2025-05-08T00:00:00"/>
    <d v="2025-05-18T00:00:00"/>
    <s v="Kathryn Potts"/>
    <s v="Home Office"/>
    <x v="2"/>
    <x v="2"/>
    <s v="Accessories"/>
    <s v="Several Accessories"/>
    <n v="62.24"/>
    <n v="2"/>
    <n v="0.2"/>
    <n v="20.83"/>
    <x v="0"/>
  </r>
  <r>
    <s v="ORD-10532"/>
    <d v="2025-05-15T00:00:00"/>
    <d v="2025-05-21T00:00:00"/>
    <s v="Lindsay Gray"/>
    <s v="Home Office"/>
    <x v="2"/>
    <x v="0"/>
    <s v="Bookcases"/>
    <s v="Such Bookcases"/>
    <n v="560.96"/>
    <n v="9"/>
    <n v="0.2"/>
    <n v="143.78"/>
    <x v="0"/>
  </r>
  <r>
    <s v="ORD-10531"/>
    <d v="2025-05-13T00:00:00"/>
    <d v="2025-05-22T00:00:00"/>
    <s v="Matthew Williams"/>
    <s v="Corporate"/>
    <x v="1"/>
    <x v="1"/>
    <s v="Binders"/>
    <s v="Everybody Binders"/>
    <n v="4543.24"/>
    <n v="6"/>
    <n v="0.15"/>
    <n v="264.97000000000003"/>
    <x v="0"/>
  </r>
  <r>
    <s v="ORD-10024"/>
    <d v="2025-05-19T00:00:00"/>
    <d v="2025-05-23T00:00:00"/>
    <s v="Amanda Roberts"/>
    <s v="Corporate"/>
    <x v="0"/>
    <x v="1"/>
    <s v="Paper"/>
    <s v="Culture Paper"/>
    <n v="2719.21"/>
    <n v="10"/>
    <n v="0.2"/>
    <n v="163.07"/>
    <x v="0"/>
  </r>
  <r>
    <s v="ORD-10633"/>
    <d v="2025-05-14T00:00:00"/>
    <d v="2025-05-24T00:00:00"/>
    <s v="Adam Coleman"/>
    <s v="Consumer"/>
    <x v="0"/>
    <x v="2"/>
    <s v="Laptops"/>
    <s v="Forward Laptops"/>
    <n v="4106.6000000000004"/>
    <n v="2"/>
    <n v="0.2"/>
    <n v="629.29999999999995"/>
    <x v="0"/>
  </r>
  <r>
    <s v="ORD-10566"/>
    <d v="2025-05-18T00:00:00"/>
    <d v="2025-05-24T00:00:00"/>
    <s v="James Richardson"/>
    <s v="Consumer"/>
    <x v="2"/>
    <x v="0"/>
    <s v="Tables"/>
    <s v="Toward Tables"/>
    <n v="426.34"/>
    <n v="3"/>
    <n v="0.15"/>
    <n v="-11.67"/>
    <x v="1"/>
  </r>
  <r>
    <s v="ORD-10707"/>
    <d v="2025-05-20T00:00:00"/>
    <d v="2025-05-24T00:00:00"/>
    <s v="David Hernandez"/>
    <s v="Corporate"/>
    <x v="3"/>
    <x v="2"/>
    <s v="Phones"/>
    <s v="Significant Phones"/>
    <n v="761.42"/>
    <n v="10"/>
    <n v="0.1"/>
    <n v="230.01"/>
    <x v="0"/>
  </r>
  <r>
    <s v="ORD-10594"/>
    <d v="2025-05-17T00:00:00"/>
    <d v="2025-05-26T00:00:00"/>
    <s v="Emily Davis"/>
    <s v="Corporate"/>
    <x v="2"/>
    <x v="2"/>
    <s v="Accessories"/>
    <s v="Head Accessories"/>
    <n v="91.17"/>
    <n v="8"/>
    <n v="0.15"/>
    <n v="-3.21"/>
    <x v="1"/>
  </r>
  <r>
    <s v="ORD-10402"/>
    <d v="2025-05-23T00:00:00"/>
    <d v="2025-05-26T00:00:00"/>
    <s v="John Velazquez"/>
    <s v="Home Office"/>
    <x v="2"/>
    <x v="1"/>
    <s v="Paper"/>
    <s v="Artist Paper"/>
    <n v="3550.56"/>
    <n v="9"/>
    <n v="0.2"/>
    <n v="1027.1099999999999"/>
    <x v="0"/>
  </r>
  <r>
    <s v="ORD-10087"/>
    <d v="2025-05-19T00:00:00"/>
    <d v="2025-05-28T00:00:00"/>
    <s v="Jeremy Hood"/>
    <s v="Home Office"/>
    <x v="3"/>
    <x v="2"/>
    <s v="Phones"/>
    <s v="Drug Phones"/>
    <n v="676.59"/>
    <n v="1"/>
    <n v="0"/>
    <n v="70.599999999999994"/>
    <x v="0"/>
  </r>
  <r>
    <s v="ORD-10715"/>
    <d v="2025-05-21T00:00:00"/>
    <d v="2025-05-31T00:00:00"/>
    <s v="Jeffrey Brown"/>
    <s v="Home Office"/>
    <x v="1"/>
    <x v="2"/>
    <s v="Phones"/>
    <s v="Office Phones"/>
    <n v="588.29"/>
    <n v="10"/>
    <n v="0.15"/>
    <n v="-11.72"/>
    <x v="1"/>
  </r>
  <r>
    <s v="ORD-10281"/>
    <d v="2025-05-27T00:00:00"/>
    <d v="2025-05-31T00:00:00"/>
    <s v="Susan Burton"/>
    <s v="Corporate"/>
    <x v="3"/>
    <x v="0"/>
    <s v="Chairs"/>
    <s v="Security Chairs"/>
    <n v="4812.28"/>
    <n v="2"/>
    <n v="0.2"/>
    <n v="1683.17"/>
    <x v="0"/>
  </r>
  <r>
    <s v="ORD-10146"/>
    <d v="2025-05-27T00:00:00"/>
    <d v="2025-06-06T00:00:00"/>
    <s v="Christopher Pollard"/>
    <s v="Home Office"/>
    <x v="3"/>
    <x v="2"/>
    <s v="Laptops"/>
    <s v="Level Laptops"/>
    <n v="2179.4899999999998"/>
    <n v="2"/>
    <n v="0.2"/>
    <n v="344.37"/>
    <x v="0"/>
  </r>
  <r>
    <s v="ORD-10114"/>
    <d v="2025-06-04T00:00:00"/>
    <d v="2025-06-06T00:00:00"/>
    <s v="Alexander Cook"/>
    <s v="Corporate"/>
    <x v="3"/>
    <x v="0"/>
    <s v="Tables"/>
    <s v="Every Tables"/>
    <n v="2653.46"/>
    <n v="8"/>
    <n v="0"/>
    <n v="523.64"/>
    <x v="0"/>
  </r>
  <r>
    <s v="ORD-10462"/>
    <d v="2025-06-04T00:00:00"/>
    <d v="2025-06-07T00:00:00"/>
    <s v="Amanda Strong"/>
    <s v="Consumer"/>
    <x v="2"/>
    <x v="1"/>
    <s v="Storage"/>
    <s v="Commercial Storage"/>
    <n v="2123.19"/>
    <n v="2"/>
    <n v="0.2"/>
    <n v="414.7"/>
    <x v="0"/>
  </r>
  <r>
    <s v="ORD-10203"/>
    <d v="2025-06-06T00:00:00"/>
    <d v="2025-06-07T00:00:00"/>
    <s v="Aaron Wilson"/>
    <s v="Corporate"/>
    <x v="1"/>
    <x v="2"/>
    <s v="Accessories"/>
    <s v="Song Accessories"/>
    <n v="3647.73"/>
    <n v="6"/>
    <n v="0.2"/>
    <n v="1273"/>
    <x v="0"/>
  </r>
  <r>
    <s v="ORD-10038"/>
    <d v="2025-06-07T00:00:00"/>
    <d v="2025-06-09T00:00:00"/>
    <s v="Kelli Johnson"/>
    <s v="Consumer"/>
    <x v="2"/>
    <x v="2"/>
    <s v="Phones"/>
    <s v="This Phones"/>
    <n v="3724.96"/>
    <n v="3"/>
    <n v="0.1"/>
    <n v="-167.75"/>
    <x v="1"/>
  </r>
  <r>
    <s v="ORD-10605"/>
    <d v="2025-06-05T00:00:00"/>
    <d v="2025-06-10T00:00:00"/>
    <s v="Richard White"/>
    <s v="Home Office"/>
    <x v="1"/>
    <x v="2"/>
    <s v="Laptops"/>
    <s v="Require Laptops"/>
    <n v="4684.2700000000004"/>
    <n v="3"/>
    <n v="0.2"/>
    <n v="939.34"/>
    <x v="0"/>
  </r>
  <r>
    <s v="ORD-10093"/>
    <d v="2025-06-07T00:00:00"/>
    <d v="2025-06-11T00:00:00"/>
    <s v="Daniel Adams"/>
    <s v="Home Office"/>
    <x v="1"/>
    <x v="0"/>
    <s v="Bookcases"/>
    <s v="Soldier Bookcases"/>
    <n v="1360"/>
    <n v="2"/>
    <n v="0.05"/>
    <n v="-92.58"/>
    <x v="1"/>
  </r>
  <r>
    <s v="ORD-10350"/>
    <d v="2025-06-12T00:00:00"/>
    <d v="2025-06-15T00:00:00"/>
    <s v="Jerry Fischer"/>
    <s v="Consumer"/>
    <x v="0"/>
    <x v="2"/>
    <s v="Laptops"/>
    <s v="Anyone Laptops"/>
    <n v="306.35000000000002"/>
    <n v="5"/>
    <n v="0.2"/>
    <n v="56.58"/>
    <x v="0"/>
  </r>
  <r>
    <s v="ORD-10478"/>
    <d v="2025-06-14T00:00:00"/>
    <d v="2025-06-16T00:00:00"/>
    <s v="Ian Webb"/>
    <s v="Corporate"/>
    <x v="0"/>
    <x v="2"/>
    <s v="Phones"/>
    <s v="Mother Phones"/>
    <n v="2322.52"/>
    <n v="10"/>
    <n v="0.15"/>
    <n v="-352.07"/>
    <x v="1"/>
  </r>
  <r>
    <s v="ORD-10218"/>
    <d v="2025-06-16T00:00:00"/>
    <d v="2025-06-19T00:00:00"/>
    <s v="Robert Valdez"/>
    <s v="Corporate"/>
    <x v="1"/>
    <x v="1"/>
    <s v="Storage"/>
    <s v="Increase Storage"/>
    <n v="897.44"/>
    <n v="10"/>
    <n v="0.2"/>
    <n v="265.73"/>
    <x v="0"/>
  </r>
  <r>
    <s v="ORD-10134"/>
    <d v="2025-06-15T00:00:00"/>
    <d v="2025-06-23T00:00:00"/>
    <s v="Unknown"/>
    <s v="Corporate"/>
    <x v="2"/>
    <x v="0"/>
    <s v="Tables"/>
    <s v="Sound Tables"/>
    <n v="624.79999999999995"/>
    <n v="4"/>
    <n v="0.2"/>
    <n v="-78.34"/>
    <x v="1"/>
  </r>
  <r>
    <s v="ORD-10159"/>
    <d v="2025-06-20T00:00:00"/>
    <d v="2025-06-25T00:00:00"/>
    <s v="Tammy Walker"/>
    <s v="Consumer"/>
    <x v="2"/>
    <x v="1"/>
    <s v="Storage"/>
    <s v="Sport Storage"/>
    <n v="274.82"/>
    <n v="7"/>
    <n v="0.2"/>
    <n v="-46.68"/>
    <x v="1"/>
  </r>
  <r>
    <s v="ORD-10483"/>
    <d v="2025-06-21T00:00:00"/>
    <d v="2025-06-26T00:00:00"/>
    <s v="Philip Singleton"/>
    <s v="Consumer"/>
    <x v="0"/>
    <x v="2"/>
    <s v="Accessories"/>
    <s v="Support Accessories"/>
    <n v="2761.07"/>
    <n v="6"/>
    <n v="0.2"/>
    <n v="-390.75"/>
    <x v="1"/>
  </r>
  <r>
    <s v="ORD-10052"/>
    <d v="2025-06-22T00:00:00"/>
    <d v="2025-06-27T00:00:00"/>
    <s v="Charles Torres"/>
    <s v="Corporate"/>
    <x v="3"/>
    <x v="2"/>
    <s v="Laptops"/>
    <s v="Open Laptops"/>
    <n v="2794.34"/>
    <n v="4"/>
    <n v="0.15"/>
    <n v="463.05"/>
    <x v="0"/>
  </r>
  <r>
    <s v="ORD-10083"/>
    <d v="2025-06-19T00:00:00"/>
    <d v="2025-06-29T00:00:00"/>
    <s v="Teresa Velazquez"/>
    <s v="Home Office"/>
    <x v="2"/>
    <x v="2"/>
    <s v="Laptops"/>
    <s v="Power Laptops"/>
    <n v="1876.65"/>
    <n v="9"/>
    <n v="0.2"/>
    <n v="-20.52"/>
    <x v="1"/>
  </r>
  <r>
    <s v="ORD-10613"/>
    <s v="24-06-2025"/>
    <d v="2025-06-29T00:00:00"/>
    <s v="Jeffrey Smith"/>
    <s v="Home Office"/>
    <x v="3"/>
    <x v="1"/>
    <s v="Paper"/>
    <s v="Risk Paper"/>
    <n v="4344.93"/>
    <n v="10"/>
    <n v="0.2"/>
    <n v="-485.81"/>
    <x v="1"/>
  </r>
  <r>
    <s v="ORD-10286"/>
    <d v="2025-06-26T00:00:00"/>
    <d v="2025-06-30T00:00:00"/>
    <s v="Kayla Austin Dds"/>
    <s v="Home Office"/>
    <x v="2"/>
    <x v="0"/>
    <s v="Tables"/>
    <s v="Field Tables"/>
    <n v="1930.21"/>
    <n v="4"/>
    <n v="0.15"/>
    <n v="198.53"/>
    <x v="0"/>
  </r>
  <r>
    <s v="ORD-10372"/>
    <d v="2025-07-03T00:00:00"/>
    <d v="2025-07-04T00:00:00"/>
    <s v="Tyler James"/>
    <s v="Consumer"/>
    <x v="0"/>
    <x v="0"/>
    <s v="Bookcases"/>
    <s v="Picture Bookcases"/>
    <n v="937.75"/>
    <n v="9"/>
    <n v="0"/>
    <n v="304.52999999999997"/>
    <x v="0"/>
  </r>
  <r>
    <s v="ORD-10044"/>
    <d v="2025-07-01T00:00:00"/>
    <d v="2025-07-07T00:00:00"/>
    <s v="Donald Prince"/>
    <s v="Consumer"/>
    <x v="2"/>
    <x v="0"/>
    <s v="Chairs"/>
    <s v="Development Chairs"/>
    <n v="3922.81"/>
    <n v="7"/>
    <n v="0.2"/>
    <n v="1079.7"/>
    <x v="0"/>
  </r>
  <r>
    <s v="ORD-10317"/>
    <d v="2025-07-04T00:00:00"/>
    <d v="2025-07-10T00:00:00"/>
    <s v="Samantha Sparks"/>
    <s v="Consumer"/>
    <x v="1"/>
    <x v="1"/>
    <s v="Binders"/>
    <s v="Pass Binders"/>
    <n v="3523.09"/>
    <n v="9"/>
    <n v="0.2"/>
    <n v="531.98"/>
    <x v="0"/>
  </r>
  <r>
    <s v="ORD-10041"/>
    <d v="2025-07-08T00:00:00"/>
    <d v="2025-07-10T00:00:00"/>
    <s v="Melissa Burgess"/>
    <s v="Corporate"/>
    <x v="3"/>
    <x v="1"/>
    <s v="Binders"/>
    <s v="Three Binders"/>
    <n v="422.46"/>
    <n v="3"/>
    <n v="0.2"/>
    <n v="-76.12"/>
    <x v="1"/>
  </r>
  <r>
    <s v="ORD-10498"/>
    <d v="2025-07-03T00:00:00"/>
    <d v="2025-07-11T00:00:00"/>
    <s v="Shawna Perez"/>
    <s v="Home Office"/>
    <x v="3"/>
    <x v="0"/>
    <s v="Bookcases"/>
    <s v="Window Bookcases"/>
    <n v="4158.42"/>
    <n v="6"/>
    <n v="0.2"/>
    <n v="418.5"/>
    <x v="0"/>
  </r>
  <r>
    <s v="ORD-10410"/>
    <d v="2025-07-10T00:00:00"/>
    <d v="2025-07-11T00:00:00"/>
    <s v="Virginia Silva"/>
    <s v="Consumer"/>
    <x v="2"/>
    <x v="2"/>
    <s v="Phones"/>
    <s v="Writer Phones"/>
    <n v="1509.8"/>
    <n v="6"/>
    <n v="0.1"/>
    <n v="488.29"/>
    <x v="0"/>
  </r>
  <r>
    <s v="ORD-10501"/>
    <d v="2025-07-16T00:00:00"/>
    <d v="2025-07-19T00:00:00"/>
    <s v="David Thomas"/>
    <s v="Home Office"/>
    <x v="2"/>
    <x v="2"/>
    <s v="Accessories"/>
    <s v="Discuss Accessories"/>
    <n v="247.71"/>
    <n v="6"/>
    <n v="0.2"/>
    <n v="-42.61"/>
    <x v="1"/>
  </r>
  <r>
    <s v="ORD-10698"/>
    <d v="2025-07-18T00:00:00"/>
    <d v="2025-07-20T00:00:00"/>
    <s v="Angela Wilkins"/>
    <s v="Consumer"/>
    <x v="2"/>
    <x v="1"/>
    <s v="Storage"/>
    <s v="Exist Storage"/>
    <n v="70.34"/>
    <n v="1"/>
    <n v="0.2"/>
    <n v="18.739999999999998"/>
    <x v="0"/>
  </r>
  <r>
    <s v="ORD-10377"/>
    <d v="2025-07-20T00:00:00"/>
    <d v="2025-07-23T00:00:00"/>
    <s v="Sara Walker"/>
    <s v="Home Office"/>
    <x v="0"/>
    <x v="2"/>
    <s v="Phones"/>
    <s v="Weight Phones"/>
    <n v="3572.68"/>
    <n v="2"/>
    <n v="0"/>
    <n v="1095.74"/>
    <x v="0"/>
  </r>
  <r>
    <s v="ORD-10554"/>
    <d v="2025-07-22T00:00:00"/>
    <d v="2025-07-23T00:00:00"/>
    <s v="John Day"/>
    <s v="Corporate"/>
    <x v="0"/>
    <x v="1"/>
    <s v="Storage"/>
    <s v="Ball Storage"/>
    <n v="845.65"/>
    <n v="1"/>
    <n v="0"/>
    <n v="213.77"/>
    <x v="0"/>
  </r>
  <r>
    <s v="ORD-10746"/>
    <d v="2025-07-14T00:00:00"/>
    <d v="2025-07-24T00:00:00"/>
    <s v="Austin Charles"/>
    <s v="Corporate"/>
    <x v="2"/>
    <x v="2"/>
    <s v="Laptops"/>
    <s v="Raise Laptops"/>
    <n v="4025.84"/>
    <n v="3"/>
    <n v="0"/>
    <n v="735.16"/>
    <x v="0"/>
  </r>
  <r>
    <s v="ORD-10060"/>
    <d v="2025-07-23T00:00:00"/>
    <d v="2025-07-26T00:00:00"/>
    <s v="Robert Willis"/>
    <s v="Consumer"/>
    <x v="2"/>
    <x v="1"/>
    <s v="Paper"/>
    <s v="Different Paper"/>
    <n v="3731.09"/>
    <n v="8"/>
    <n v="0.15"/>
    <n v="-214.33"/>
    <x v="1"/>
  </r>
  <r>
    <s v="ORD-10592"/>
    <d v="2025-07-20T00:00:00"/>
    <d v="2025-07-29T00:00:00"/>
    <s v="Angela Rivas Dvm"/>
    <s v="Consumer"/>
    <x v="0"/>
    <x v="1"/>
    <s v="Storage"/>
    <s v="Not Storage"/>
    <n v="1582.82"/>
    <n v="6"/>
    <n v="0.15"/>
    <n v="153.24"/>
    <x v="0"/>
  </r>
  <r>
    <s v="ORD-10291"/>
    <d v="2025-07-22T00:00:00"/>
    <d v="2025-07-31T00:00:00"/>
    <s v="Amber Strong"/>
    <s v="Home Office"/>
    <x v="0"/>
    <x v="0"/>
    <s v="Chairs"/>
    <s v="Late Chairs"/>
    <n v="3624.85"/>
    <n v="9"/>
    <n v="0.1"/>
    <n v="-690.79"/>
    <x v="1"/>
  </r>
  <r>
    <s v="ORD-10335"/>
    <d v="2025-07-30T00:00:00"/>
    <d v="2025-07-31T00:00:00"/>
    <s v="Shannon Compton"/>
    <s v="Corporate"/>
    <x v="0"/>
    <x v="0"/>
    <s v="Tables"/>
    <s v="Available Tables"/>
    <n v="1410.52"/>
    <n v="9"/>
    <n v="0.1"/>
    <n v="-151.61000000000001"/>
    <x v="1"/>
  </r>
  <r>
    <s v="ORD-10005"/>
    <d v="2025-07-22T00:00:00"/>
    <d v="2025-08-01T00:00:00"/>
    <s v="Tiffany Ruiz"/>
    <s v="Consumer"/>
    <x v="0"/>
    <x v="2"/>
    <s v="Accessories"/>
    <s v="Coach Accessories"/>
    <n v="1359.38"/>
    <n v="1"/>
    <n v="0.2"/>
    <n v="71.62"/>
    <x v="0"/>
  </r>
  <r>
    <s v="ORD-10555"/>
    <d v="2025-07-28T00:00:00"/>
    <d v="2025-08-02T00:00:00"/>
    <s v="Gwendolyn Watson"/>
    <s v="Corporate"/>
    <x v="0"/>
    <x v="0"/>
    <s v="Chairs"/>
    <s v="Size Chairs"/>
    <n v="1147.76"/>
    <n v="2"/>
    <n v="0.2"/>
    <n v="-205.72"/>
    <x v="1"/>
  </r>
  <r>
    <s v="ORD-10241"/>
    <d v="2025-07-27T00:00:00"/>
    <d v="2025-08-05T00:00:00"/>
    <s v="Michael Payne"/>
    <s v="Home Office"/>
    <x v="2"/>
    <x v="0"/>
    <s v="Tables"/>
    <s v="Understand Tables"/>
    <n v="1744.52"/>
    <n v="6"/>
    <n v="0.2"/>
    <n v="391.81"/>
    <x v="0"/>
  </r>
  <r>
    <s v="ORD-10139"/>
    <d v="2025-08-01T00:00:00"/>
    <d v="2025-08-05T00:00:00"/>
    <s v="Clinton Smith"/>
    <s v="Home Office"/>
    <x v="1"/>
    <x v="0"/>
    <s v="Bookcases"/>
    <s v="Into Bookcases"/>
    <n v="2952.6"/>
    <n v="4"/>
    <n v="0.1"/>
    <n v="667"/>
    <x v="0"/>
  </r>
  <r>
    <s v="ORD-10215"/>
    <d v="2025-07-29T00:00:00"/>
    <d v="2025-08-07T00:00:00"/>
    <s v="Samuel Barnett"/>
    <s v="Corporate"/>
    <x v="3"/>
    <x v="0"/>
    <s v="Tables"/>
    <s v="Share Tables"/>
    <n v="4558.03"/>
    <n v="1"/>
    <n v="0"/>
    <n v="387.23"/>
    <x v="0"/>
  </r>
  <r>
    <s v="ORD-10364"/>
    <d v="2025-07-31T00:00:00"/>
    <d v="2025-08-07T00:00:00"/>
    <s v="Marie Mendoza"/>
    <s v="Corporate"/>
    <x v="1"/>
    <x v="2"/>
    <s v="Laptops"/>
    <s v="Lot Laptops"/>
    <n v="3663.29"/>
    <n v="4"/>
    <n v="0"/>
    <n v="-240.08"/>
    <x v="1"/>
  </r>
  <r>
    <s v="ORD-10164"/>
    <d v="2025-08-06T00:00:00"/>
    <d v="2025-08-08T00:00:00"/>
    <s v="Pamela Johnson"/>
    <s v="Corporate"/>
    <x v="1"/>
    <x v="1"/>
    <s v="Paper"/>
    <s v="Myself Paper"/>
    <n v="2211.7199999999998"/>
    <n v="2"/>
    <n v="0.05"/>
    <n v="87.63"/>
    <x v="0"/>
  </r>
  <r>
    <s v="ORD-10095"/>
    <d v="2025-08-02T00:00:00"/>
    <d v="2025-08-10T00:00:00"/>
    <s v="Amanda Watkins"/>
    <s v="Home Office"/>
    <x v="3"/>
    <x v="1"/>
    <s v="Paper"/>
    <s v="What Paper"/>
    <n v="402.34"/>
    <n v="4"/>
    <n v="0.1"/>
    <n v="93.87"/>
    <x v="0"/>
  </r>
  <r>
    <s v="ORD-10188"/>
    <d v="2025-08-05T00:00:00"/>
    <d v="2025-08-13T00:00:00"/>
    <s v="Michael Hall"/>
    <s v="Home Office"/>
    <x v="1"/>
    <x v="0"/>
    <s v="Tables"/>
    <s v="Which Tables"/>
    <n v="3495.56"/>
    <n v="3"/>
    <n v="0.2"/>
    <n v="202.78"/>
    <x v="0"/>
  </r>
  <r>
    <s v="ORD-10089"/>
    <d v="2025-08-09T00:00:00"/>
    <d v="2025-08-14T00:00:00"/>
    <s v="Jill Ayers"/>
    <s v="Corporate"/>
    <x v="0"/>
    <x v="0"/>
    <s v="Chairs"/>
    <s v="Third Chairs"/>
    <n v="4708.26"/>
    <n v="8"/>
    <n v="0"/>
    <n v="1187.25"/>
    <x v="0"/>
  </r>
  <r>
    <s v="ORD-10718"/>
    <d v="2025-08-10T00:00:00"/>
    <d v="2025-08-16T00:00:00"/>
    <s v="Danielle Miller"/>
    <s v="Home Office"/>
    <x v="0"/>
    <x v="2"/>
    <s v="Laptops"/>
    <s v="Story Laptops"/>
    <n v="4951.93"/>
    <n v="10"/>
    <n v="0"/>
    <n v="675.05"/>
    <x v="0"/>
  </r>
  <r>
    <s v="ORD-10663"/>
    <d v="2025-08-09T00:00:00"/>
    <d v="2025-08-17T00:00:00"/>
    <s v="Sarah Lopez"/>
    <s v="Home Office"/>
    <x v="0"/>
    <x v="1"/>
    <s v="Paper"/>
    <s v="Whose Paper"/>
    <n v="4443.5600000000004"/>
    <n v="7"/>
    <n v="0.15"/>
    <n v="1008.32"/>
    <x v="0"/>
  </r>
  <r>
    <s v="ORD-10604"/>
    <d v="2025-08-13T00:00:00"/>
    <d v="2025-08-17T00:00:00"/>
    <s v="Trevor Hubbard"/>
    <s v="Consumer"/>
    <x v="0"/>
    <x v="1"/>
    <s v="Binders"/>
    <s v="News Binders"/>
    <n v="2331.13"/>
    <n v="2"/>
    <n v="0.2"/>
    <n v="387.68"/>
    <x v="0"/>
  </r>
  <r>
    <s v="ORD-10186"/>
    <d v="2025-08-18T00:00:00"/>
    <d v="2025-08-19T00:00:00"/>
    <s v="William Dougherty"/>
    <s v="Corporate"/>
    <x v="1"/>
    <x v="2"/>
    <s v="Accessories"/>
    <s v="Little Accessories"/>
    <n v="2103.7399999999998"/>
    <n v="7"/>
    <n v="0.2"/>
    <n v="11.95"/>
    <x v="0"/>
  </r>
  <r>
    <s v="ORD-10562"/>
    <d v="2025-08-12T00:00:00"/>
    <d v="2025-08-21T00:00:00"/>
    <s v="Logan Estrada"/>
    <s v="Home Office"/>
    <x v="2"/>
    <x v="1"/>
    <s v="Binders"/>
    <s v="Western Binders"/>
    <n v="1506.55"/>
    <n v="2"/>
    <n v="0.2"/>
    <n v="491.42"/>
    <x v="0"/>
  </r>
  <r>
    <s v="ORD-10521"/>
    <d v="2025-08-13T00:00:00"/>
    <d v="2025-08-21T00:00:00"/>
    <s v="Brenda Nelson"/>
    <s v="Home Office"/>
    <x v="0"/>
    <x v="2"/>
    <s v="Accessories"/>
    <s v="Major Accessories"/>
    <n v="1675.31"/>
    <n v="5"/>
    <n v="0.2"/>
    <n v="203.2"/>
    <x v="0"/>
  </r>
  <r>
    <s v="ORD-10442"/>
    <d v="2025-08-16T00:00:00"/>
    <d v="2025-08-21T00:00:00"/>
    <s v="Walter Holt"/>
    <s v="Home Office"/>
    <x v="0"/>
    <x v="1"/>
    <s v="Storage"/>
    <s v="Might Storage"/>
    <n v="982.38"/>
    <n v="9"/>
    <n v="0.05"/>
    <n v="289.63"/>
    <x v="0"/>
  </r>
  <r>
    <s v="ORD-10720"/>
    <d v="2025-08-21T00:00:00"/>
    <d v="2025-08-22T00:00:00"/>
    <s v="James Garcia"/>
    <s v="Home Office"/>
    <x v="0"/>
    <x v="0"/>
    <s v="Tables"/>
    <s v="Newspaper Tables"/>
    <n v="1214.44"/>
    <n v="10"/>
    <n v="0.15"/>
    <n v="174.72"/>
    <x v="0"/>
  </r>
  <r>
    <s v="ORD-10232"/>
    <d v="2025-08-19T00:00:00"/>
    <d v="2025-08-26T00:00:00"/>
    <s v="Lisa Davis"/>
    <s v="Corporate"/>
    <x v="0"/>
    <x v="1"/>
    <s v="Storage"/>
    <s v="Information Storage"/>
    <n v="2525.39"/>
    <n v="1"/>
    <n v="0"/>
    <n v="-314.74"/>
    <x v="1"/>
  </r>
  <r>
    <s v="ORD-10494"/>
    <d v="2025-08-25T00:00:00"/>
    <d v="2025-08-26T00:00:00"/>
    <s v="Cody Robinson"/>
    <s v="Consumer"/>
    <x v="1"/>
    <x v="0"/>
    <s v="Chairs"/>
    <s v="Child Chairs"/>
    <n v="1039.52"/>
    <n v="3"/>
    <n v="0.1"/>
    <n v="182.81"/>
    <x v="0"/>
  </r>
  <r>
    <s v="ORD-10320"/>
    <d v="2025-08-21T00:00:00"/>
    <d v="2025-08-28T00:00:00"/>
    <s v="Patricia Love"/>
    <s v="Corporate"/>
    <x v="1"/>
    <x v="2"/>
    <s v="Accessories"/>
    <s v="Whatever Accessories"/>
    <n v="2342.16"/>
    <n v="10"/>
    <n v="0.2"/>
    <n v="176.26"/>
    <x v="0"/>
  </r>
  <r>
    <s v="ORD-10695"/>
    <d v="2025-08-25T00:00:00"/>
    <d v="2025-08-28T00:00:00"/>
    <s v="Valerie Smith"/>
    <s v="Corporate"/>
    <x v="1"/>
    <x v="1"/>
    <s v="Paper"/>
    <s v="Forward Paper"/>
    <n v="605.54"/>
    <n v="1"/>
    <n v="0.05"/>
    <n v="183.08"/>
    <x v="0"/>
  </r>
  <r>
    <s v="ORD-10472"/>
    <d v="2025-08-21T00:00:00"/>
    <d v="2025-08-29T00:00:00"/>
    <s v="Erin Gonzalez"/>
    <s v="Home Office"/>
    <x v="3"/>
    <x v="1"/>
    <s v="Storage"/>
    <s v="Station Storage"/>
    <n v="947.24"/>
    <n v="7"/>
    <n v="0.1"/>
    <n v="129.06"/>
    <x v="0"/>
  </r>
  <r>
    <s v="ORD-10565"/>
    <d v="2025-08-23T00:00:00"/>
    <d v="2025-08-29T00:00:00"/>
    <s v="Tracy Johnson"/>
    <s v="Consumer"/>
    <x v="2"/>
    <x v="2"/>
    <s v="Accessories"/>
    <s v="College Accessories"/>
    <n v="2606.6999999999998"/>
    <n v="1"/>
    <n v="0.2"/>
    <n v="671.74"/>
    <x v="0"/>
  </r>
  <r>
    <s v="ORD-10551"/>
    <d v="2025-08-27T00:00:00"/>
    <d v="2025-08-31T00:00:00"/>
    <s v="Brenda Ryan"/>
    <s v="Home Office"/>
    <x v="0"/>
    <x v="1"/>
    <s v="Paper"/>
    <s v="Produce Paper"/>
    <n v="2095.48"/>
    <n v="9"/>
    <n v="0.15"/>
    <n v="-213.12"/>
    <x v="1"/>
  </r>
  <r>
    <s v="ORD-10438"/>
    <d v="2025-09-01T00:00:00"/>
    <d v="2025-09-04T00:00:00"/>
    <s v="David Carpenter"/>
    <s v="Corporate"/>
    <x v="2"/>
    <x v="2"/>
    <s v="Phones"/>
    <s v="Hit Phones"/>
    <n v="3025.65"/>
    <n v="1"/>
    <n v="0.05"/>
    <n v="-185.13"/>
    <x v="1"/>
  </r>
  <r>
    <s v="ORD-10408"/>
    <d v="2025-08-29T00:00:00"/>
    <d v="2025-09-06T00:00:00"/>
    <s v="Guy Moore"/>
    <s v="Home Office"/>
    <x v="2"/>
    <x v="0"/>
    <s v="Tables"/>
    <s v="Customer Tables"/>
    <n v="3676.29"/>
    <n v="3"/>
    <n v="0.15"/>
    <n v="261.73"/>
    <x v="0"/>
  </r>
  <r>
    <s v="ORD-10654"/>
    <d v="2025-09-02T00:00:00"/>
    <d v="2025-09-12T00:00:00"/>
    <s v="James Malone"/>
    <s v="Home Office"/>
    <x v="3"/>
    <x v="2"/>
    <s v="Phones"/>
    <s v="Including Phones"/>
    <n v="806.11"/>
    <n v="5"/>
    <n v="0.2"/>
    <n v="-15.23"/>
    <x v="1"/>
  </r>
  <r>
    <s v="ORD-10602"/>
    <d v="2025-09-11T00:00:00"/>
    <d v="2025-09-12T00:00:00"/>
    <s v="Cindy Rogers"/>
    <s v="Consumer"/>
    <x v="3"/>
    <x v="0"/>
    <s v="Chairs"/>
    <s v="Law Chairs"/>
    <n v="1369.19"/>
    <n v="7"/>
    <n v="0"/>
    <n v="135.22"/>
    <x v="0"/>
  </r>
  <r>
    <s v="ORD-10683"/>
    <d v="2025-09-04T00:00:00"/>
    <d v="2025-09-14T00:00:00"/>
    <s v="Breanna Palmer"/>
    <s v="Corporate"/>
    <x v="2"/>
    <x v="2"/>
    <s v="Laptops"/>
    <s v="Inside Laptops"/>
    <n v="4672.76"/>
    <n v="5"/>
    <n v="0.15"/>
    <n v="630.19000000000005"/>
    <x v="0"/>
  </r>
  <r>
    <s v="ORD-10176"/>
    <d v="2025-09-05T00:00:00"/>
    <d v="2025-09-15T00:00:00"/>
    <s v="Joy Johnson"/>
    <s v="Home Office"/>
    <x v="0"/>
    <x v="2"/>
    <s v="Phones"/>
    <s v="Discuss Phones"/>
    <n v="3334.88"/>
    <n v="6"/>
    <n v="0.1"/>
    <n v="1107.96"/>
    <x v="0"/>
  </r>
  <r>
    <s v="ORD-10158"/>
    <d v="2025-09-13T00:00:00"/>
    <d v="2025-09-15T00:00:00"/>
    <s v="Jaime Carpenter"/>
    <s v="Home Office"/>
    <x v="0"/>
    <x v="0"/>
    <s v="Bookcases"/>
    <s v="Discuss Bookcases"/>
    <n v="1758.61"/>
    <n v="2"/>
    <n v="0.1"/>
    <n v="304.27"/>
    <x v="0"/>
  </r>
  <r>
    <s v="ORD-10384"/>
    <d v="2025-09-14T00:00:00"/>
    <d v="2025-09-15T00:00:00"/>
    <s v="April Ward"/>
    <s v="Home Office"/>
    <x v="0"/>
    <x v="2"/>
    <s v="Laptops"/>
    <s v="Term Laptops"/>
    <n v="3402.06"/>
    <n v="5"/>
    <n v="0.05"/>
    <n v="-622.25"/>
    <x v="1"/>
  </r>
  <r>
    <s v="ORD-10667"/>
    <d v="2025-09-13T00:00:00"/>
    <d v="2025-09-16T00:00:00"/>
    <s v="Jordan Martinez"/>
    <s v="Consumer"/>
    <x v="0"/>
    <x v="2"/>
    <s v="Accessories"/>
    <s v="Forget Accessories"/>
    <n v="2141.19"/>
    <n v="10"/>
    <n v="0"/>
    <n v="384.29"/>
    <x v="0"/>
  </r>
  <r>
    <s v="ORD-10655"/>
    <d v="2025-09-17T00:00:00"/>
    <d v="2025-09-20T00:00:00"/>
    <s v="Kevin Christian"/>
    <s v="Home Office"/>
    <x v="3"/>
    <x v="0"/>
    <s v="Bookcases"/>
    <s v="Firm Bookcases"/>
    <n v="2926.1"/>
    <n v="4"/>
    <n v="0.05"/>
    <n v="-87.93"/>
    <x v="1"/>
  </r>
  <r>
    <s v="ORD-10657"/>
    <d v="2025-09-17T00:00:00"/>
    <d v="2025-09-20T00:00:00"/>
    <s v="Karen Ponce"/>
    <s v="Corporate"/>
    <x v="0"/>
    <x v="0"/>
    <s v="Tables"/>
    <s v="Country Tables"/>
    <n v="3649.04"/>
    <n v="6"/>
    <n v="0.15"/>
    <n v="1199.29"/>
    <x v="0"/>
  </r>
  <r>
    <s v="ORD-10518"/>
    <d v="2025-09-20T00:00:00"/>
    <d v="2025-09-23T00:00:00"/>
    <s v="Jeffrey Edwards"/>
    <s v="Home Office"/>
    <x v="0"/>
    <x v="0"/>
    <s v="Chairs"/>
    <s v="Analysis Chairs"/>
    <n v="3371.34"/>
    <n v="10"/>
    <n v="0"/>
    <n v="904.41"/>
    <x v="0"/>
  </r>
  <r>
    <s v="ORD-10181"/>
    <d v="2025-09-22T00:00:00"/>
    <d v="2025-09-23T00:00:00"/>
    <s v="Paul Beasley"/>
    <s v="Home Office"/>
    <x v="0"/>
    <x v="1"/>
    <s v="Paper"/>
    <s v="Sea Paper"/>
    <n v="2083.75"/>
    <n v="4"/>
    <n v="0.15"/>
    <n v="283.02999999999997"/>
    <x v="0"/>
  </r>
  <r>
    <s v="ORD-10252"/>
    <s v="15-09-2025"/>
    <d v="2025-09-23T00:00:00"/>
    <s v="Amanda Green"/>
    <s v="Corporate"/>
    <x v="2"/>
    <x v="0"/>
    <s v="Bookcases"/>
    <s v="Or Bookcases"/>
    <n v="1400.54"/>
    <n v="2"/>
    <n v="0.1"/>
    <n v="-154.94"/>
    <x v="1"/>
  </r>
  <r>
    <s v="ORD-10701"/>
    <d v="2025-09-22T00:00:00"/>
    <d v="2025-09-25T00:00:00"/>
    <s v="Anthony Garcia"/>
    <s v="Consumer"/>
    <x v="3"/>
    <x v="2"/>
    <s v="Phones"/>
    <s v="West Phones"/>
    <n v="1404.5"/>
    <n v="1"/>
    <n v="0.2"/>
    <n v="151.4"/>
    <x v="0"/>
  </r>
  <r>
    <s v="ORD-10537"/>
    <d v="2025-09-20T00:00:00"/>
    <d v="2025-09-28T00:00:00"/>
    <s v="Roberto Vaughan"/>
    <s v="Corporate"/>
    <x v="1"/>
    <x v="2"/>
    <s v="Laptops"/>
    <s v="Because Laptops"/>
    <n v="2421.15"/>
    <n v="10"/>
    <n v="0.05"/>
    <n v="377.68"/>
    <x v="0"/>
  </r>
  <r>
    <s v="ORD-10375"/>
    <d v="2025-09-24T00:00:00"/>
    <d v="2025-10-01T00:00:00"/>
    <s v="Caitlin Black"/>
    <s v="Home Office"/>
    <x v="1"/>
    <x v="0"/>
    <s v="Chairs"/>
    <s v="Throw Chairs"/>
    <n v="168.36"/>
    <n v="9"/>
    <n v="0.1"/>
    <n v="25.21"/>
    <x v="0"/>
  </r>
  <r>
    <s v="ORD-10578"/>
    <d v="2025-09-26T00:00:00"/>
    <d v="2025-10-01T00:00:00"/>
    <s v="Samantha Macdonald"/>
    <s v="Home Office"/>
    <x v="3"/>
    <x v="2"/>
    <s v="Accessories"/>
    <s v="Eat Accessories"/>
    <n v="2832.59"/>
    <n v="10"/>
    <n v="0"/>
    <n v="54.16"/>
    <x v="0"/>
  </r>
  <r>
    <s v="ORD-10609"/>
    <d v="2025-09-23T00:00:00"/>
    <d v="2025-10-03T00:00:00"/>
    <s v="Carlos Estrada"/>
    <s v="Consumer"/>
    <x v="1"/>
    <x v="2"/>
    <s v="Phones"/>
    <s v="Quite Phones"/>
    <n v="1725.19"/>
    <n v="1"/>
    <n v="0"/>
    <n v="-7.7"/>
    <x v="1"/>
  </r>
  <r>
    <s v="ORD-10315"/>
    <d v="2025-09-28T00:00:00"/>
    <d v="2025-10-03T00:00:00"/>
    <s v="Victor Arroyo"/>
    <s v="Corporate"/>
    <x v="1"/>
    <x v="0"/>
    <s v="Bookcases"/>
    <s v="Either Bookcases"/>
    <n v="1248"/>
    <n v="3"/>
    <n v="0.2"/>
    <n v="40.840000000000003"/>
    <x v="0"/>
  </r>
  <r>
    <s v="ORD-10257"/>
    <d v="2025-10-02T00:00:00"/>
    <d v="2025-10-04T00:00:00"/>
    <s v="Javier Lewis"/>
    <s v="Home Office"/>
    <x v="2"/>
    <x v="0"/>
    <s v="Bookcases"/>
    <s v="Pull Bookcases"/>
    <n v="2353.71"/>
    <n v="3"/>
    <n v="0.15"/>
    <n v="417.41"/>
    <x v="0"/>
  </r>
  <r>
    <s v="ORD-10714"/>
    <d v="2025-09-26T00:00:00"/>
    <d v="2025-10-06T00:00:00"/>
    <s v="Victoria Watkins"/>
    <s v="Consumer"/>
    <x v="2"/>
    <x v="0"/>
    <s v="Bookcases"/>
    <s v="Anyone Bookcases"/>
    <n v="2341.4"/>
    <n v="9"/>
    <n v="0"/>
    <n v="590.29999999999995"/>
    <x v="0"/>
  </r>
  <r>
    <s v="ORD-10661"/>
    <d v="2025-09-30T00:00:00"/>
    <d v="2025-10-08T00:00:00"/>
    <s v="Patricia Reid"/>
    <s v="Consumer"/>
    <x v="2"/>
    <x v="2"/>
    <s v="Accessories"/>
    <s v="Real Accessories"/>
    <n v="730.69"/>
    <n v="4"/>
    <n v="0.05"/>
    <n v="-133.19"/>
    <x v="1"/>
  </r>
  <r>
    <s v="ORD-10489"/>
    <d v="2025-10-02T00:00:00"/>
    <d v="2025-10-08T00:00:00"/>
    <s v="Karen Greene"/>
    <s v="Home Office"/>
    <x v="2"/>
    <x v="2"/>
    <s v="Accessories"/>
    <s v="Listen Accessories"/>
    <n v="4853.93"/>
    <n v="8"/>
    <n v="0.05"/>
    <n v="-601.89"/>
    <x v="1"/>
  </r>
  <r>
    <s v="ORD-10305"/>
    <d v="2025-09-30T00:00:00"/>
    <d v="2025-10-09T00:00:00"/>
    <s v="Mary Williams"/>
    <s v="Home Office"/>
    <x v="1"/>
    <x v="2"/>
    <s v="Laptops"/>
    <s v="Near Laptops"/>
    <n v="2586.58"/>
    <n v="2"/>
    <n v="0"/>
    <n v="-389.82"/>
    <x v="1"/>
  </r>
  <r>
    <s v="ORD-10675"/>
    <d v="2025-10-01T00:00:00"/>
    <d v="2025-10-09T00:00:00"/>
    <s v="Joann Maldonado"/>
    <s v="Consumer"/>
    <x v="3"/>
    <x v="2"/>
    <s v="Accessories"/>
    <s v="Police Accessories"/>
    <n v="2740.33"/>
    <n v="1"/>
    <n v="0.2"/>
    <n v="782.33"/>
    <x v="0"/>
  </r>
  <r>
    <s v="ORD-10709"/>
    <d v="2025-10-02T00:00:00"/>
    <d v="2025-10-10T00:00:00"/>
    <s v="Joseph Davis"/>
    <s v="Home Office"/>
    <x v="3"/>
    <x v="0"/>
    <s v="Tables"/>
    <s v="Computer Tables"/>
    <n v="2333.15"/>
    <n v="3"/>
    <n v="0.1"/>
    <n v="518.82000000000005"/>
    <x v="0"/>
  </r>
  <r>
    <s v="ORD-10142"/>
    <d v="2025-10-08T00:00:00"/>
    <d v="2025-10-10T00:00:00"/>
    <s v="John Lowery"/>
    <s v="Corporate"/>
    <x v="3"/>
    <x v="1"/>
    <s v="Binders"/>
    <s v="Race Binders"/>
    <n v="2407.42"/>
    <n v="6"/>
    <n v="0.2"/>
    <n v="304.58"/>
    <x v="0"/>
  </r>
  <r>
    <s v="ORD-10552"/>
    <d v="2025-10-03T00:00:00"/>
    <d v="2025-10-13T00:00:00"/>
    <s v="Rebecca Christensen"/>
    <s v="Home Office"/>
    <x v="1"/>
    <x v="2"/>
    <s v="Accessories"/>
    <s v="Situation Accessories"/>
    <n v="1754.56"/>
    <n v="7"/>
    <n v="0.2"/>
    <n v="-217.67"/>
    <x v="1"/>
  </r>
  <r>
    <s v="ORD-10355"/>
    <d v="2025-10-05T00:00:00"/>
    <d v="2025-10-13T00:00:00"/>
    <s v="Cynthia Hernandez"/>
    <s v="Consumer"/>
    <x v="0"/>
    <x v="2"/>
    <s v="Laptops"/>
    <s v="Community Laptops"/>
    <n v="4306.8100000000004"/>
    <n v="2"/>
    <n v="0"/>
    <n v="-529.71"/>
    <x v="1"/>
  </r>
  <r>
    <s v="ORD-10246"/>
    <d v="2025-10-08T00:00:00"/>
    <d v="2025-10-13T00:00:00"/>
    <s v="Toni Melendez"/>
    <s v="Home Office"/>
    <x v="3"/>
    <x v="0"/>
    <s v="Bookcases"/>
    <s v="Any Bookcases"/>
    <n v="4668.47"/>
    <n v="5"/>
    <n v="0.05"/>
    <n v="-653.24"/>
    <x v="1"/>
  </r>
  <r>
    <s v="ORD-10416"/>
    <d v="2025-10-09T00:00:00"/>
    <d v="2025-10-13T00:00:00"/>
    <s v="Phillip Nelson"/>
    <s v="Consumer"/>
    <x v="2"/>
    <x v="0"/>
    <s v="Chairs"/>
    <s v="Discussion Chairs"/>
    <n v="895.62"/>
    <n v="5"/>
    <n v="0"/>
    <n v="54.15"/>
    <x v="0"/>
  </r>
  <r>
    <s v="ORD-10353"/>
    <d v="2025-10-13T00:00:00"/>
    <d v="2025-10-15T00:00:00"/>
    <s v="Alicia King"/>
    <s v="Consumer"/>
    <x v="3"/>
    <x v="2"/>
    <s v="Phones"/>
    <s v="Lay Phones"/>
    <n v="560.85"/>
    <n v="6"/>
    <n v="0.1"/>
    <n v="-69.87"/>
    <x v="1"/>
  </r>
  <r>
    <s v="ORD-10099"/>
    <d v="2025-10-06T00:00:00"/>
    <d v="2025-10-16T00:00:00"/>
    <s v="Yolanda Burke"/>
    <s v="Home Office"/>
    <x v="1"/>
    <x v="1"/>
    <s v="Paper"/>
    <s v="Fall Paper"/>
    <n v="1289.32"/>
    <n v="2"/>
    <n v="0.05"/>
    <n v="424.25"/>
    <x v="0"/>
  </r>
  <r>
    <s v="ORD-10054"/>
    <d v="2025-10-09T00:00:00"/>
    <d v="2025-10-17T00:00:00"/>
    <s v="Walter Lindsey"/>
    <s v="Home Office"/>
    <x v="3"/>
    <x v="2"/>
    <s v="Accessories"/>
    <s v="Stay Accessories"/>
    <n v="3394.35"/>
    <n v="9"/>
    <n v="0.15"/>
    <n v="802.95"/>
    <x v="0"/>
  </r>
  <r>
    <s v="ORD-10174"/>
    <d v="2025-10-12T00:00:00"/>
    <d v="2025-10-17T00:00:00"/>
    <s v="Kathryn Kim"/>
    <s v="Home Office"/>
    <x v="2"/>
    <x v="2"/>
    <s v="Accessories"/>
    <s v="Significant Accessories"/>
    <n v="1967.71"/>
    <n v="6"/>
    <n v="0.2"/>
    <n v="253.51"/>
    <x v="0"/>
  </r>
  <r>
    <s v="ORD-10631"/>
    <d v="2025-10-13T00:00:00"/>
    <d v="2025-10-18T00:00:00"/>
    <s v="Michael Martin"/>
    <s v="Corporate"/>
    <x v="1"/>
    <x v="0"/>
    <s v="Chairs"/>
    <s v="Son Chairs"/>
    <n v="1867.06"/>
    <n v="10"/>
    <n v="0.05"/>
    <n v="-134.15"/>
    <x v="1"/>
  </r>
  <r>
    <s v="ORD-10393"/>
    <d v="2025-10-18T00:00:00"/>
    <d v="2025-10-24T00:00:00"/>
    <s v="Denise Beasley"/>
    <s v="Consumer"/>
    <x v="1"/>
    <x v="1"/>
    <s v="Storage"/>
    <s v="Occur Storage"/>
    <n v="1972.49"/>
    <n v="3"/>
    <n v="0"/>
    <n v="-48.56"/>
    <x v="1"/>
  </r>
  <r>
    <s v="ORD-10330"/>
    <d v="2025-10-22T00:00:00"/>
    <d v="2025-10-26T00:00:00"/>
    <s v="Melody Freeman"/>
    <s v="Home Office"/>
    <x v="0"/>
    <x v="2"/>
    <s v="Phones"/>
    <s v="Watch Phones"/>
    <n v="1561.63"/>
    <n v="3"/>
    <n v="0.1"/>
    <n v="283.26"/>
    <x v="0"/>
  </r>
  <r>
    <s v="ORD-10180"/>
    <d v="2025-10-17T00:00:00"/>
    <d v="2025-10-27T00:00:00"/>
    <s v="Robert Snyder"/>
    <s v="Home Office"/>
    <x v="3"/>
    <x v="1"/>
    <s v="Paper"/>
    <s v="True Paper"/>
    <n v="698.69"/>
    <n v="7"/>
    <n v="0.05"/>
    <n v="-77.39"/>
    <x v="1"/>
  </r>
  <r>
    <s v="ORD-10514"/>
    <d v="2025-10-20T00:00:00"/>
    <d v="2025-10-27T00:00:00"/>
    <s v="Tony Bentley"/>
    <s v="Consumer"/>
    <x v="3"/>
    <x v="2"/>
    <s v="Accessories"/>
    <s v="Can Accessories"/>
    <n v="2005.81"/>
    <n v="1"/>
    <n v="0.15"/>
    <n v="-228.71"/>
    <x v="1"/>
  </r>
  <r>
    <s v="ORD-10172"/>
    <d v="2025-10-20T00:00:00"/>
    <d v="2025-10-28T00:00:00"/>
    <s v="Denise Evans"/>
    <s v="Corporate"/>
    <x v="1"/>
    <x v="2"/>
    <s v="Laptops"/>
    <s v="Charge Laptops"/>
    <n v="2531.77"/>
    <n v="1"/>
    <n v="0.15"/>
    <n v="-362.23"/>
    <x v="1"/>
  </r>
  <r>
    <s v="ORD-10311"/>
    <d v="2025-10-21T00:00:00"/>
    <d v="2025-10-31T00:00:00"/>
    <s v="Tonya Mills"/>
    <s v="Corporate"/>
    <x v="2"/>
    <x v="2"/>
    <s v="Accessories"/>
    <s v="Go Accessories"/>
    <n v="4739.03"/>
    <n v="4"/>
    <n v="0.15"/>
    <n v="-128.9"/>
    <x v="1"/>
  </r>
  <r>
    <s v="ORD-10207"/>
    <d v="2025-10-24T00:00:00"/>
    <d v="2025-10-31T00:00:00"/>
    <s v="Elizabeth Dougherty"/>
    <s v="Consumer"/>
    <x v="3"/>
    <x v="1"/>
    <s v="Paper"/>
    <s v="Second Paper"/>
    <n v="1606.21"/>
    <n v="5"/>
    <n v="0.05"/>
    <n v="527.29999999999995"/>
    <x v="0"/>
  </r>
  <r>
    <s v="ORD-10691"/>
    <d v="2025-10-25T00:00:00"/>
    <d v="2025-10-31T00:00:00"/>
    <s v="Brian Gonzalez"/>
    <s v="Corporate"/>
    <x v="0"/>
    <x v="1"/>
    <s v="Storage"/>
    <s v="Develop Storage"/>
    <n v="2798.13"/>
    <n v="1"/>
    <n v="0.05"/>
    <n v="328.97"/>
    <x v="0"/>
  </r>
  <r>
    <s v="ORD-10032"/>
    <d v="2025-10-31T00:00:00"/>
    <d v="2025-11-02T00:00:00"/>
    <s v="Erika Ellis"/>
    <s v="Consumer"/>
    <x v="0"/>
    <x v="0"/>
    <s v="Bookcases"/>
    <s v="One Bookcases"/>
    <n v="4264.1499999999996"/>
    <n v="2"/>
    <n v="0.2"/>
    <n v="-693.44"/>
    <x v="1"/>
  </r>
  <r>
    <s v="ORD-10205"/>
    <d v="2025-10-31T00:00:00"/>
    <d v="2025-11-02T00:00:00"/>
    <s v="Willie Garcia"/>
    <s v="Home Office"/>
    <x v="1"/>
    <x v="0"/>
    <s v="Chairs"/>
    <s v="Fast Chairs"/>
    <n v="1218.18"/>
    <n v="6"/>
    <n v="0.1"/>
    <n v="12.88"/>
    <x v="0"/>
  </r>
  <r>
    <s v="ORD-10121"/>
    <d v="2025-10-31T00:00:00"/>
    <d v="2025-11-05T00:00:00"/>
    <s v="James Collier"/>
    <s v="Home Office"/>
    <x v="3"/>
    <x v="0"/>
    <s v="Tables"/>
    <s v="Anything Tables"/>
    <n v="2324.87"/>
    <n v="1"/>
    <n v="0.15"/>
    <n v="687.38"/>
    <x v="0"/>
  </r>
  <r>
    <s v="ORD-10269"/>
    <d v="2025-10-28T00:00:00"/>
    <d v="2025-11-06T00:00:00"/>
    <s v="Cynthia Winters"/>
    <s v="Corporate"/>
    <x v="3"/>
    <x v="1"/>
    <s v="Storage"/>
    <s v="Boy Storage"/>
    <n v="2149.4299999999998"/>
    <n v="7"/>
    <n v="0.05"/>
    <n v="-137.28"/>
    <x v="1"/>
  </r>
  <r>
    <s v="ORD-10161"/>
    <d v="2025-11-03T00:00:00"/>
    <d v="2025-11-12T00:00:00"/>
    <s v="Victoria Winters"/>
    <s v="Corporate"/>
    <x v="1"/>
    <x v="0"/>
    <s v="Tables"/>
    <s v="Less Tables"/>
    <n v="3533.17"/>
    <n v="9"/>
    <n v="0.2"/>
    <n v="912.78"/>
    <x v="0"/>
  </r>
  <r>
    <s v="ORD-10167"/>
    <d v="2025-11-09T00:00:00"/>
    <d v="2025-11-12T00:00:00"/>
    <s v="Angela Mercado"/>
    <s v="Home Office"/>
    <x v="0"/>
    <x v="1"/>
    <s v="Binders"/>
    <s v="Almost Binders"/>
    <n v="4758.8999999999996"/>
    <n v="8"/>
    <n v="0.15"/>
    <n v="1022.9"/>
    <x v="0"/>
  </r>
  <r>
    <s v="ORD-10455"/>
    <d v="2025-11-07T00:00:00"/>
    <d v="2025-11-13T00:00:00"/>
    <s v="Brenda Ortiz"/>
    <s v="Corporate"/>
    <x v="0"/>
    <x v="0"/>
    <s v="Bookcases"/>
    <s v="Voice Bookcases"/>
    <n v="1594.86"/>
    <n v="2"/>
    <n v="0.15"/>
    <n v="122.54"/>
    <x v="0"/>
  </r>
  <r>
    <s v="ORD-10460"/>
    <d v="2025-11-13T00:00:00"/>
    <d v="2025-11-14T00:00:00"/>
    <s v="Gary Bryant"/>
    <s v="Consumer"/>
    <x v="2"/>
    <x v="1"/>
    <s v="Binders"/>
    <s v="Item Binders"/>
    <n v="288.76"/>
    <n v="2"/>
    <n v="0.15"/>
    <n v="12.81"/>
    <x v="0"/>
  </r>
  <r>
    <s v="ORD-10190"/>
    <d v="2025-11-14T00:00:00"/>
    <d v="2025-11-18T00:00:00"/>
    <s v="Tina Taylor"/>
    <s v="Home Office"/>
    <x v="0"/>
    <x v="0"/>
    <s v="Tables"/>
    <s v="Eye Tables"/>
    <n v="1540.7"/>
    <n v="1"/>
    <n v="0.05"/>
    <n v="47.61"/>
    <x v="0"/>
  </r>
  <r>
    <s v="ORD-10197"/>
    <d v="2025-11-17T00:00:00"/>
    <d v="2025-11-18T00:00:00"/>
    <s v="Andrea Gill"/>
    <s v="Corporate"/>
    <x v="2"/>
    <x v="1"/>
    <s v="Paper"/>
    <s v="One Paper"/>
    <n v="1502.54"/>
    <n v="1"/>
    <n v="0.05"/>
    <n v="431.51"/>
    <x v="0"/>
  </r>
  <r>
    <s v="ORD-10567"/>
    <d v="2025-11-15T00:00:00"/>
    <d v="2025-11-19T00:00:00"/>
    <s v="Eduardo Gomez"/>
    <s v="Corporate"/>
    <x v="3"/>
    <x v="0"/>
    <s v="Bookcases"/>
    <s v="Smile Bookcases"/>
    <n v="2520.0500000000002"/>
    <n v="4"/>
    <n v="0.05"/>
    <n v="515.30999999999995"/>
    <x v="0"/>
  </r>
  <r>
    <s v="ORD-10243"/>
    <d v="2025-11-12T00:00:00"/>
    <d v="2025-11-20T00:00:00"/>
    <s v="Emily Wells"/>
    <s v="Home Office"/>
    <x v="2"/>
    <x v="1"/>
    <s v="Binders"/>
    <s v="Behind Binders"/>
    <n v="1619.35"/>
    <n v="6"/>
    <n v="0.2"/>
    <n v="507.72"/>
    <x v="0"/>
  </r>
  <r>
    <s v="ORD-10427"/>
    <d v="2025-11-13T00:00:00"/>
    <d v="2025-11-21T00:00:00"/>
    <s v="Shannon Tucker"/>
    <s v="Home Office"/>
    <x v="0"/>
    <x v="1"/>
    <s v="Storage"/>
    <s v="Keep Storage"/>
    <n v="235.46"/>
    <n v="5"/>
    <n v="0.15"/>
    <n v="-28.46"/>
    <x v="1"/>
  </r>
  <r>
    <s v="ORD-10263"/>
    <d v="2025-11-19T00:00:00"/>
    <d v="2025-11-22T00:00:00"/>
    <s v="Allen Trevino"/>
    <s v="Corporate"/>
    <x v="2"/>
    <x v="0"/>
    <s v="Tables"/>
    <s v="Necessary Tables"/>
    <n v="2590.58"/>
    <n v="8"/>
    <n v="0.2"/>
    <n v="-435.85"/>
    <x v="1"/>
  </r>
  <r>
    <s v="ORD-10743"/>
    <d v="2025-11-21T00:00:00"/>
    <d v="2025-11-22T00:00:00"/>
    <s v="Benjamin Hughes"/>
    <s v="Home Office"/>
    <x v="0"/>
    <x v="2"/>
    <s v="Laptops"/>
    <s v="Assume Laptops"/>
    <n v="3380.37"/>
    <n v="2"/>
    <n v="0"/>
    <n v="88.52"/>
    <x v="0"/>
  </r>
  <r>
    <s v="ORD-10147"/>
    <d v="2025-11-19T00:00:00"/>
    <d v="2025-11-23T00:00:00"/>
    <s v="Shane Morse"/>
    <s v="Consumer"/>
    <x v="2"/>
    <x v="2"/>
    <s v="Accessories"/>
    <s v="Evidence Accessories"/>
    <n v="2098.38"/>
    <n v="8"/>
    <n v="0.15"/>
    <n v="60.42"/>
    <x v="0"/>
  </r>
  <r>
    <s v="ORD-10628"/>
    <d v="2025-11-22T00:00:00"/>
    <d v="2025-11-29T00:00:00"/>
    <s v="Jason Gregory"/>
    <s v="Home Office"/>
    <x v="3"/>
    <x v="2"/>
    <s v="Accessories"/>
    <s v="Left Accessories"/>
    <n v="50.97"/>
    <n v="1"/>
    <n v="0.1"/>
    <n v="6.51"/>
    <x v="0"/>
  </r>
  <r>
    <s v="ORD-10482"/>
    <d v="2025-11-23T00:00:00"/>
    <d v="2025-11-29T00:00:00"/>
    <s v="Sharon Francis"/>
    <s v="Consumer"/>
    <x v="1"/>
    <x v="1"/>
    <s v="Storage"/>
    <s v="Trouble Storage"/>
    <n v="3593.77"/>
    <n v="2"/>
    <n v="0"/>
    <n v="782.1"/>
    <x v="0"/>
  </r>
  <r>
    <s v="ORD-10319"/>
    <d v="2025-11-29T00:00:00"/>
    <d v="2025-12-01T00:00:00"/>
    <s v="Randy Whitney"/>
    <s v="Home Office"/>
    <x v="3"/>
    <x v="2"/>
    <s v="Accessories"/>
    <s v="Main Accessories"/>
    <n v="102.21"/>
    <n v="5"/>
    <n v="0.05"/>
    <n v="8.27"/>
    <x v="0"/>
  </r>
  <r>
    <s v="ORD-10022"/>
    <d v="2025-11-28T00:00:00"/>
    <d v="2025-12-02T00:00:00"/>
    <s v="Terri Miller"/>
    <s v="Home Office"/>
    <x v="3"/>
    <x v="0"/>
    <s v="Chairs"/>
    <s v="Forget Chairs"/>
    <n v="366.93"/>
    <n v="1"/>
    <n v="0.2"/>
    <n v="38.4"/>
    <x v="0"/>
  </r>
  <r>
    <s v="ORD-10660"/>
    <d v="2025-11-30T00:00:00"/>
    <d v="2025-12-03T00:00:00"/>
    <s v="David Reese"/>
    <s v="Corporate"/>
    <x v="3"/>
    <x v="1"/>
    <s v="Paper"/>
    <s v="Citizen Paper"/>
    <n v="2536.5100000000002"/>
    <n v="10"/>
    <n v="0.15"/>
    <n v="486.02"/>
    <x v="0"/>
  </r>
  <r>
    <s v="ORD-10074"/>
    <d v="2025-12-01T00:00:00"/>
    <d v="2025-12-03T00:00:00"/>
    <s v="Elizabeth Martin"/>
    <s v="Corporate"/>
    <x v="1"/>
    <x v="1"/>
    <s v="Binders"/>
    <s v="Generation Binders"/>
    <n v="2980.88"/>
    <n v="4"/>
    <n v="0"/>
    <n v="546.86"/>
    <x v="0"/>
  </r>
  <r>
    <s v="ORD-10070"/>
    <d v="2025-12-02T00:00:00"/>
    <d v="2025-12-03T00:00:00"/>
    <s v="Sean Miranda"/>
    <s v="Consumer"/>
    <x v="1"/>
    <x v="0"/>
    <s v="Tables"/>
    <s v="Number Tables"/>
    <n v="3757.67"/>
    <n v="1"/>
    <n v="0.1"/>
    <n v="-288.13"/>
    <x v="1"/>
  </r>
  <r>
    <s v="ORD-10618"/>
    <s v="01-12-2025"/>
    <d v="2025-12-03T00:00:00"/>
    <s v="Jennifer Jacobs"/>
    <s v="Corporate"/>
    <x v="0"/>
    <x v="0"/>
    <s v="Chairs"/>
    <s v="Buy Chairs"/>
    <n v="2452.58"/>
    <n v="2"/>
    <n v="0"/>
    <n v="279.73"/>
    <x v="0"/>
  </r>
  <r>
    <s v="ORD-10445"/>
    <d v="2025-11-30T00:00:00"/>
    <d v="2025-12-08T00:00:00"/>
    <s v="Michelle Lee"/>
    <s v="Consumer"/>
    <x v="3"/>
    <x v="1"/>
    <s v="Storage"/>
    <s v="Film Storage"/>
    <n v="4537.3100000000004"/>
    <n v="6"/>
    <n v="0.2"/>
    <n v="-158.32"/>
    <x v="1"/>
  </r>
  <r>
    <s v="ORD-10363"/>
    <s v="30-11-2025"/>
    <d v="2025-12-09T00:00:00"/>
    <s v="Jeremiah Bond"/>
    <s v="Home Office"/>
    <x v="1"/>
    <x v="2"/>
    <s v="Phones"/>
    <s v="Already Phones"/>
    <n v="4608.58"/>
    <n v="3"/>
    <n v="0.2"/>
    <n v="-93.5"/>
    <x v="1"/>
  </r>
  <r>
    <s v="ORD-10716"/>
    <d v="2025-12-07T00:00:00"/>
    <d v="2025-12-10T00:00:00"/>
    <s v="David Richards"/>
    <s v="Corporate"/>
    <x v="2"/>
    <x v="0"/>
    <s v="Chairs"/>
    <s v="Consumer Chairs"/>
    <n v="4441.9399999999996"/>
    <n v="1"/>
    <n v="0.05"/>
    <n v="726.19"/>
    <x v="0"/>
  </r>
  <r>
    <s v="ORD-10347"/>
    <d v="2025-12-01T00:00:00"/>
    <d v="2025-12-11T00:00:00"/>
    <s v="Mackenzie Jimenez"/>
    <s v="Consumer"/>
    <x v="1"/>
    <x v="2"/>
    <s v="Laptops"/>
    <s v="Majority Laptops"/>
    <n v="696.44"/>
    <n v="8"/>
    <n v="0.1"/>
    <n v="203.21"/>
    <x v="0"/>
  </r>
  <r>
    <s v="ORD-10488"/>
    <d v="2025-12-01T00:00:00"/>
    <d v="2025-12-11T00:00:00"/>
    <s v="Steven Phillips"/>
    <s v="Corporate"/>
    <x v="3"/>
    <x v="0"/>
    <s v="Tables"/>
    <s v="Make Tables"/>
    <n v="3050.5"/>
    <n v="6"/>
    <n v="0.2"/>
    <n v="868.68"/>
    <x v="0"/>
  </r>
  <r>
    <s v="ORD-10110"/>
    <d v="2025-12-11T00:00:00"/>
    <d v="2025-12-12T00:00:00"/>
    <s v="Lisa Phelps"/>
    <s v="Home Office"/>
    <x v="0"/>
    <x v="1"/>
    <s v="Paper"/>
    <s v="Record Paper"/>
    <n v="1450.05"/>
    <n v="5"/>
    <n v="0.2"/>
    <n v="172.49"/>
    <x v="0"/>
  </r>
  <r>
    <s v="ORD-10495"/>
    <d v="2025-12-12T00:00:00"/>
    <d v="2025-12-16T00:00:00"/>
    <s v="Erin Moore"/>
    <s v="Consumer"/>
    <x v="3"/>
    <x v="1"/>
    <s v="Paper"/>
    <s v="Run Paper"/>
    <n v="3780.29"/>
    <n v="1"/>
    <n v="0.1"/>
    <n v="936.43"/>
    <x v="0"/>
  </r>
  <r>
    <s v="ORD-10666"/>
    <d v="2025-12-09T00:00:00"/>
    <d v="2025-12-18T00:00:00"/>
    <s v="Erin Howell"/>
    <s v="Corporate"/>
    <x v="2"/>
    <x v="1"/>
    <s v="Paper"/>
    <s v="Local Paper"/>
    <n v="3837.54"/>
    <n v="1"/>
    <n v="0.05"/>
    <n v="-152.93"/>
    <x v="1"/>
  </r>
  <r>
    <s v="ORD-10049"/>
    <d v="2025-12-16T00:00:00"/>
    <d v="2025-12-18T00:00:00"/>
    <s v="David Morgan"/>
    <s v="Home Office"/>
    <x v="0"/>
    <x v="1"/>
    <s v="Storage"/>
    <s v="Man Storage"/>
    <n v="1956.72"/>
    <n v="10"/>
    <n v="0.05"/>
    <n v="-117.21"/>
    <x v="1"/>
  </r>
  <r>
    <s v="ORD-10309"/>
    <d v="2025-12-11T00:00:00"/>
    <d v="2025-12-19T00:00:00"/>
    <s v="Veronica Andrews"/>
    <s v="Corporate"/>
    <x v="1"/>
    <x v="2"/>
    <s v="Phones"/>
    <s v="Especially Phones"/>
    <n v="2989.34"/>
    <n v="4"/>
    <n v="0.15"/>
    <n v="-421.99"/>
    <x v="1"/>
  </r>
  <r>
    <s v="ORD-10033"/>
    <d v="2025-12-17T00:00:00"/>
    <d v="2025-12-21T00:00:00"/>
    <s v="Pamela Norman"/>
    <s v="Home Office"/>
    <x v="2"/>
    <x v="0"/>
    <s v="Bookcases"/>
    <s v="Wait Bookcases"/>
    <n v="2915.65"/>
    <n v="1"/>
    <n v="0.2"/>
    <n v="-451.66"/>
    <x v="1"/>
  </r>
  <r>
    <s v="ORD-10221"/>
    <d v="2025-12-15T00:00:00"/>
    <d v="2025-12-22T00:00:00"/>
    <s v="Timothy Patterson"/>
    <s v="Corporate"/>
    <x v="0"/>
    <x v="0"/>
    <s v="Bookcases"/>
    <s v="Seek Bookcases"/>
    <n v="1522.3"/>
    <n v="2"/>
    <n v="0.2"/>
    <n v="-254.3"/>
    <x v="1"/>
  </r>
  <r>
    <s v="ORD-10505"/>
    <d v="2025-12-18T00:00:00"/>
    <d v="2025-12-24T00:00:00"/>
    <s v="Jessica Christian"/>
    <s v="Consumer"/>
    <x v="2"/>
    <x v="0"/>
    <s v="Bookcases"/>
    <s v="Civil Bookcases"/>
    <n v="2256.0500000000002"/>
    <n v="10"/>
    <n v="0.2"/>
    <n v="-148.66"/>
    <x v="1"/>
  </r>
  <r>
    <s v="ORD-10169"/>
    <d v="2025-12-19T00:00:00"/>
    <d v="2025-12-24T00:00:00"/>
    <s v="Erik Turner"/>
    <s v="Corporate"/>
    <x v="0"/>
    <x v="1"/>
    <s v="Paper"/>
    <s v="Hear Paper"/>
    <n v="2977.53"/>
    <n v="6"/>
    <n v="0.2"/>
    <n v="-474.01"/>
    <x v="1"/>
  </r>
  <r>
    <s v="ORD-10362"/>
    <d v="2025-12-18T00:00:00"/>
    <d v="2025-12-25T00:00:00"/>
    <s v="Belinda Wells"/>
    <s v="Corporate"/>
    <x v="1"/>
    <x v="2"/>
    <s v="Laptops"/>
    <s v="Black Laptops"/>
    <n v="458.02"/>
    <n v="9"/>
    <n v="0.2"/>
    <n v="63.59"/>
    <x v="0"/>
  </r>
  <r>
    <s v="ORD-10641"/>
    <d v="2025-12-18T00:00:00"/>
    <d v="2025-12-25T00:00:00"/>
    <s v="Jason Velasquez"/>
    <s v="Home Office"/>
    <x v="1"/>
    <x v="0"/>
    <s v="Bookcases"/>
    <s v="Record Bookcases"/>
    <n v="2146.5300000000002"/>
    <n v="6"/>
    <n v="0.05"/>
    <n v="-50.65"/>
    <x v="1"/>
  </r>
  <r>
    <s v="ORD-10007"/>
    <d v="2025-12-27T00:00:00"/>
    <d v="2025-12-31T00:00:00"/>
    <s v="Barbara Mora"/>
    <s v="Corporate"/>
    <x v="2"/>
    <x v="0"/>
    <s v="Bookcases"/>
    <s v="Available Bookcases"/>
    <n v="3876.69"/>
    <n v="2"/>
    <n v="0.05"/>
    <n v="1072.1600000000001"/>
    <x v="0"/>
  </r>
  <r>
    <s v="ORD-10480"/>
    <d v="2025-12-22T00:00:00"/>
    <d v="2026-01-01T00:00:00"/>
    <s v="Alicia Dawson"/>
    <s v="Home Office"/>
    <x v="0"/>
    <x v="0"/>
    <s v="Bookcases"/>
    <s v="My Bookcases"/>
    <n v="3205.81"/>
    <n v="9"/>
    <n v="0.2"/>
    <n v="-276.44"/>
    <x v="1"/>
  </r>
  <r>
    <s v="ORD-10088"/>
    <d v="2025-12-30T00:00:00"/>
    <d v="2026-01-01T00:00:00"/>
    <s v="Daniel Clark"/>
    <s v="Corporate"/>
    <x v="2"/>
    <x v="1"/>
    <s v="Paper"/>
    <s v="Since Paper"/>
    <n v="4369.96"/>
    <n v="10"/>
    <n v="0.1"/>
    <n v="254.19"/>
    <x v="0"/>
  </r>
  <r>
    <s v="ORD-10278"/>
    <d v="2025-12-25T00:00:00"/>
    <d v="2026-01-03T00:00:00"/>
    <s v="Tyler Cabrera"/>
    <s v="Home Office"/>
    <x v="1"/>
    <x v="2"/>
    <s v="Laptops"/>
    <s v="Impact Laptops"/>
    <n v="713.76"/>
    <n v="4"/>
    <n v="0.1"/>
    <n v="-62.93"/>
    <x v="1"/>
  </r>
  <r>
    <s v="ORD-10177"/>
    <d v="2026-01-01T00:00:00"/>
    <d v="2026-01-03T00:00:00"/>
    <s v="Cheryl Thompson"/>
    <s v="Consumer"/>
    <x v="1"/>
    <x v="0"/>
    <s v="Bookcases"/>
    <s v="Election Bookcases"/>
    <n v="1582.43"/>
    <n v="7"/>
    <n v="0.2"/>
    <n v="372.53"/>
    <x v="0"/>
  </r>
  <r>
    <s v="ORD-10334"/>
    <d v="2025-12-29T00:00:00"/>
    <d v="2026-01-05T00:00:00"/>
    <s v="Robert Thomas"/>
    <s v="Home Office"/>
    <x v="1"/>
    <x v="1"/>
    <s v="Paper"/>
    <s v="Civil Paper"/>
    <n v="3565.2"/>
    <n v="8"/>
    <n v="0.15"/>
    <n v="-385.08"/>
    <x v="1"/>
  </r>
  <r>
    <s v="ORD-10577"/>
    <d v="2026-01-02T00:00:00"/>
    <d v="2026-01-05T00:00:00"/>
    <s v="Shawn Walker"/>
    <s v="Home Office"/>
    <x v="2"/>
    <x v="2"/>
    <s v="Phones"/>
    <s v="Political Phones"/>
    <n v="2136.5300000000002"/>
    <n v="3"/>
    <n v="0.2"/>
    <n v="180.22"/>
    <x v="0"/>
  </r>
  <r>
    <s v="ORD-10557"/>
    <d v="2026-01-04T00:00:00"/>
    <d v="2026-01-08T00:00:00"/>
    <s v="Monica Bennett"/>
    <s v="Home Office"/>
    <x v="3"/>
    <x v="2"/>
    <s v="Phones"/>
    <s v="Condition Phones"/>
    <n v="4260.3100000000004"/>
    <n v="9"/>
    <n v="0.1"/>
    <n v="-395.74"/>
    <x v="1"/>
  </r>
  <r>
    <s v="ORD-10705"/>
    <d v="2026-01-04T00:00:00"/>
    <d v="2026-01-09T00:00:00"/>
    <s v="Ralph Walls"/>
    <s v="Home Office"/>
    <x v="1"/>
    <x v="1"/>
    <s v="Paper"/>
    <s v="Away Paper"/>
    <n v="1695.04"/>
    <n v="4"/>
    <n v="0.2"/>
    <n v="368.03"/>
    <x v="0"/>
  </r>
  <r>
    <s v="ORD-10274"/>
    <d v="2026-01-09T00:00:00"/>
    <d v="2026-01-12T00:00:00"/>
    <s v="Jon Eaton Jr."/>
    <s v="Corporate"/>
    <x v="1"/>
    <x v="0"/>
    <s v="Tables"/>
    <s v="Although Tables"/>
    <n v="4929.1899999999996"/>
    <n v="9"/>
    <n v="0.05"/>
    <n v="135.35"/>
    <x v="0"/>
  </r>
  <r>
    <s v="ORD-10313"/>
    <d v="2026-01-09T00:00:00"/>
    <d v="2026-01-13T00:00:00"/>
    <s v="Donald Green"/>
    <s v="Home Office"/>
    <x v="1"/>
    <x v="0"/>
    <s v="Bookcases"/>
    <s v="Treatment Bookcases"/>
    <n v="2981.52"/>
    <n v="9"/>
    <n v="0.05"/>
    <n v="521.59"/>
    <x v="0"/>
  </r>
  <r>
    <s v="ORD-10530"/>
    <d v="2026-01-09T00:00:00"/>
    <d v="2026-01-13T00:00:00"/>
    <s v="Jonathan Flores"/>
    <s v="Consumer"/>
    <x v="1"/>
    <x v="2"/>
    <s v="Phones"/>
    <s v="Tonight Phones"/>
    <n v="3819.29"/>
    <n v="4"/>
    <n v="0"/>
    <n v="-208.55"/>
    <x v="1"/>
  </r>
  <r>
    <s v="ORD-10642"/>
    <d v="2026-01-09T00:00:00"/>
    <d v="2026-01-15T00:00:00"/>
    <s v="Rebecca Ray"/>
    <s v="Consumer"/>
    <x v="3"/>
    <x v="2"/>
    <s v="Phones"/>
    <s v="Themselves Phones"/>
    <n v="3100.29"/>
    <n v="8"/>
    <n v="0.2"/>
    <n v="-371.41"/>
    <x v="1"/>
  </r>
  <r>
    <s v="ORD-10392"/>
    <d v="2026-01-14T00:00:00"/>
    <d v="2026-01-15T00:00:00"/>
    <s v="Jason Scott"/>
    <s v="Corporate"/>
    <x v="2"/>
    <x v="1"/>
    <s v="Storage"/>
    <s v="Majority Storage"/>
    <n v="4947.55"/>
    <n v="6"/>
    <n v="0.15"/>
    <n v="492.21"/>
    <x v="0"/>
  </r>
  <r>
    <s v="ORD-10730"/>
    <d v="2026-01-07T00:00:00"/>
    <d v="2026-01-16T00:00:00"/>
    <s v="Duane Johnston"/>
    <s v="Corporate"/>
    <x v="2"/>
    <x v="2"/>
    <s v="Accessories"/>
    <s v="Explain Accessories"/>
    <n v="4534.97"/>
    <n v="10"/>
    <n v="0.2"/>
    <n v="-80.12"/>
    <x v="1"/>
  </r>
  <r>
    <s v="ORD-10431"/>
    <d v="2026-01-12T00:00:00"/>
    <d v="2026-01-16T00:00:00"/>
    <s v="David Brennan"/>
    <s v="Home Office"/>
    <x v="2"/>
    <x v="0"/>
    <s v="Tables"/>
    <s v="Travel Tables"/>
    <n v="4571.49"/>
    <n v="7"/>
    <n v="0.2"/>
    <n v="303.79000000000002"/>
    <x v="0"/>
  </r>
  <r>
    <s v="ORD-10473"/>
    <s v="15-01-2026"/>
    <d v="2026-01-17T00:00:00"/>
    <s v="Jennifer Parker"/>
    <s v="Home Office"/>
    <x v="2"/>
    <x v="2"/>
    <s v="Accessories"/>
    <s v="Model Accessories"/>
    <n v="4443.59"/>
    <n v="8"/>
    <n v="0"/>
    <n v="-733.93"/>
    <x v="1"/>
  </r>
  <r>
    <s v="ORD-10700"/>
    <d v="2026-01-14T00:00:00"/>
    <d v="2026-01-18T00:00:00"/>
    <s v="Stacy Austin"/>
    <s v="Home Office"/>
    <x v="1"/>
    <x v="2"/>
    <s v="Phones"/>
    <s v="Cultural Phones"/>
    <n v="1468.51"/>
    <n v="9"/>
    <n v="0.1"/>
    <n v="330.46"/>
    <x v="0"/>
  </r>
  <r>
    <s v="ORD-10467"/>
    <d v="2026-01-17T00:00:00"/>
    <d v="2026-01-18T00:00:00"/>
    <s v="Carmen Garrett"/>
    <s v="Corporate"/>
    <x v="2"/>
    <x v="2"/>
    <s v="Accessories"/>
    <s v="Think Accessories"/>
    <n v="544.04999999999995"/>
    <n v="3"/>
    <n v="0"/>
    <n v="146.21"/>
    <x v="0"/>
  </r>
  <r>
    <s v="ORD-10417"/>
    <d v="2026-01-11T00:00:00"/>
    <d v="2026-01-19T00:00:00"/>
    <s v="Kim Burns"/>
    <s v="Corporate"/>
    <x v="3"/>
    <x v="2"/>
    <s v="Accessories"/>
    <s v="Democrat Accessories"/>
    <n v="4479.6400000000003"/>
    <n v="5"/>
    <n v="0"/>
    <n v="685.5"/>
    <x v="0"/>
  </r>
  <r>
    <s v="ORD-10135"/>
    <d v="2026-01-11T00:00:00"/>
    <d v="2026-01-20T00:00:00"/>
    <s v="Jennifer Carter"/>
    <s v="Corporate"/>
    <x v="0"/>
    <x v="1"/>
    <s v="Storage"/>
    <s v="Wear Storage"/>
    <n v="2124.6799999999998"/>
    <n v="3"/>
    <n v="0.15"/>
    <n v="340.39"/>
    <x v="0"/>
  </r>
  <r>
    <s v="ORD-10684"/>
    <d v="2026-01-13T00:00:00"/>
    <d v="2026-01-23T00:00:00"/>
    <s v="Jason Butler"/>
    <s v="Home Office"/>
    <x v="0"/>
    <x v="1"/>
    <s v="Storage"/>
    <s v="Wear Storage"/>
    <n v="1801.57"/>
    <n v="3"/>
    <n v="0.2"/>
    <n v="197.18"/>
    <x v="0"/>
  </r>
  <r>
    <s v="ORD-10722"/>
    <d v="2026-01-20T00:00:00"/>
    <d v="2026-01-23T00:00:00"/>
    <s v="James Shaw"/>
    <s v="Home Office"/>
    <x v="1"/>
    <x v="2"/>
    <s v="Accessories"/>
    <s v="Personal Accessories"/>
    <n v="1477.93"/>
    <n v="3"/>
    <n v="0.05"/>
    <n v="-286.14999999999998"/>
    <x v="1"/>
  </r>
  <r>
    <s v="ORD-10593"/>
    <d v="2026-01-17T00:00:00"/>
    <d v="2026-01-24T00:00:00"/>
    <s v="Alexander Patterson"/>
    <s v="Consumer"/>
    <x v="2"/>
    <x v="2"/>
    <s v="Accessories"/>
    <s v="Thank Accessories"/>
    <n v="1336.04"/>
    <n v="5"/>
    <n v="0"/>
    <n v="-267.14"/>
    <x v="1"/>
  </r>
  <r>
    <s v="ORD-10396"/>
    <d v="2026-01-30T00:00:00"/>
    <d v="2026-02-03T00:00:00"/>
    <s v="Megan Aguilar"/>
    <s v="Home Office"/>
    <x v="2"/>
    <x v="0"/>
    <s v="Chairs"/>
    <s v="Those Chairs"/>
    <n v="2982.97"/>
    <n v="6"/>
    <n v="0.2"/>
    <n v="-550.32000000000005"/>
    <x v="1"/>
  </r>
  <r>
    <s v="ORD-10267"/>
    <d v="2026-02-01T00:00:00"/>
    <d v="2026-02-03T00:00:00"/>
    <s v="Carol Wright"/>
    <s v="Corporate"/>
    <x v="1"/>
    <x v="2"/>
    <s v="Accessories"/>
    <s v="Exist Accessories"/>
    <n v="3429.52"/>
    <n v="9"/>
    <n v="0.05"/>
    <n v="546.82000000000005"/>
    <x v="0"/>
  </r>
  <r>
    <s v="ORD-10490"/>
    <d v="2026-02-01T00:00:00"/>
    <d v="2026-02-07T00:00:00"/>
    <s v="Lindsay Bell"/>
    <s v="Consumer"/>
    <x v="2"/>
    <x v="1"/>
    <s v="Storage"/>
    <s v="Wall Storage"/>
    <n v="3573.78"/>
    <n v="9"/>
    <n v="0.2"/>
    <n v="-287.55"/>
    <x v="1"/>
  </r>
  <r>
    <s v="ORD-10314"/>
    <d v="2026-02-03T00:00:00"/>
    <d v="2026-02-07T00:00:00"/>
    <s v="Sean Ball"/>
    <s v="Corporate"/>
    <x v="0"/>
    <x v="1"/>
    <s v="Paper"/>
    <s v="Here Paper"/>
    <n v="2220.35"/>
    <n v="5"/>
    <n v="0.2"/>
    <n v="-359.61"/>
    <x v="1"/>
  </r>
  <r>
    <s v="ORD-10249"/>
    <d v="2026-02-05T00:00:00"/>
    <d v="2026-02-10T00:00:00"/>
    <s v="Joseph Frazier"/>
    <s v="Consumer"/>
    <x v="1"/>
    <x v="1"/>
    <s v="Binders"/>
    <s v="Few Binders"/>
    <n v="1639.78"/>
    <n v="1"/>
    <n v="0"/>
    <n v="260.33999999999997"/>
    <x v="0"/>
  </r>
  <r>
    <s v="ORD-10436"/>
    <d v="2026-02-08T00:00:00"/>
    <d v="2026-02-10T00:00:00"/>
    <s v="Daniel Henderson"/>
    <s v="Home Office"/>
    <x v="3"/>
    <x v="2"/>
    <s v="Laptops"/>
    <s v="Walk Laptops"/>
    <n v="1461.09"/>
    <n v="7"/>
    <n v="0"/>
    <n v="-161.31"/>
    <x v="1"/>
  </r>
  <r>
    <s v="ORD-10598"/>
    <d v="2026-02-08T00:00:00"/>
    <d v="2026-02-10T00:00:00"/>
    <s v="Tony Conrad"/>
    <s v="Home Office"/>
    <x v="0"/>
    <x v="0"/>
    <s v="Tables"/>
    <s v="Of Tables"/>
    <n v="3202.62"/>
    <n v="10"/>
    <n v="0.15"/>
    <n v="-161.18"/>
    <x v="1"/>
  </r>
  <r>
    <s v="ORD-10091"/>
    <d v="2026-02-01T00:00:00"/>
    <d v="2026-02-11T00:00:00"/>
    <s v="Douglas Becker"/>
    <s v="Corporate"/>
    <x v="0"/>
    <x v="1"/>
    <s v="Paper"/>
    <s v="Decide Paper"/>
    <n v="3000.83"/>
    <n v="10"/>
    <n v="0.05"/>
    <n v="680.08"/>
    <x v="0"/>
  </r>
  <r>
    <s v="ORD-10043"/>
    <d v="2026-02-04T00:00:00"/>
    <d v="2026-02-11T00:00:00"/>
    <s v="Steven Moody"/>
    <s v="Consumer"/>
    <x v="0"/>
    <x v="2"/>
    <s v="Laptops"/>
    <s v="Writer Laptops"/>
    <n v="4870.49"/>
    <n v="3"/>
    <n v="0.05"/>
    <n v="1341.98"/>
    <x v="0"/>
  </r>
  <r>
    <s v="ORD-10729"/>
    <d v="2026-02-04T00:00:00"/>
    <d v="2026-02-13T00:00:00"/>
    <s v="Juan Norman"/>
    <s v="Corporate"/>
    <x v="1"/>
    <x v="1"/>
    <s v="Storage"/>
    <s v="Player Storage"/>
    <n v="4000.59"/>
    <n v="5"/>
    <n v="0.2"/>
    <n v="-684"/>
    <x v="1"/>
  </r>
  <r>
    <s v="ORD-10747"/>
    <d v="2026-02-11T00:00:00"/>
    <d v="2026-02-13T00:00:00"/>
    <s v="Unknown"/>
    <s v="Home Office"/>
    <x v="2"/>
    <x v="2"/>
    <s v="Laptops"/>
    <s v="For Laptops"/>
    <n v="3211.96"/>
    <n v="5"/>
    <n v="0.15"/>
    <n v="580.47"/>
    <x v="0"/>
  </r>
  <r>
    <s v="ORD-10727"/>
    <d v="2026-02-13T00:00:00"/>
    <d v="2026-02-15T00:00:00"/>
    <s v="Dr. Ryan Bailey"/>
    <s v="Home Office"/>
    <x v="2"/>
    <x v="1"/>
    <s v="Paper"/>
    <s v="Generation Paper"/>
    <n v="2922.33"/>
    <n v="2"/>
    <n v="0.05"/>
    <n v="589.15"/>
    <x v="0"/>
  </r>
  <r>
    <s v="ORD-10170"/>
    <d v="2026-02-12T00:00:00"/>
    <d v="2026-02-18T00:00:00"/>
    <s v="Brian Grant"/>
    <s v="Consumer"/>
    <x v="0"/>
    <x v="0"/>
    <s v="Chairs"/>
    <s v="Bank Chairs"/>
    <n v="4166.8999999999996"/>
    <n v="2"/>
    <n v="0.2"/>
    <n v="1147.3"/>
    <x v="0"/>
  </r>
  <r>
    <s v="ORD-10441"/>
    <d v="2026-02-16T00:00:00"/>
    <d v="2026-02-18T00:00:00"/>
    <s v="William Brown"/>
    <s v="Corporate"/>
    <x v="2"/>
    <x v="2"/>
    <s v="Laptops"/>
    <s v="Perhaps Laptops"/>
    <n v="2434.61"/>
    <n v="6"/>
    <n v="0.1"/>
    <n v="370.86"/>
    <x v="0"/>
  </r>
  <r>
    <s v="ORD-10696"/>
    <d v="2026-02-16T00:00:00"/>
    <d v="2026-02-19T00:00:00"/>
    <s v="Elizabeth Harris"/>
    <s v="Corporate"/>
    <x v="2"/>
    <x v="2"/>
    <s v="Laptops"/>
    <s v="Way Laptops"/>
    <n v="991.55"/>
    <n v="8"/>
    <n v="0.2"/>
    <n v="278.26"/>
    <x v="0"/>
  </r>
  <r>
    <s v="ORD-10116"/>
    <d v="2026-02-12T00:00:00"/>
    <d v="2026-02-20T00:00:00"/>
    <s v="Rita Perry"/>
    <s v="Home Office"/>
    <x v="2"/>
    <x v="2"/>
    <s v="Laptops"/>
    <s v="So Laptops"/>
    <n v="4368.3"/>
    <n v="1"/>
    <n v="0.2"/>
    <n v="-709.27"/>
    <x v="1"/>
  </r>
  <r>
    <s v="ORD-10092"/>
    <d v="2026-02-13T00:00:00"/>
    <d v="2026-02-23T00:00:00"/>
    <s v="Elizabeth Woods"/>
    <s v="Home Office"/>
    <x v="1"/>
    <x v="2"/>
    <s v="Accessories"/>
    <s v="Young Accessories"/>
    <n v="4950.6499999999996"/>
    <n v="5"/>
    <n v="0.2"/>
    <n v="700.84"/>
    <x v="0"/>
  </r>
  <r>
    <s v="ORD-10600"/>
    <d v="2026-02-17T00:00:00"/>
    <d v="2026-02-25T00:00:00"/>
    <s v="Penny Cobb"/>
    <s v="Corporate"/>
    <x v="3"/>
    <x v="2"/>
    <s v="Phones"/>
    <s v="Yes Phones"/>
    <n v="3649.18"/>
    <n v="4"/>
    <n v="0"/>
    <n v="-427.41"/>
    <x v="1"/>
  </r>
  <r>
    <s v="ORD-10326"/>
    <d v="2026-02-17T00:00:00"/>
    <d v="2026-02-27T00:00:00"/>
    <s v="Diamond Foster"/>
    <s v="Consumer"/>
    <x v="3"/>
    <x v="2"/>
    <s v="Phones"/>
    <s v="Economic Phones"/>
    <n v="4421.33"/>
    <n v="8"/>
    <n v="0.2"/>
    <n v="160.29"/>
    <x v="0"/>
  </r>
  <r>
    <s v="ORD-10688"/>
    <d v="2026-02-22T00:00:00"/>
    <d v="2026-02-28T00:00:00"/>
    <s v="Jeffrey Vaughn"/>
    <s v="Consumer"/>
    <x v="3"/>
    <x v="0"/>
    <s v="Chairs"/>
    <s v="How Chairs"/>
    <n v="1739.74"/>
    <n v="10"/>
    <n v="0.2"/>
    <n v="570.74"/>
    <x v="0"/>
  </r>
  <r>
    <s v="ORD-10010"/>
    <d v="2026-02-27T00:00:00"/>
    <d v="2026-02-28T00:00:00"/>
    <s v="Rachel Mathews"/>
    <s v="Consumer"/>
    <x v="3"/>
    <x v="1"/>
    <s v="Paper"/>
    <s v="Last Paper"/>
    <n v="1183.79"/>
    <n v="1"/>
    <n v="0.1"/>
    <n v="24.43"/>
    <x v="0"/>
  </r>
  <r>
    <s v="ORD-10276"/>
    <d v="2026-02-22T00:00:00"/>
    <d v="2026-03-01T00:00:00"/>
    <s v="Laura Jimenez"/>
    <s v="Home Office"/>
    <x v="0"/>
    <x v="1"/>
    <s v="Paper"/>
    <s v="Must Paper"/>
    <n v="2070.88"/>
    <n v="5"/>
    <n v="0.15"/>
    <n v="-204.74"/>
    <x v="1"/>
  </r>
  <r>
    <s v="ORD-10302"/>
    <d v="2026-02-20T00:00:00"/>
    <d v="2026-03-02T00:00:00"/>
    <s v="Jessica Berger"/>
    <s v="Consumer"/>
    <x v="1"/>
    <x v="2"/>
    <s v="Phones"/>
    <s v="Project Phones"/>
    <n v="3320.33"/>
    <n v="2"/>
    <n v="0.2"/>
    <n v="-124.65"/>
    <x v="1"/>
  </r>
  <r>
    <s v="ORD-10626"/>
    <d v="2026-02-28T00:00:00"/>
    <d v="2026-03-06T00:00:00"/>
    <s v="Allison Hess"/>
    <s v="Home Office"/>
    <x v="2"/>
    <x v="2"/>
    <s v="Laptops"/>
    <s v="Hit Laptops"/>
    <n v="4232.03"/>
    <n v="7"/>
    <n v="0.2"/>
    <n v="155.84"/>
    <x v="0"/>
  </r>
  <r>
    <s v="ORD-10002"/>
    <d v="2026-03-05T00:00:00"/>
    <d v="2026-03-06T00:00:00"/>
    <s v="Norman Jordan"/>
    <s v="Consumer"/>
    <x v="3"/>
    <x v="1"/>
    <s v="Paper"/>
    <s v="Fight Paper"/>
    <n v="197.5"/>
    <n v="4"/>
    <n v="0.05"/>
    <n v="15.39"/>
    <x v="0"/>
  </r>
  <r>
    <s v="ORD-10608"/>
    <d v="2026-02-28T00:00:00"/>
    <d v="2026-03-08T00:00:00"/>
    <s v="Robert Cummings"/>
    <s v="Consumer"/>
    <x v="3"/>
    <x v="0"/>
    <s v="Bookcases"/>
    <s v="Tend Bookcases"/>
    <n v="3457.61"/>
    <n v="3"/>
    <n v="0.1"/>
    <n v="774.29"/>
    <x v="0"/>
  </r>
  <r>
    <s v="ORD-10512"/>
    <d v="2026-03-06T00:00:00"/>
    <d v="2026-03-08T00:00:00"/>
    <s v="Dr. Colleen Nichols Dds"/>
    <s v="Home Office"/>
    <x v="1"/>
    <x v="2"/>
    <s v="Laptops"/>
    <s v="Seven Laptops"/>
    <n v="2697.43"/>
    <n v="10"/>
    <n v="0"/>
    <n v="582.04999999999995"/>
    <x v="0"/>
  </r>
  <r>
    <s v="ORD-10588"/>
    <d v="2026-03-06T00:00:00"/>
    <d v="2026-03-08T00:00:00"/>
    <s v="Gina Kent"/>
    <s v="Corporate"/>
    <x v="2"/>
    <x v="1"/>
    <s v="Binders"/>
    <s v="Second Binders"/>
    <n v="1349.14"/>
    <n v="3"/>
    <n v="0"/>
    <n v="216.08"/>
    <x v="0"/>
  </r>
  <r>
    <s v="ORD-10418"/>
    <d v="2026-03-03T00:00:00"/>
    <d v="2026-03-09T00:00:00"/>
    <s v="Melissa Tucker"/>
    <s v="Corporate"/>
    <x v="3"/>
    <x v="2"/>
    <s v="Accessories"/>
    <s v="Protect Accessories"/>
    <n v="973.59"/>
    <n v="1"/>
    <n v="0.1"/>
    <n v="40.75"/>
    <x v="0"/>
  </r>
  <r>
    <s v="ORD-10293"/>
    <d v="2026-03-08T00:00:00"/>
    <d v="2026-03-10T00:00:00"/>
    <s v="Jason Perez"/>
    <s v="Home Office"/>
    <x v="3"/>
    <x v="2"/>
    <s v="Accessories"/>
    <s v="Technology Accessories"/>
    <n v="1896.61"/>
    <n v="7"/>
    <n v="0.15"/>
    <n v="210.05"/>
    <x v="0"/>
  </r>
  <r>
    <s v="ORD-10513"/>
    <s v="04-03-2026"/>
    <d v="2026-03-10T00:00:00"/>
    <s v="Brenda Brown"/>
    <s v="Corporate"/>
    <x v="1"/>
    <x v="1"/>
    <s v="Binders"/>
    <s v="Stage Binders"/>
    <n v="4643.84"/>
    <n v="2"/>
    <n v="0.1"/>
    <n v="1081.04"/>
    <x v="0"/>
  </r>
  <r>
    <s v="ORD-10173"/>
    <d v="2026-03-09T00:00:00"/>
    <d v="2026-03-12T00:00:00"/>
    <s v="Amy Fitzpatrick"/>
    <s v="Home Office"/>
    <x v="3"/>
    <x v="1"/>
    <s v="Storage"/>
    <s v="Radio Storage"/>
    <n v="243.75"/>
    <n v="8"/>
    <n v="0.15"/>
    <n v="21.51"/>
    <x v="0"/>
  </r>
  <r>
    <s v="ORD-10411"/>
    <d v="2026-03-09T00:00:00"/>
    <d v="2026-03-12T00:00:00"/>
    <s v="Patricia Snyder"/>
    <s v="Home Office"/>
    <x v="0"/>
    <x v="0"/>
    <s v="Tables"/>
    <s v="First Tables"/>
    <n v="3673.33"/>
    <n v="9"/>
    <n v="0"/>
    <n v="-51.89"/>
    <x v="1"/>
  </r>
  <r>
    <s v="ORD-10040"/>
    <d v="2026-03-08T00:00:00"/>
    <d v="2026-03-14T00:00:00"/>
    <s v="Brian Gallagher"/>
    <s v="Home Office"/>
    <x v="0"/>
    <x v="0"/>
    <s v="Chairs"/>
    <s v="According Chairs"/>
    <n v="3867.04"/>
    <n v="5"/>
    <n v="0.05"/>
    <n v="803.1"/>
    <x v="0"/>
  </r>
  <r>
    <s v="ORD-10679"/>
    <d v="2026-03-13T00:00:00"/>
    <d v="2026-03-16T00:00:00"/>
    <s v="Franklin Davis"/>
    <s v="Home Office"/>
    <x v="3"/>
    <x v="0"/>
    <s v="Tables"/>
    <s v="Knowledge Tables"/>
    <n v="848.61"/>
    <n v="5"/>
    <n v="0.2"/>
    <n v="138.75"/>
    <x v="0"/>
  </r>
  <r>
    <s v="ORD-10662"/>
    <d v="2026-03-13T00:00:00"/>
    <d v="2026-03-17T00:00:00"/>
    <s v="Ashley Ho"/>
    <s v="Corporate"/>
    <x v="0"/>
    <x v="2"/>
    <s v="Phones"/>
    <s v="Market Phones"/>
    <n v="3800.99"/>
    <n v="2"/>
    <n v="0.05"/>
    <n v="1177.95"/>
    <x v="0"/>
  </r>
  <r>
    <s v="ORD-10250"/>
    <d v="2026-03-15T00:00:00"/>
    <d v="2026-03-18T00:00:00"/>
    <s v="Zachary Thornton"/>
    <s v="Consumer"/>
    <x v="2"/>
    <x v="0"/>
    <s v="Tables"/>
    <s v="Civil Tables"/>
    <n v="4672.92"/>
    <n v="1"/>
    <n v="0.15"/>
    <n v="1090.56"/>
    <x v="0"/>
  </r>
  <r>
    <s v="ORD-10254"/>
    <d v="2026-03-12T00:00:00"/>
    <d v="2026-03-19T00:00:00"/>
    <s v="Jessica Hansen"/>
    <s v="Home Office"/>
    <x v="1"/>
    <x v="1"/>
    <s v="Storage"/>
    <s v="Cold Storage"/>
    <n v="4143.6000000000004"/>
    <n v="9"/>
    <n v="0.1"/>
    <n v="-631.04999999999995"/>
    <x v="1"/>
  </r>
  <r>
    <s v="ORD-10356"/>
    <d v="2026-03-16T00:00:00"/>
    <d v="2026-03-22T00:00:00"/>
    <s v="Zachary Bishop"/>
    <s v="Consumer"/>
    <x v="2"/>
    <x v="2"/>
    <s v="Accessories"/>
    <s v="Continue Accessories"/>
    <n v="3965.83"/>
    <n v="4"/>
    <n v="0.1"/>
    <n v="612.88"/>
    <x v="0"/>
  </r>
  <r>
    <s v="ORD-10299"/>
    <d v="2026-03-15T00:00:00"/>
    <d v="2026-03-24T00:00:00"/>
    <s v="Lori King"/>
    <s v="Home Office"/>
    <x v="2"/>
    <x v="1"/>
    <s v="Paper"/>
    <s v="Fall Paper"/>
    <n v="1692.06"/>
    <n v="3"/>
    <n v="0.2"/>
    <n v="335.52"/>
    <x v="0"/>
  </r>
  <r>
    <s v="ORD-10741"/>
    <d v="2026-03-22T00:00:00"/>
    <d v="2026-03-27T00:00:00"/>
    <s v="Edward Carlson"/>
    <s v="Home Office"/>
    <x v="0"/>
    <x v="2"/>
    <s v="Laptops"/>
    <s v="History Laptops"/>
    <n v="1708.09"/>
    <n v="5"/>
    <n v="0"/>
    <n v="-101.74"/>
    <x v="1"/>
  </r>
  <r>
    <s v="ORD-10138"/>
    <d v="2026-03-18T00:00:00"/>
    <d v="2026-03-28T00:00:00"/>
    <s v="Cheryl Curtis"/>
    <s v="Consumer"/>
    <x v="3"/>
    <x v="1"/>
    <s v="Binders"/>
    <s v="Professor Binders"/>
    <n v="4856.91"/>
    <n v="1"/>
    <n v="0.1"/>
    <n v="-320.74"/>
    <x v="1"/>
  </r>
  <r>
    <s v="ORD-10321"/>
    <d v="2026-03-23T00:00:00"/>
    <d v="2026-03-28T00:00:00"/>
    <s v="Eugene Hernandez"/>
    <s v="Home Office"/>
    <x v="3"/>
    <x v="2"/>
    <s v="Phones"/>
    <s v="Bag Phones"/>
    <n v="2109.08"/>
    <n v="2"/>
    <n v="0"/>
    <n v="542.51"/>
    <x v="0"/>
  </r>
  <r>
    <s v="ORD-10199"/>
    <d v="2026-03-24T00:00:00"/>
    <d v="2026-03-29T00:00:00"/>
    <s v="Jill Miller"/>
    <s v="Home Office"/>
    <x v="0"/>
    <x v="1"/>
    <s v="Paper"/>
    <s v="Project Paper"/>
    <n v="666.15"/>
    <n v="6"/>
    <n v="0.15"/>
    <n v="192.66"/>
    <x v="0"/>
  </r>
  <r>
    <s v="ORD-10725"/>
    <d v="2026-03-28T00:00:00"/>
    <d v="2026-03-31T00:00:00"/>
    <s v="Jennifer Bishop"/>
    <s v="Home Office"/>
    <x v="3"/>
    <x v="2"/>
    <s v="Phones"/>
    <s v="Institution Phones"/>
    <n v="2152.62"/>
    <n v="1"/>
    <n v="0.2"/>
    <n v="159.26"/>
    <x v="0"/>
  </r>
  <r>
    <s v="ORD-10750"/>
    <d v="2026-03-23T00:00:00"/>
    <d v="2026-04-01T00:00:00"/>
    <s v="Dylan Whitehead"/>
    <s v="Corporate"/>
    <x v="2"/>
    <x v="0"/>
    <s v="Chairs"/>
    <s v="Five Chairs"/>
    <n v="3855.1"/>
    <n v="4"/>
    <n v="0.2"/>
    <n v="593.04999999999995"/>
    <x v="0"/>
  </r>
  <r>
    <s v="ORD-10515"/>
    <d v="2026-03-26T00:00:00"/>
    <d v="2026-04-04T00:00:00"/>
    <s v="John Smith"/>
    <s v="Home Office"/>
    <x v="2"/>
    <x v="1"/>
    <s v="Paper"/>
    <s v="Write Paper"/>
    <n v="1510.14"/>
    <n v="3"/>
    <n v="0.1"/>
    <n v="260.51"/>
    <x v="0"/>
  </r>
  <r>
    <s v="ORD-10100"/>
    <d v="2026-03-27T00:00:00"/>
    <d v="2026-04-06T00:00:00"/>
    <s v="Sara Miller"/>
    <s v="Corporate"/>
    <x v="2"/>
    <x v="1"/>
    <s v="Paper"/>
    <s v="Song Paper"/>
    <n v="249.15"/>
    <n v="3"/>
    <n v="0.15"/>
    <n v="21.28"/>
    <x v="0"/>
  </r>
  <r>
    <s v="ORD-10109"/>
    <d v="2026-03-28T00:00:00"/>
    <d v="2026-04-07T00:00:00"/>
    <s v="Michael Bell"/>
    <s v="Home Office"/>
    <x v="2"/>
    <x v="2"/>
    <s v="Phones"/>
    <s v="Kitchen Phones"/>
    <n v="2565.79"/>
    <n v="3"/>
    <n v="0"/>
    <n v="-123.32"/>
    <x v="1"/>
  </r>
  <r>
    <s v="ORD-10435"/>
    <d v="2026-04-05T00:00:00"/>
    <d v="2026-04-08T00:00:00"/>
    <s v="Christopher Nichols"/>
    <s v="Home Office"/>
    <x v="3"/>
    <x v="1"/>
    <s v="Paper"/>
    <s v="Candidate Paper"/>
    <n v="4804.58"/>
    <n v="8"/>
    <n v="0.2"/>
    <n v="495.99"/>
    <x v="0"/>
  </r>
  <r>
    <s v="ORD-10117"/>
    <d v="2026-04-08T00:00:00"/>
    <d v="2026-04-10T00:00:00"/>
    <s v="William Miller Jr."/>
    <s v="Consumer"/>
    <x v="0"/>
    <x v="0"/>
    <s v="Bookcases"/>
    <s v="Decision Bookcases"/>
    <n v="2198.16"/>
    <n v="2"/>
    <n v="0.2"/>
    <n v="411.36"/>
    <x v="0"/>
  </r>
  <r>
    <s v="ORD-10481"/>
    <d v="2026-04-12T00:00:00"/>
    <d v="2026-04-13T00:00:00"/>
    <s v="Danny Young"/>
    <s v="Home Office"/>
    <x v="0"/>
    <x v="2"/>
    <s v="Accessories"/>
    <s v="Six Accessories"/>
    <n v="4092.11"/>
    <n v="8"/>
    <n v="0.1"/>
    <n v="442.29"/>
    <x v="0"/>
  </r>
  <r>
    <s v="ORD-10630"/>
    <d v="2026-04-05T00:00:00"/>
    <d v="2026-04-14T00:00:00"/>
    <s v="Antonio Vargas"/>
    <s v="Corporate"/>
    <x v="2"/>
    <x v="1"/>
    <s v="Storage"/>
    <s v="Individual Storage"/>
    <n v="2874.81"/>
    <n v="10"/>
    <n v="0.05"/>
    <n v="-425.88"/>
    <x v="1"/>
  </r>
  <r>
    <s v="ORD-10068"/>
    <d v="2026-04-11T00:00:00"/>
    <d v="2026-04-14T00:00:00"/>
    <s v="Jessica Smith"/>
    <s v="Corporate"/>
    <x v="3"/>
    <x v="1"/>
    <s v="Paper"/>
    <s v="Write Paper"/>
    <n v="4340.91"/>
    <n v="3"/>
    <n v="0"/>
    <n v="-247.06"/>
    <x v="1"/>
  </r>
  <r>
    <s v="ORD-10570"/>
    <d v="2026-04-10T00:00:00"/>
    <d v="2026-04-15T00:00:00"/>
    <s v="Madeline Craig"/>
    <s v="Home Office"/>
    <x v="3"/>
    <x v="2"/>
    <s v="Laptops"/>
    <s v="Better Laptops"/>
    <n v="2479.4899999999998"/>
    <n v="9"/>
    <n v="0.1"/>
    <n v="46.7"/>
    <x v="0"/>
  </r>
  <r>
    <s v="ORD-10153"/>
    <d v="2026-04-11T00:00:00"/>
    <d v="2026-04-16T00:00:00"/>
    <s v="Lawrence Kennedy"/>
    <s v="Corporate"/>
    <x v="2"/>
    <x v="1"/>
    <s v="Storage"/>
    <s v="Might Storage"/>
    <n v="193.32"/>
    <n v="5"/>
    <n v="0.2"/>
    <n v="42.4"/>
    <x v="0"/>
  </r>
  <r>
    <s v="ORD-10399"/>
    <d v="2026-04-13T00:00:00"/>
    <d v="2026-04-16T00:00:00"/>
    <s v="Kellie Barnett"/>
    <s v="Consumer"/>
    <x v="3"/>
    <x v="1"/>
    <s v="Binders"/>
    <s v="Military Binders"/>
    <n v="1736.76"/>
    <n v="3"/>
    <n v="0.1"/>
    <n v="-290.45999999999998"/>
    <x v="1"/>
  </r>
  <r>
    <s v="ORD-10454"/>
    <d v="2026-04-17T00:00:00"/>
    <d v="2026-04-18T00:00:00"/>
    <s v="Kenneth Vargas"/>
    <s v="Consumer"/>
    <x v="3"/>
    <x v="1"/>
    <s v="Paper"/>
    <s v="Out Paper"/>
    <n v="4465.43"/>
    <n v="9"/>
    <n v="0.05"/>
    <n v="-849.08"/>
    <x v="1"/>
  </r>
  <r>
    <s v="ORD-10065"/>
    <d v="2026-04-10T00:00:00"/>
    <d v="2026-04-19T00:00:00"/>
    <s v="Joseph Sanchez"/>
    <s v="Corporate"/>
    <x v="3"/>
    <x v="2"/>
    <s v="Accessories"/>
    <s v="Still Accessories"/>
    <n v="3750.2"/>
    <n v="9"/>
    <n v="0.2"/>
    <n v="1101.79"/>
    <x v="0"/>
  </r>
  <r>
    <s v="ORD-10409"/>
    <s v="19-04-2026"/>
    <d v="2026-04-21T00:00:00"/>
    <s v="Brandon Chang"/>
    <s v="Consumer"/>
    <x v="3"/>
    <x v="1"/>
    <s v="Paper"/>
    <s v="Town Paper"/>
    <n v="4152.59"/>
    <n v="10"/>
    <n v="0.2"/>
    <n v="901.25"/>
    <x v="0"/>
  </r>
  <r>
    <s v="ORD-10214"/>
    <d v="2026-04-22T00:00:00"/>
    <d v="2026-04-24T00:00:00"/>
    <s v="Keith Wood"/>
    <s v="Home Office"/>
    <x v="3"/>
    <x v="0"/>
    <s v="Tables"/>
    <s v="Ok Tables"/>
    <n v="2277.37"/>
    <n v="9"/>
    <n v="0.1"/>
    <n v="-294.73"/>
    <x v="1"/>
  </r>
  <r>
    <s v="ORD-10704"/>
    <d v="2026-04-23T00:00:00"/>
    <d v="2026-04-24T00:00:00"/>
    <s v="Jeffery Adams"/>
    <s v="Consumer"/>
    <x v="0"/>
    <x v="2"/>
    <s v="Laptops"/>
    <s v="Garden Laptops"/>
    <n v="574.34"/>
    <n v="1"/>
    <n v="0"/>
    <n v="19.850000000000001"/>
    <x v="0"/>
  </r>
  <r>
    <s v="ORD-10333"/>
    <d v="2026-04-17T00:00:00"/>
    <d v="2026-04-25T00:00:00"/>
    <s v="Ryan Gonzalez"/>
    <s v="Corporate"/>
    <x v="0"/>
    <x v="2"/>
    <s v="Phones"/>
    <s v="Often Phones"/>
    <n v="725.85"/>
    <n v="7"/>
    <n v="0.2"/>
    <n v="56.61"/>
    <x v="0"/>
  </r>
  <r>
    <s v="ORD-10724"/>
    <d v="2026-04-18T00:00:00"/>
    <d v="2026-04-25T00:00:00"/>
    <s v="Tracie Davenport"/>
    <s v="Corporate"/>
    <x v="0"/>
    <x v="1"/>
    <s v="Storage"/>
    <s v="Teacher Storage"/>
    <n v="3135.08"/>
    <n v="8"/>
    <n v="0.2"/>
    <n v="104.3"/>
    <x v="0"/>
  </r>
  <r>
    <s v="ORD-10522"/>
    <d v="2026-04-25T00:00:00"/>
    <d v="2026-04-28T00:00:00"/>
    <s v="Kathryn Holder"/>
    <s v="Home Office"/>
    <x v="0"/>
    <x v="2"/>
    <s v="Accessories"/>
    <s v="Measure Accessories"/>
    <n v="73.92"/>
    <n v="4"/>
    <n v="0.05"/>
    <n v="14.17"/>
    <x v="0"/>
  </r>
  <r>
    <s v="ORD-10665"/>
    <d v="2026-04-21T00:00:00"/>
    <d v="2026-04-29T00:00:00"/>
    <s v="Margaret Adams"/>
    <s v="Corporate"/>
    <x v="1"/>
    <x v="1"/>
    <s v="Binders"/>
    <s v="Game Binders"/>
    <n v="2311.66"/>
    <n v="1"/>
    <n v="0.05"/>
    <n v="197.15"/>
    <x v="0"/>
  </r>
  <r>
    <s v="ORD-10165"/>
    <d v="2026-04-27T00:00:00"/>
    <d v="2026-05-03T00:00:00"/>
    <s v="Sharon Clay"/>
    <s v="Consumer"/>
    <x v="3"/>
    <x v="2"/>
    <s v="Accessories"/>
    <s v="Car Accessories"/>
    <n v="1146.78"/>
    <n v="3"/>
    <n v="0"/>
    <n v="92.62"/>
    <x v="0"/>
  </r>
  <r>
    <s v="ORD-10162"/>
    <d v="2026-05-03T00:00:00"/>
    <d v="2026-05-04T00:00:00"/>
    <s v="Caroline Beck"/>
    <s v="Home Office"/>
    <x v="0"/>
    <x v="2"/>
    <s v="Laptops"/>
    <s v="Project Laptops"/>
    <n v="2209.29"/>
    <n v="8"/>
    <n v="0"/>
    <n v="605.70000000000005"/>
    <x v="0"/>
  </r>
  <r>
    <s v="ORD-10340"/>
    <d v="2026-05-03T00:00:00"/>
    <d v="2026-05-04T00:00:00"/>
    <s v="Matthew Ryan"/>
    <s v="Consumer"/>
    <x v="2"/>
    <x v="0"/>
    <s v="Chairs"/>
    <s v="Amount Chairs"/>
    <n v="2871.87"/>
    <n v="9"/>
    <n v="0.1"/>
    <n v="368.38"/>
    <x v="0"/>
  </r>
  <r>
    <s v="ORD-10558"/>
    <d v="2026-05-04T00:00:00"/>
    <d v="2026-05-05T00:00:00"/>
    <s v="Joseph Ramirez"/>
    <s v="Corporate"/>
    <x v="0"/>
    <x v="1"/>
    <s v="Binders"/>
    <s v="White Binders"/>
    <n v="1830.71"/>
    <n v="1"/>
    <n v="0.05"/>
    <n v="-278.7"/>
    <x v="1"/>
  </r>
  <r>
    <s v="ORD-10648"/>
    <d v="2026-05-02T00:00:00"/>
    <d v="2026-05-07T00:00:00"/>
    <s v="Amanda Carrillo"/>
    <s v="Home Office"/>
    <x v="0"/>
    <x v="0"/>
    <s v="Tables"/>
    <s v="Music Tables"/>
    <n v="3331.76"/>
    <n v="6"/>
    <n v="0"/>
    <n v="-631.39"/>
    <x v="1"/>
  </r>
  <r>
    <s v="ORD-10220"/>
    <d v="2026-05-07T00:00:00"/>
    <d v="2026-05-08T00:00:00"/>
    <s v="Rebecca King"/>
    <s v="Corporate"/>
    <x v="0"/>
    <x v="1"/>
    <s v="Storage"/>
    <s v="Cell Storage"/>
    <n v="2515.29"/>
    <n v="9"/>
    <n v="0.1"/>
    <n v="384.96"/>
    <x v="0"/>
  </r>
  <r>
    <s v="ORD-10031"/>
    <d v="2026-05-03T00:00:00"/>
    <d v="2026-05-12T00:00:00"/>
    <s v="Ricardo Ramirez"/>
    <s v="Corporate"/>
    <x v="3"/>
    <x v="1"/>
    <s v="Storage"/>
    <s v="Growth Storage"/>
    <n v="351.74"/>
    <n v="6"/>
    <n v="0"/>
    <n v="-60.65"/>
    <x v="1"/>
  </r>
  <r>
    <s v="ORD-10627"/>
    <d v="2026-05-03T00:00:00"/>
    <d v="2026-05-13T00:00:00"/>
    <s v="Johnny Flores"/>
    <s v="Corporate"/>
    <x v="2"/>
    <x v="1"/>
    <s v="Binders"/>
    <s v="High Binders"/>
    <n v="2750.85"/>
    <n v="7"/>
    <n v="0.2"/>
    <n v="851.06"/>
    <x v="0"/>
  </r>
  <r>
    <s v="ORD-10653"/>
    <d v="2026-05-07T00:00:00"/>
    <d v="2026-05-13T00:00:00"/>
    <s v="Timothy Gibbs"/>
    <s v="Home Office"/>
    <x v="3"/>
    <x v="0"/>
    <s v="Chairs"/>
    <s v="Week Chairs"/>
    <n v="4491.0200000000004"/>
    <n v="3"/>
    <n v="0"/>
    <n v="904.67"/>
    <x v="0"/>
  </r>
  <r>
    <s v="ORD-10229"/>
    <d v="2026-05-14T00:00:00"/>
    <d v="2026-05-15T00:00:00"/>
    <s v="Jonathan Carter"/>
    <s v="Home Office"/>
    <x v="2"/>
    <x v="2"/>
    <s v="Accessories"/>
    <s v="Already Accessories"/>
    <n v="2032.88"/>
    <n v="10"/>
    <n v="0.2"/>
    <n v="-188.94"/>
    <x v="1"/>
  </r>
  <r>
    <s v="ORD-10104"/>
    <d v="2026-05-08T00:00:00"/>
    <d v="2026-05-16T00:00:00"/>
    <s v="Michelle Ryan"/>
    <s v="Corporate"/>
    <x v="0"/>
    <x v="1"/>
    <s v="Storage"/>
    <s v="Somebody Storage"/>
    <n v="2095.58"/>
    <n v="4"/>
    <n v="0.2"/>
    <n v="-2.14"/>
    <x v="1"/>
  </r>
  <r>
    <s v="ORD-10021"/>
    <d v="2026-05-12T00:00:00"/>
    <d v="2026-05-16T00:00:00"/>
    <s v="Lorraine Ruiz"/>
    <s v="Corporate"/>
    <x v="0"/>
    <x v="0"/>
    <s v="Bookcases"/>
    <s v="Suddenly Bookcases"/>
    <n v="3579.1"/>
    <n v="7"/>
    <n v="0.2"/>
    <n v="563.47"/>
    <x v="0"/>
  </r>
  <r>
    <s v="ORD-10042"/>
    <d v="2026-05-16T00:00:00"/>
    <d v="2026-05-17T00:00:00"/>
    <s v="Jenna Hill"/>
    <s v="Consumer"/>
    <x v="1"/>
    <x v="2"/>
    <s v="Phones"/>
    <s v="Employee Phones"/>
    <n v="1575.88"/>
    <n v="1"/>
    <n v="0.1"/>
    <n v="-133.1"/>
    <x v="1"/>
  </r>
  <r>
    <s v="ORD-10624"/>
    <d v="2026-05-12T00:00:00"/>
    <d v="2026-05-22T00:00:00"/>
    <s v="Andre Fox"/>
    <s v="Consumer"/>
    <x v="3"/>
    <x v="1"/>
    <s v="Binders"/>
    <s v="Source Binders"/>
    <n v="1821.92"/>
    <n v="8"/>
    <n v="0.2"/>
    <n v="302.23"/>
    <x v="0"/>
  </r>
  <r>
    <s v="ORD-10303"/>
    <d v="2026-05-19T00:00:00"/>
    <d v="2026-05-22T00:00:00"/>
    <s v="Cassie Valdez"/>
    <s v="Corporate"/>
    <x v="1"/>
    <x v="0"/>
    <s v="Tables"/>
    <s v="Sure Tables"/>
    <n v="1931"/>
    <n v="3"/>
    <n v="0.2"/>
    <n v="27.6"/>
    <x v="0"/>
  </r>
  <r>
    <s v="ORD-10517"/>
    <d v="2026-05-17T00:00:00"/>
    <d v="2026-05-23T00:00:00"/>
    <s v="Karen Harrison"/>
    <s v="Consumer"/>
    <x v="2"/>
    <x v="2"/>
    <s v="Phones"/>
    <s v="Process Phones"/>
    <n v="1098.0999999999999"/>
    <n v="9"/>
    <n v="0.05"/>
    <n v="-122.41"/>
    <x v="1"/>
  </r>
  <r>
    <s v="ORD-10732"/>
    <d v="2026-05-17T00:00:00"/>
    <d v="2026-05-25T00:00:00"/>
    <s v="Christopher Gonzalez"/>
    <s v="Corporate"/>
    <x v="1"/>
    <x v="0"/>
    <s v="Bookcases"/>
    <s v="Position Bookcases"/>
    <n v="2911.8"/>
    <n v="10"/>
    <n v="0"/>
    <n v="468.73"/>
    <x v="0"/>
  </r>
  <r>
    <s v="ORD-10474"/>
    <d v="2026-05-18T00:00:00"/>
    <d v="2026-05-27T00:00:00"/>
    <s v="Kaylee Jones"/>
    <s v="Home Office"/>
    <x v="2"/>
    <x v="0"/>
    <s v="Bookcases"/>
    <s v="Family Bookcases"/>
    <n v="3849.27"/>
    <n v="10"/>
    <n v="0.2"/>
    <n v="426.33"/>
    <x v="0"/>
  </r>
  <r>
    <s v="ORD-10348"/>
    <d v="2026-05-21T00:00:00"/>
    <d v="2026-05-29T00:00:00"/>
    <s v="Kristen Smith"/>
    <s v="Corporate"/>
    <x v="3"/>
    <x v="0"/>
    <s v="Bookcases"/>
    <s v="In Bookcases"/>
    <n v="130.59"/>
    <n v="3"/>
    <n v="0.15"/>
    <n v="6.67"/>
    <x v="0"/>
  </r>
  <r>
    <s v="ORD-10463"/>
    <d v="2026-05-23T00:00:00"/>
    <d v="2026-05-31T00:00:00"/>
    <s v="Paul Potts"/>
    <s v="Consumer"/>
    <x v="2"/>
    <x v="0"/>
    <s v="Chairs"/>
    <s v="Member Chairs"/>
    <n v="1033.3"/>
    <n v="4"/>
    <n v="0.1"/>
    <n v="265.8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64E87-4DEA-4F37-8847-D647F1A9EE33}" name="PivotTable23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1:H24" firstHeaderRow="1" firstDataRow="1" firstDataCol="1"/>
  <pivotFields count="14">
    <pivotField showAll="0"/>
    <pivotField showAll="0"/>
    <pivotField numFmtId="1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axis="axisRow" showAll="0">
      <items count="3">
        <item x="1"/>
        <item x="0"/>
        <item t="default"/>
      </items>
    </pivotField>
  </pivotFields>
  <rowFields count="2">
    <field x="5"/>
    <field x="1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47A04-E68D-4CDF-B06C-BD16550140BC}" name="PivotTable22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E15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showAll="0"/>
    <pivotField numFmtId="2" showAll="0"/>
    <pivotField numFmtId="2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E0D2D-E788-465D-B6B3-29AD87757D5F}" name="PivotTable21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16" firstHeaderRow="1" firstDataRow="1" firstDataCol="1"/>
  <pivotFields count="14">
    <pivotField dataField="1" showAll="0"/>
    <pivotField showAll="0"/>
    <pivotField numFmtId="1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" showAll="0"/>
    <pivotField showAll="0"/>
    <pivotField numFmtId="2" showAll="0"/>
    <pivotField numFmtId="2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A0E98-BFE0-449F-83DD-347B815168BE}" name="PivotTable18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K7" firstHeaderRow="1" firstDataRow="1" firstDataCol="1"/>
  <pivotFields count="14">
    <pivotField axis="axisRow" showAll="0">
      <items count="7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sd="0" x="2"/>
        <item sd="0" x="0"/>
        <item sd="0" x="1"/>
        <item t="default" sd="0"/>
      </items>
    </pivotField>
    <pivotField showAll="0"/>
    <pivotField showAll="0"/>
    <pivotField numFmtId="1" showAll="0"/>
    <pivotField showAll="0"/>
    <pivotField numFmtId="2" showAll="0"/>
    <pivotField dataField="1" numFmtId="2" showAll="0"/>
    <pivotField showAll="0"/>
  </pivotFields>
  <rowFields count="2">
    <field x="6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B6BBC-9788-4DD8-A3A9-71BE455540E9}" name="PivotTable1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7" firstHeaderRow="1" firstDataRow="1" firstDataCol="1"/>
  <pivotFields count="14">
    <pivotField axis="axisRow" showAll="0">
      <items count="7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showAll="0"/>
    <pivotField numFmtId="14"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</pivotFields>
  <rowFields count="2">
    <field x="4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4C23C-B5E0-46AE-AE35-B3947AABFDD2}" name="PivotTable1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8" firstHeaderRow="1" firstDataRow="1" firstDataCol="1"/>
  <pivotFields count="14">
    <pivotField showAll="0"/>
    <pivotField showAll="0"/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numFmtId="1" showAll="0"/>
    <pivotField showAll="0"/>
    <pivotField numFmtId="2" showAll="0"/>
    <pivotField numFmtId="2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1A8E4-D113-4A1A-B999-2518BF224505}" name="PivotTable9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4">
    <pivotField showAll="0"/>
    <pivotField showAll="0"/>
    <pivotField numFmtId="1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2979AE-76CD-4121-87A6-3A2C0048D944}" name="Table3" displayName="Table3" ref="A1:N751" totalsRowShown="0" headerRowDxfId="19" dataDxfId="18" headerRowBorderDxfId="16" tableBorderDxfId="17" totalsRowBorderDxfId="15">
  <autoFilter ref="A1:N751" xr:uid="{BBE32882-672A-441F-827A-3F910508942F}"/>
  <sortState ref="A2:N751">
    <sortCondition ref="C1:C751"/>
  </sortState>
  <tableColumns count="14">
    <tableColumn id="1" xr3:uid="{37D1A76B-D1CF-44A4-920E-27CBD9356318}" name="Order ID" dataDxfId="14"/>
    <tableColumn id="2" xr3:uid="{AA055F29-2838-45D2-B7BC-7F1E6E98F0F5}" name="Order Date" dataDxfId="13"/>
    <tableColumn id="3" xr3:uid="{B673C678-C88C-48EE-932C-C217F31AE0D1}" name="Ship Date" dataDxfId="12"/>
    <tableColumn id="16" xr3:uid="{61D4272E-FD31-4001-9EC6-1A91F627728D}" name="Customer Name" dataDxfId="1"/>
    <tableColumn id="5" xr3:uid="{B6EC992C-6C54-4F01-9848-48A3956EC934}" name="Segment" dataDxfId="11"/>
    <tableColumn id="6" xr3:uid="{190E21D6-1329-476B-AE5E-B5B5B99C8ABE}" name="Region" dataDxfId="10"/>
    <tableColumn id="7" xr3:uid="{716A8B92-F4CA-4502-9C43-3CECA7CCD165}" name="Category" dataDxfId="9"/>
    <tableColumn id="8" xr3:uid="{70146F6D-12AB-4DBE-A0B4-B1F1730DC173}" name="Sub-Category" dataDxfId="8"/>
    <tableColumn id="9" xr3:uid="{09159843-662E-47DE-B1B8-5AE6D9571EF0}" name="Product Name" dataDxfId="7"/>
    <tableColumn id="10" xr3:uid="{03DE583E-956A-436F-8FA0-3BDAA59C80E5}" name="Sales" dataDxfId="6"/>
    <tableColumn id="11" xr3:uid="{4D0D7D83-F350-41B3-BA54-89EC5BF30416}" name="Quantity" dataDxfId="5"/>
    <tableColumn id="12" xr3:uid="{78D62FBC-75FD-4FB7-9F7D-D3A4352A2B0B}" name="Discount" dataDxfId="4"/>
    <tableColumn id="13" xr3:uid="{7A69804C-B653-45C9-A74A-A83C530E4E99}" name="Profit" dataDxfId="3"/>
    <tableColumn id="14" xr3:uid="{AC42DCFA-C090-41EA-AEF8-30179F77D852}" name="Profit Status" dataDxfId="2">
      <calculatedColumnFormula>IF(Table3[[#This Row],[Profit]]&lt;0,"Loss","Profit")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1"/>
  <sheetViews>
    <sheetView workbookViewId="0">
      <selection activeCell="C1" sqref="C1"/>
    </sheetView>
  </sheetViews>
  <sheetFormatPr defaultRowHeight="14.4" x14ac:dyDescent="0.3"/>
  <cols>
    <col min="1" max="3" width="10.33203125" bestFit="1" customWidth="1"/>
    <col min="4" max="4" width="24.88671875" bestFit="1" customWidth="1"/>
    <col min="5" max="5" width="11.33203125" bestFit="1" customWidth="1"/>
    <col min="6" max="6" width="11.44140625" customWidth="1"/>
    <col min="7" max="7" width="13.109375" bestFit="1" customWidth="1"/>
    <col min="8" max="8" width="12.44140625" bestFit="1" customWidth="1"/>
    <col min="9" max="9" width="20.44140625" bestFit="1" customWidth="1"/>
    <col min="10" max="10" width="8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45177</v>
      </c>
      <c r="C2" s="2">
        <v>45178</v>
      </c>
      <c r="D2" t="s">
        <v>782</v>
      </c>
      <c r="E2" t="s">
        <v>1513</v>
      </c>
      <c r="F2" t="s">
        <v>1516</v>
      </c>
      <c r="G2" t="s">
        <v>1520</v>
      </c>
      <c r="H2" t="s">
        <v>1523</v>
      </c>
      <c r="I2" t="s">
        <v>1532</v>
      </c>
      <c r="J2">
        <v>3720.67</v>
      </c>
      <c r="K2">
        <v>4</v>
      </c>
      <c r="L2">
        <v>0.05</v>
      </c>
      <c r="M2">
        <v>-458.59</v>
      </c>
    </row>
    <row r="3" spans="1:13" x14ac:dyDescent="0.3">
      <c r="A3" t="s">
        <v>14</v>
      </c>
      <c r="B3" s="2">
        <v>46086</v>
      </c>
      <c r="C3" s="2">
        <v>46087</v>
      </c>
      <c r="D3" t="s">
        <v>783</v>
      </c>
      <c r="E3" t="s">
        <v>1513</v>
      </c>
      <c r="F3" t="s">
        <v>1517</v>
      </c>
      <c r="G3" t="s">
        <v>1520</v>
      </c>
      <c r="H3" t="s">
        <v>1524</v>
      </c>
      <c r="I3" t="s">
        <v>1533</v>
      </c>
      <c r="J3">
        <v>197.5</v>
      </c>
      <c r="K3">
        <v>4</v>
      </c>
      <c r="L3">
        <v>0.05</v>
      </c>
      <c r="M3">
        <v>15.39</v>
      </c>
    </row>
    <row r="4" spans="1:13" x14ac:dyDescent="0.3">
      <c r="A4" t="s">
        <v>15</v>
      </c>
      <c r="B4" s="2">
        <v>45235</v>
      </c>
      <c r="C4" s="2">
        <v>45244</v>
      </c>
      <c r="D4" t="s">
        <v>784</v>
      </c>
      <c r="E4" t="s">
        <v>1513</v>
      </c>
      <c r="F4" t="s">
        <v>1517</v>
      </c>
      <c r="G4" t="s">
        <v>1520</v>
      </c>
      <c r="H4" t="s">
        <v>1525</v>
      </c>
      <c r="I4" t="s">
        <v>1534</v>
      </c>
      <c r="J4">
        <v>2126.62</v>
      </c>
      <c r="K4">
        <v>8</v>
      </c>
      <c r="L4">
        <v>0.2</v>
      </c>
      <c r="M4">
        <v>-99.94</v>
      </c>
    </row>
    <row r="5" spans="1:13" x14ac:dyDescent="0.3">
      <c r="A5" t="s">
        <v>16</v>
      </c>
      <c r="B5" s="2">
        <v>45523</v>
      </c>
      <c r="C5" s="2">
        <v>45529</v>
      </c>
      <c r="D5" t="s">
        <v>785</v>
      </c>
      <c r="E5" t="s">
        <v>1514</v>
      </c>
      <c r="F5" t="s">
        <v>1516</v>
      </c>
      <c r="G5" t="s">
        <v>1520</v>
      </c>
      <c r="H5" t="s">
        <v>1524</v>
      </c>
      <c r="I5" t="s">
        <v>1535</v>
      </c>
      <c r="J5">
        <v>1425.46</v>
      </c>
      <c r="K5">
        <v>4</v>
      </c>
      <c r="L5">
        <v>0.1</v>
      </c>
      <c r="M5">
        <v>-204.96</v>
      </c>
    </row>
    <row r="6" spans="1:13" x14ac:dyDescent="0.3">
      <c r="A6" t="s">
        <v>17</v>
      </c>
      <c r="B6" s="2">
        <v>45860</v>
      </c>
      <c r="C6" s="2">
        <v>45870</v>
      </c>
      <c r="D6" t="s">
        <v>786</v>
      </c>
      <c r="E6" t="s">
        <v>1513</v>
      </c>
      <c r="F6" t="s">
        <v>1518</v>
      </c>
      <c r="G6" t="s">
        <v>1521</v>
      </c>
      <c r="H6" t="s">
        <v>1526</v>
      </c>
      <c r="I6" t="s">
        <v>1536</v>
      </c>
      <c r="J6">
        <v>1359.38</v>
      </c>
      <c r="K6">
        <v>1</v>
      </c>
      <c r="M6">
        <v>71.62</v>
      </c>
    </row>
    <row r="7" spans="1:13" x14ac:dyDescent="0.3">
      <c r="A7" t="s">
        <v>18</v>
      </c>
      <c r="B7" s="2">
        <v>45335</v>
      </c>
      <c r="C7" s="2">
        <v>45340</v>
      </c>
      <c r="D7" t="s">
        <v>787</v>
      </c>
      <c r="E7" t="s">
        <v>1515</v>
      </c>
      <c r="F7" t="s">
        <v>1516</v>
      </c>
      <c r="G7" t="s">
        <v>1522</v>
      </c>
      <c r="H7" t="s">
        <v>1527</v>
      </c>
      <c r="I7" t="s">
        <v>1537</v>
      </c>
      <c r="J7">
        <v>4155.55</v>
      </c>
      <c r="K7">
        <v>10</v>
      </c>
      <c r="L7">
        <v>0.1</v>
      </c>
      <c r="M7">
        <v>488.46</v>
      </c>
    </row>
    <row r="8" spans="1:13" x14ac:dyDescent="0.3">
      <c r="A8" t="s">
        <v>19</v>
      </c>
      <c r="B8" s="2">
        <v>46018</v>
      </c>
      <c r="C8" s="2">
        <v>46022</v>
      </c>
      <c r="D8" t="s">
        <v>788</v>
      </c>
      <c r="E8" t="s">
        <v>1514</v>
      </c>
      <c r="F8" t="s">
        <v>1519</v>
      </c>
      <c r="G8" t="s">
        <v>1522</v>
      </c>
      <c r="H8" t="s">
        <v>1527</v>
      </c>
      <c r="I8" t="s">
        <v>1538</v>
      </c>
      <c r="J8">
        <v>3876.69</v>
      </c>
      <c r="K8">
        <v>2</v>
      </c>
      <c r="L8">
        <v>0.05</v>
      </c>
      <c r="M8">
        <v>1072.1600000000001</v>
      </c>
    </row>
    <row r="9" spans="1:13" x14ac:dyDescent="0.3">
      <c r="A9" t="s">
        <v>20</v>
      </c>
      <c r="B9" s="2">
        <v>45288</v>
      </c>
      <c r="C9" s="2">
        <v>45294</v>
      </c>
      <c r="D9" t="s">
        <v>789</v>
      </c>
      <c r="E9" t="s">
        <v>1515</v>
      </c>
      <c r="F9" t="s">
        <v>1516</v>
      </c>
      <c r="G9" t="s">
        <v>1521</v>
      </c>
      <c r="H9" t="s">
        <v>1528</v>
      </c>
      <c r="I9" t="s">
        <v>1539</v>
      </c>
      <c r="J9">
        <v>855.14</v>
      </c>
      <c r="K9">
        <v>6</v>
      </c>
      <c r="L9">
        <v>0.05</v>
      </c>
      <c r="M9">
        <v>144.16999999999999</v>
      </c>
    </row>
    <row r="10" spans="1:13" x14ac:dyDescent="0.3">
      <c r="A10" t="s">
        <v>21</v>
      </c>
      <c r="B10" s="2">
        <v>45374</v>
      </c>
      <c r="C10" s="2">
        <v>45377</v>
      </c>
      <c r="D10" t="s">
        <v>790</v>
      </c>
      <c r="E10" t="s">
        <v>1514</v>
      </c>
      <c r="F10" t="s">
        <v>1517</v>
      </c>
      <c r="G10" t="s">
        <v>1520</v>
      </c>
      <c r="H10" t="s">
        <v>1525</v>
      </c>
      <c r="I10" t="s">
        <v>1540</v>
      </c>
      <c r="J10">
        <v>2693.99</v>
      </c>
      <c r="K10">
        <v>4</v>
      </c>
      <c r="L10">
        <v>0.05</v>
      </c>
      <c r="M10">
        <v>146.13</v>
      </c>
    </row>
    <row r="11" spans="1:13" x14ac:dyDescent="0.3">
      <c r="A11" t="s">
        <v>22</v>
      </c>
      <c r="B11" s="2">
        <v>46080</v>
      </c>
      <c r="C11" s="2">
        <v>46081</v>
      </c>
      <c r="D11" t="s">
        <v>791</v>
      </c>
      <c r="E11" t="s">
        <v>1513</v>
      </c>
      <c r="F11" t="s">
        <v>1517</v>
      </c>
      <c r="G11" t="s">
        <v>1520</v>
      </c>
      <c r="H11" t="s">
        <v>1524</v>
      </c>
      <c r="I11" t="s">
        <v>1541</v>
      </c>
      <c r="J11">
        <v>1183.79</v>
      </c>
      <c r="K11">
        <v>1</v>
      </c>
      <c r="L11">
        <v>0.1</v>
      </c>
      <c r="M11">
        <v>24.43</v>
      </c>
    </row>
    <row r="12" spans="1:13" x14ac:dyDescent="0.3">
      <c r="A12" t="s">
        <v>23</v>
      </c>
      <c r="B12" s="2">
        <v>45524</v>
      </c>
      <c r="C12" s="2">
        <v>45530</v>
      </c>
      <c r="D12" t="s">
        <v>792</v>
      </c>
      <c r="E12" t="s">
        <v>1515</v>
      </c>
      <c r="F12" t="s">
        <v>1518</v>
      </c>
      <c r="G12" t="s">
        <v>1520</v>
      </c>
      <c r="H12" t="s">
        <v>1525</v>
      </c>
      <c r="I12" t="s">
        <v>1542</v>
      </c>
      <c r="J12">
        <v>1102.5</v>
      </c>
      <c r="K12">
        <v>8</v>
      </c>
      <c r="L12">
        <v>0.15</v>
      </c>
      <c r="M12">
        <v>315.95</v>
      </c>
    </row>
    <row r="13" spans="1:13" x14ac:dyDescent="0.3">
      <c r="A13" t="s">
        <v>24</v>
      </c>
      <c r="B13" s="2">
        <v>45574</v>
      </c>
      <c r="C13" s="2">
        <v>45577</v>
      </c>
      <c r="D13" t="s">
        <v>793</v>
      </c>
      <c r="E13" t="s">
        <v>1515</v>
      </c>
      <c r="F13" t="s">
        <v>1518</v>
      </c>
      <c r="G13" t="s">
        <v>1522</v>
      </c>
      <c r="H13" t="s">
        <v>1529</v>
      </c>
      <c r="I13" t="s">
        <v>1543</v>
      </c>
      <c r="J13">
        <v>1270.81</v>
      </c>
      <c r="K13">
        <v>9</v>
      </c>
      <c r="L13">
        <v>0.2</v>
      </c>
      <c r="M13">
        <v>-70.52</v>
      </c>
    </row>
    <row r="14" spans="1:13" x14ac:dyDescent="0.3">
      <c r="A14" t="s">
        <v>25</v>
      </c>
      <c r="B14" s="2">
        <v>45524</v>
      </c>
      <c r="C14" s="2">
        <v>45530</v>
      </c>
      <c r="D14" t="s">
        <v>794</v>
      </c>
      <c r="E14" t="s">
        <v>1513</v>
      </c>
      <c r="F14" t="s">
        <v>1516</v>
      </c>
      <c r="G14" t="s">
        <v>1520</v>
      </c>
      <c r="H14" t="s">
        <v>1524</v>
      </c>
      <c r="I14" t="s">
        <v>1544</v>
      </c>
      <c r="J14">
        <v>1135.6400000000001</v>
      </c>
      <c r="K14">
        <v>3</v>
      </c>
      <c r="L14">
        <v>0.2</v>
      </c>
      <c r="M14">
        <v>81.12</v>
      </c>
    </row>
    <row r="15" spans="1:13" x14ac:dyDescent="0.3">
      <c r="A15" t="s">
        <v>26</v>
      </c>
      <c r="B15" s="2">
        <v>45338</v>
      </c>
      <c r="C15" s="2">
        <v>45341</v>
      </c>
      <c r="D15" t="s">
        <v>795</v>
      </c>
      <c r="E15" t="s">
        <v>1514</v>
      </c>
      <c r="F15" t="s">
        <v>1518</v>
      </c>
      <c r="G15" t="s">
        <v>1522</v>
      </c>
      <c r="H15" t="s">
        <v>1527</v>
      </c>
      <c r="I15" t="s">
        <v>1545</v>
      </c>
      <c r="J15">
        <v>3970.79</v>
      </c>
      <c r="K15">
        <v>7</v>
      </c>
      <c r="L15">
        <v>0.2</v>
      </c>
      <c r="M15">
        <v>-655.42</v>
      </c>
    </row>
    <row r="16" spans="1:13" x14ac:dyDescent="0.3">
      <c r="A16" t="s">
        <v>27</v>
      </c>
      <c r="B16" s="2">
        <v>45214</v>
      </c>
      <c r="C16" s="2">
        <v>45223</v>
      </c>
      <c r="D16" t="s">
        <v>796</v>
      </c>
      <c r="E16" t="s">
        <v>1515</v>
      </c>
      <c r="F16" t="s">
        <v>1519</v>
      </c>
      <c r="G16" t="s">
        <v>1520</v>
      </c>
      <c r="H16" t="s">
        <v>1524</v>
      </c>
      <c r="I16" t="s">
        <v>1546</v>
      </c>
      <c r="J16">
        <v>4310.8599999999997</v>
      </c>
      <c r="K16">
        <v>1</v>
      </c>
      <c r="M16">
        <v>846.64</v>
      </c>
    </row>
    <row r="17" spans="1:13" x14ac:dyDescent="0.3">
      <c r="A17" t="s">
        <v>28</v>
      </c>
      <c r="B17" s="2">
        <v>45297</v>
      </c>
      <c r="C17" s="2">
        <v>45299</v>
      </c>
      <c r="D17" t="s">
        <v>797</v>
      </c>
      <c r="E17" t="s">
        <v>1515</v>
      </c>
      <c r="F17" t="s">
        <v>1519</v>
      </c>
      <c r="G17" t="s">
        <v>1520</v>
      </c>
      <c r="H17" t="s">
        <v>1524</v>
      </c>
      <c r="I17" t="s">
        <v>1547</v>
      </c>
      <c r="J17">
        <v>1502.83</v>
      </c>
      <c r="K17">
        <v>3</v>
      </c>
      <c r="L17">
        <v>0.15</v>
      </c>
      <c r="M17">
        <v>-297.88</v>
      </c>
    </row>
    <row r="18" spans="1:13" x14ac:dyDescent="0.3">
      <c r="A18" t="s">
        <v>29</v>
      </c>
      <c r="B18" s="2">
        <v>45233</v>
      </c>
      <c r="C18" s="2">
        <v>45242</v>
      </c>
      <c r="D18" t="s">
        <v>798</v>
      </c>
      <c r="E18" t="s">
        <v>1513</v>
      </c>
      <c r="F18" t="s">
        <v>1517</v>
      </c>
      <c r="G18" t="s">
        <v>1520</v>
      </c>
      <c r="H18" t="s">
        <v>1523</v>
      </c>
      <c r="I18" t="s">
        <v>1548</v>
      </c>
      <c r="J18">
        <v>4567.51</v>
      </c>
      <c r="K18">
        <v>5</v>
      </c>
      <c r="M18">
        <v>361.81</v>
      </c>
    </row>
    <row r="19" spans="1:13" x14ac:dyDescent="0.3">
      <c r="A19" t="s">
        <v>30</v>
      </c>
      <c r="B19" s="2">
        <v>45669</v>
      </c>
      <c r="C19" s="2">
        <v>45678</v>
      </c>
      <c r="D19" t="s">
        <v>799</v>
      </c>
      <c r="E19" t="s">
        <v>1514</v>
      </c>
      <c r="F19" t="s">
        <v>1516</v>
      </c>
      <c r="G19" t="s">
        <v>1521</v>
      </c>
      <c r="H19" t="s">
        <v>1530</v>
      </c>
      <c r="I19" t="s">
        <v>1549</v>
      </c>
      <c r="J19">
        <v>4769.82</v>
      </c>
      <c r="K19">
        <v>9</v>
      </c>
      <c r="L19">
        <v>0</v>
      </c>
      <c r="M19">
        <v>617.30999999999995</v>
      </c>
    </row>
    <row r="20" spans="1:13" x14ac:dyDescent="0.3">
      <c r="A20" t="s">
        <v>31</v>
      </c>
      <c r="B20" s="2">
        <v>45262</v>
      </c>
      <c r="C20" s="2">
        <v>45267</v>
      </c>
      <c r="D20" t="s">
        <v>800</v>
      </c>
      <c r="E20" t="s">
        <v>1513</v>
      </c>
      <c r="F20" t="s">
        <v>1518</v>
      </c>
      <c r="G20" t="s">
        <v>1522</v>
      </c>
      <c r="H20" t="s">
        <v>1529</v>
      </c>
      <c r="I20" t="s">
        <v>1550</v>
      </c>
      <c r="J20">
        <v>1235.29</v>
      </c>
      <c r="K20">
        <v>4</v>
      </c>
      <c r="L20">
        <v>0.2</v>
      </c>
      <c r="M20">
        <v>396.31</v>
      </c>
    </row>
    <row r="21" spans="1:13" x14ac:dyDescent="0.3">
      <c r="A21" t="s">
        <v>32</v>
      </c>
      <c r="B21" s="2">
        <v>45662</v>
      </c>
      <c r="C21" s="2">
        <v>45665</v>
      </c>
      <c r="D21" t="s">
        <v>801</v>
      </c>
      <c r="E21" t="s">
        <v>1515</v>
      </c>
      <c r="F21" t="s">
        <v>1518</v>
      </c>
      <c r="G21" t="s">
        <v>1522</v>
      </c>
      <c r="H21" t="s">
        <v>1527</v>
      </c>
      <c r="I21" t="s">
        <v>1551</v>
      </c>
      <c r="J21">
        <v>685.54</v>
      </c>
      <c r="K21">
        <v>8</v>
      </c>
      <c r="L21">
        <v>0.2</v>
      </c>
      <c r="M21">
        <v>-74.849999999999994</v>
      </c>
    </row>
    <row r="22" spans="1:13" x14ac:dyDescent="0.3">
      <c r="A22" t="s">
        <v>33</v>
      </c>
      <c r="B22" s="2">
        <v>46154</v>
      </c>
      <c r="C22" s="2">
        <v>46158</v>
      </c>
      <c r="D22" t="s">
        <v>802</v>
      </c>
      <c r="E22" t="s">
        <v>1514</v>
      </c>
      <c r="F22" t="s">
        <v>1518</v>
      </c>
      <c r="G22" t="s">
        <v>1522</v>
      </c>
      <c r="H22" t="s">
        <v>1527</v>
      </c>
      <c r="I22" t="s">
        <v>1552</v>
      </c>
      <c r="J22">
        <v>3579.1</v>
      </c>
      <c r="K22">
        <v>7</v>
      </c>
      <c r="M22">
        <v>563.47</v>
      </c>
    </row>
    <row r="23" spans="1:13" x14ac:dyDescent="0.3">
      <c r="A23" t="s">
        <v>34</v>
      </c>
      <c r="B23" s="2">
        <v>45989</v>
      </c>
      <c r="C23" s="2">
        <v>45993</v>
      </c>
      <c r="D23" t="s">
        <v>803</v>
      </c>
      <c r="E23" t="s">
        <v>1515</v>
      </c>
      <c r="F23" t="s">
        <v>1517</v>
      </c>
      <c r="G23" t="s">
        <v>1522</v>
      </c>
      <c r="H23" t="s">
        <v>1531</v>
      </c>
      <c r="I23" t="s">
        <v>1553</v>
      </c>
      <c r="J23">
        <v>366.93</v>
      </c>
      <c r="K23">
        <v>1</v>
      </c>
      <c r="L23">
        <v>0.2</v>
      </c>
      <c r="M23">
        <v>38.4</v>
      </c>
    </row>
    <row r="24" spans="1:13" x14ac:dyDescent="0.3">
      <c r="A24" t="s">
        <v>35</v>
      </c>
      <c r="B24" s="2">
        <v>45383</v>
      </c>
      <c r="C24" s="2">
        <v>45384</v>
      </c>
      <c r="D24" t="s">
        <v>804</v>
      </c>
      <c r="E24" t="s">
        <v>1513</v>
      </c>
      <c r="F24" t="s">
        <v>1519</v>
      </c>
      <c r="G24" t="s">
        <v>1522</v>
      </c>
      <c r="H24" t="s">
        <v>1531</v>
      </c>
      <c r="I24" t="s">
        <v>1554</v>
      </c>
      <c r="J24">
        <v>1183.26</v>
      </c>
      <c r="K24">
        <v>1</v>
      </c>
      <c r="L24">
        <v>0.1</v>
      </c>
      <c r="M24">
        <v>-190.54</v>
      </c>
    </row>
    <row r="25" spans="1:13" x14ac:dyDescent="0.3">
      <c r="A25" t="s">
        <v>36</v>
      </c>
      <c r="B25" s="2">
        <v>45796</v>
      </c>
      <c r="C25" s="2">
        <v>45800</v>
      </c>
      <c r="D25" t="s">
        <v>805</v>
      </c>
      <c r="E25" t="s">
        <v>1514</v>
      </c>
      <c r="F25" t="s">
        <v>1518</v>
      </c>
      <c r="G25" t="s">
        <v>1520</v>
      </c>
      <c r="H25" t="s">
        <v>1524</v>
      </c>
      <c r="I25" t="s">
        <v>1555</v>
      </c>
      <c r="J25">
        <v>2719.21</v>
      </c>
      <c r="K25">
        <v>10</v>
      </c>
      <c r="L25">
        <v>0.2</v>
      </c>
      <c r="M25">
        <v>163.07</v>
      </c>
    </row>
    <row r="26" spans="1:13" x14ac:dyDescent="0.3">
      <c r="A26" t="s">
        <v>37</v>
      </c>
      <c r="B26" s="2">
        <v>45564</v>
      </c>
      <c r="C26" s="2">
        <v>45566</v>
      </c>
      <c r="D26" t="s">
        <v>806</v>
      </c>
      <c r="E26" t="s">
        <v>1515</v>
      </c>
      <c r="F26" t="s">
        <v>1516</v>
      </c>
      <c r="G26" t="s">
        <v>1522</v>
      </c>
      <c r="H26" t="s">
        <v>1531</v>
      </c>
      <c r="I26" t="s">
        <v>1556</v>
      </c>
      <c r="J26">
        <v>3311.96</v>
      </c>
      <c r="K26">
        <v>6</v>
      </c>
      <c r="L26">
        <v>0.15</v>
      </c>
      <c r="M26">
        <v>86.46</v>
      </c>
    </row>
    <row r="27" spans="1:13" x14ac:dyDescent="0.3">
      <c r="A27" t="s">
        <v>38</v>
      </c>
      <c r="B27" s="2">
        <v>45647</v>
      </c>
      <c r="C27" s="2">
        <v>45649</v>
      </c>
      <c r="D27" t="s">
        <v>807</v>
      </c>
      <c r="E27" t="s">
        <v>1513</v>
      </c>
      <c r="F27" t="s">
        <v>1518</v>
      </c>
      <c r="G27" t="s">
        <v>1520</v>
      </c>
      <c r="H27" t="s">
        <v>1525</v>
      </c>
      <c r="I27" t="s">
        <v>1557</v>
      </c>
      <c r="J27">
        <v>350.03</v>
      </c>
      <c r="K27">
        <v>6</v>
      </c>
      <c r="L27">
        <v>0</v>
      </c>
      <c r="M27">
        <v>-22.14</v>
      </c>
    </row>
    <row r="28" spans="1:13" x14ac:dyDescent="0.3">
      <c r="A28" t="s">
        <v>39</v>
      </c>
      <c r="B28" s="2">
        <v>45441</v>
      </c>
      <c r="C28" s="2">
        <v>45444</v>
      </c>
      <c r="D28" t="s">
        <v>808</v>
      </c>
      <c r="E28" t="s">
        <v>1515</v>
      </c>
      <c r="F28" t="s">
        <v>1516</v>
      </c>
      <c r="G28" t="s">
        <v>1522</v>
      </c>
      <c r="H28" t="s">
        <v>1529</v>
      </c>
      <c r="I28" t="s">
        <v>1558</v>
      </c>
      <c r="J28">
        <v>1428.8</v>
      </c>
      <c r="K28">
        <v>4</v>
      </c>
      <c r="L28">
        <v>0</v>
      </c>
      <c r="M28">
        <v>62.47</v>
      </c>
    </row>
    <row r="29" spans="1:13" x14ac:dyDescent="0.3">
      <c r="A29" t="s">
        <v>40</v>
      </c>
      <c r="B29" s="2">
        <v>45683</v>
      </c>
      <c r="C29" s="2">
        <v>45692</v>
      </c>
      <c r="D29" t="s">
        <v>809</v>
      </c>
      <c r="E29" t="s">
        <v>1514</v>
      </c>
      <c r="F29" t="s">
        <v>1518</v>
      </c>
      <c r="G29" t="s">
        <v>1522</v>
      </c>
      <c r="H29" t="s">
        <v>1527</v>
      </c>
      <c r="I29" t="s">
        <v>1559</v>
      </c>
      <c r="J29">
        <v>4188.34</v>
      </c>
      <c r="K29">
        <v>2</v>
      </c>
      <c r="L29">
        <v>0.05</v>
      </c>
      <c r="M29">
        <v>-454.56</v>
      </c>
    </row>
    <row r="30" spans="1:13" x14ac:dyDescent="0.3">
      <c r="A30" t="s">
        <v>41</v>
      </c>
      <c r="B30" s="2">
        <v>45352</v>
      </c>
      <c r="C30" s="2">
        <v>45353</v>
      </c>
      <c r="D30" t="s">
        <v>810</v>
      </c>
      <c r="E30" t="s">
        <v>1514</v>
      </c>
      <c r="F30" t="s">
        <v>1519</v>
      </c>
      <c r="G30" t="s">
        <v>1522</v>
      </c>
      <c r="H30" t="s">
        <v>1529</v>
      </c>
      <c r="I30" t="s">
        <v>1560</v>
      </c>
      <c r="J30">
        <v>864.95</v>
      </c>
      <c r="K30">
        <v>1</v>
      </c>
      <c r="L30">
        <v>0.15</v>
      </c>
      <c r="M30">
        <v>-46.83</v>
      </c>
    </row>
    <row r="31" spans="1:13" x14ac:dyDescent="0.3">
      <c r="A31" t="s">
        <v>42</v>
      </c>
      <c r="B31" s="2">
        <v>45088</v>
      </c>
      <c r="C31" s="2">
        <v>45097</v>
      </c>
      <c r="D31" t="s">
        <v>811</v>
      </c>
      <c r="E31" t="s">
        <v>1513</v>
      </c>
      <c r="F31" t="s">
        <v>1516</v>
      </c>
      <c r="G31" t="s">
        <v>1521</v>
      </c>
      <c r="H31" t="s">
        <v>1528</v>
      </c>
      <c r="I31" t="s">
        <v>1561</v>
      </c>
      <c r="J31">
        <v>3326.26</v>
      </c>
      <c r="K31">
        <v>8</v>
      </c>
      <c r="L31">
        <v>0.05</v>
      </c>
      <c r="M31">
        <v>-317.83999999999997</v>
      </c>
    </row>
    <row r="32" spans="1:13" x14ac:dyDescent="0.3">
      <c r="A32" t="s">
        <v>43</v>
      </c>
      <c r="B32" s="2">
        <v>46145</v>
      </c>
      <c r="C32" s="2">
        <v>46154</v>
      </c>
      <c r="D32" t="s">
        <v>812</v>
      </c>
      <c r="E32" t="s">
        <v>1514</v>
      </c>
      <c r="F32" t="s">
        <v>1517</v>
      </c>
      <c r="G32" t="s">
        <v>1520</v>
      </c>
      <c r="H32" t="s">
        <v>1525</v>
      </c>
      <c r="I32" t="s">
        <v>1562</v>
      </c>
      <c r="J32">
        <v>351.74</v>
      </c>
      <c r="K32">
        <v>6</v>
      </c>
      <c r="L32">
        <v>0</v>
      </c>
      <c r="M32">
        <v>-60.65</v>
      </c>
    </row>
    <row r="33" spans="1:13" x14ac:dyDescent="0.3">
      <c r="A33" t="s">
        <v>44</v>
      </c>
      <c r="B33" s="2">
        <v>45961</v>
      </c>
      <c r="C33" s="2">
        <v>45963</v>
      </c>
      <c r="D33" t="s">
        <v>813</v>
      </c>
      <c r="E33" t="s">
        <v>1513</v>
      </c>
      <c r="F33" t="s">
        <v>1518</v>
      </c>
      <c r="G33" t="s">
        <v>1522</v>
      </c>
      <c r="H33" t="s">
        <v>1527</v>
      </c>
      <c r="I33" t="s">
        <v>1563</v>
      </c>
      <c r="J33">
        <v>4264.1499999999996</v>
      </c>
      <c r="K33">
        <v>2</v>
      </c>
      <c r="L33">
        <v>0.2</v>
      </c>
      <c r="M33">
        <v>-693.44</v>
      </c>
    </row>
    <row r="34" spans="1:13" x14ac:dyDescent="0.3">
      <c r="A34" t="s">
        <v>45</v>
      </c>
      <c r="B34" s="2">
        <v>46008</v>
      </c>
      <c r="C34" s="2">
        <v>46012</v>
      </c>
      <c r="D34" t="s">
        <v>814</v>
      </c>
      <c r="E34" t="s">
        <v>1515</v>
      </c>
      <c r="F34" t="s">
        <v>1519</v>
      </c>
      <c r="G34" t="s">
        <v>1522</v>
      </c>
      <c r="H34" t="s">
        <v>1527</v>
      </c>
      <c r="I34" t="s">
        <v>1564</v>
      </c>
      <c r="J34">
        <v>2915.65</v>
      </c>
      <c r="K34">
        <v>1</v>
      </c>
      <c r="L34">
        <v>0.2</v>
      </c>
      <c r="M34">
        <v>-451.66</v>
      </c>
    </row>
    <row r="35" spans="1:13" x14ac:dyDescent="0.3">
      <c r="A35" t="s">
        <v>46</v>
      </c>
      <c r="B35" s="2">
        <v>45368</v>
      </c>
      <c r="C35" s="2">
        <v>45374</v>
      </c>
      <c r="D35" t="s">
        <v>815</v>
      </c>
      <c r="E35" t="s">
        <v>1514</v>
      </c>
      <c r="F35" t="s">
        <v>1518</v>
      </c>
      <c r="G35" t="s">
        <v>1521</v>
      </c>
      <c r="H35" t="s">
        <v>1530</v>
      </c>
      <c r="I35" t="s">
        <v>1565</v>
      </c>
      <c r="J35">
        <v>1231.5</v>
      </c>
      <c r="K35">
        <v>7</v>
      </c>
      <c r="L35">
        <v>0.05</v>
      </c>
      <c r="M35">
        <v>208.65</v>
      </c>
    </row>
    <row r="36" spans="1:13" x14ac:dyDescent="0.3">
      <c r="A36" t="s">
        <v>47</v>
      </c>
      <c r="B36" s="2">
        <v>45782</v>
      </c>
      <c r="C36" s="2">
        <v>45783</v>
      </c>
      <c r="D36" t="s">
        <v>816</v>
      </c>
      <c r="E36" t="s">
        <v>1513</v>
      </c>
      <c r="F36" t="s">
        <v>1519</v>
      </c>
      <c r="G36" t="s">
        <v>1521</v>
      </c>
      <c r="H36" t="s">
        <v>1530</v>
      </c>
      <c r="I36" t="s">
        <v>1566</v>
      </c>
      <c r="J36">
        <v>2318.5100000000002</v>
      </c>
      <c r="K36">
        <v>10</v>
      </c>
      <c r="L36">
        <v>0</v>
      </c>
      <c r="M36">
        <v>-370.28</v>
      </c>
    </row>
    <row r="37" spans="1:13" x14ac:dyDescent="0.3">
      <c r="A37" t="s">
        <v>48</v>
      </c>
      <c r="B37" s="2">
        <v>45724</v>
      </c>
      <c r="C37" s="2">
        <v>45726</v>
      </c>
      <c r="D37" t="s">
        <v>817</v>
      </c>
      <c r="E37" t="s">
        <v>1515</v>
      </c>
      <c r="F37" t="s">
        <v>1519</v>
      </c>
      <c r="G37" t="s">
        <v>1522</v>
      </c>
      <c r="H37" t="s">
        <v>1529</v>
      </c>
      <c r="I37" t="s">
        <v>1567</v>
      </c>
      <c r="J37">
        <v>4402.3900000000003</v>
      </c>
      <c r="K37">
        <v>6</v>
      </c>
      <c r="L37">
        <v>0.1</v>
      </c>
      <c r="M37">
        <v>-498.52</v>
      </c>
    </row>
    <row r="38" spans="1:13" x14ac:dyDescent="0.3">
      <c r="A38" t="s">
        <v>49</v>
      </c>
      <c r="B38" t="s">
        <v>763</v>
      </c>
      <c r="C38" s="2">
        <v>45246</v>
      </c>
      <c r="D38" t="s">
        <v>818</v>
      </c>
      <c r="E38" t="s">
        <v>1513</v>
      </c>
      <c r="F38" t="s">
        <v>1517</v>
      </c>
      <c r="G38" t="s">
        <v>1520</v>
      </c>
      <c r="H38" t="s">
        <v>1525</v>
      </c>
      <c r="I38" t="s">
        <v>1568</v>
      </c>
      <c r="J38">
        <v>88.72</v>
      </c>
      <c r="K38">
        <v>9</v>
      </c>
      <c r="L38">
        <v>0.1</v>
      </c>
      <c r="M38">
        <v>27.72</v>
      </c>
    </row>
    <row r="39" spans="1:13" x14ac:dyDescent="0.3">
      <c r="A39" t="s">
        <v>50</v>
      </c>
      <c r="B39" s="2">
        <v>45815</v>
      </c>
      <c r="C39" s="2">
        <v>45817</v>
      </c>
      <c r="D39" t="s">
        <v>819</v>
      </c>
      <c r="E39" t="s">
        <v>1513</v>
      </c>
      <c r="F39" t="s">
        <v>1519</v>
      </c>
      <c r="G39" t="s">
        <v>1521</v>
      </c>
      <c r="H39" t="s">
        <v>1530</v>
      </c>
      <c r="I39" t="s">
        <v>1569</v>
      </c>
      <c r="J39">
        <v>3724.96</v>
      </c>
      <c r="K39">
        <v>3</v>
      </c>
      <c r="L39">
        <v>0.1</v>
      </c>
      <c r="M39">
        <v>-167.75</v>
      </c>
    </row>
    <row r="40" spans="1:13" x14ac:dyDescent="0.3">
      <c r="A40" t="s">
        <v>51</v>
      </c>
      <c r="B40" s="2">
        <v>45087</v>
      </c>
      <c r="C40" s="2">
        <v>45092</v>
      </c>
      <c r="D40" t="s">
        <v>820</v>
      </c>
      <c r="E40" t="s">
        <v>1514</v>
      </c>
      <c r="F40" t="s">
        <v>1519</v>
      </c>
      <c r="G40" t="s">
        <v>1522</v>
      </c>
      <c r="H40" t="s">
        <v>1527</v>
      </c>
      <c r="I40" t="s">
        <v>1570</v>
      </c>
      <c r="J40">
        <v>2551.77</v>
      </c>
      <c r="K40">
        <v>5</v>
      </c>
      <c r="L40">
        <v>0</v>
      </c>
      <c r="M40">
        <v>-380.82</v>
      </c>
    </row>
    <row r="41" spans="1:13" x14ac:dyDescent="0.3">
      <c r="A41" t="s">
        <v>52</v>
      </c>
      <c r="B41" s="2">
        <v>46089</v>
      </c>
      <c r="C41" s="2">
        <v>46095</v>
      </c>
      <c r="D41" t="s">
        <v>821</v>
      </c>
      <c r="E41" t="s">
        <v>1515</v>
      </c>
      <c r="F41" t="s">
        <v>1518</v>
      </c>
      <c r="G41" t="s">
        <v>1522</v>
      </c>
      <c r="H41" t="s">
        <v>1531</v>
      </c>
      <c r="I41" t="s">
        <v>1571</v>
      </c>
      <c r="J41">
        <v>3867.04</v>
      </c>
      <c r="K41">
        <v>5</v>
      </c>
      <c r="L41">
        <v>0.05</v>
      </c>
      <c r="M41">
        <v>803.1</v>
      </c>
    </row>
    <row r="42" spans="1:13" x14ac:dyDescent="0.3">
      <c r="A42" t="s">
        <v>53</v>
      </c>
      <c r="B42" s="2">
        <v>45846</v>
      </c>
      <c r="C42" s="2">
        <v>45848</v>
      </c>
      <c r="D42" t="s">
        <v>822</v>
      </c>
      <c r="E42" t="s">
        <v>1514</v>
      </c>
      <c r="F42" t="s">
        <v>1517</v>
      </c>
      <c r="G42" t="s">
        <v>1520</v>
      </c>
      <c r="H42" t="s">
        <v>1523</v>
      </c>
      <c r="I42" t="s">
        <v>1572</v>
      </c>
      <c r="J42">
        <v>422.46</v>
      </c>
      <c r="K42">
        <v>3</v>
      </c>
      <c r="L42">
        <v>0.2</v>
      </c>
      <c r="M42">
        <v>-76.12</v>
      </c>
    </row>
    <row r="43" spans="1:13" x14ac:dyDescent="0.3">
      <c r="A43" t="s">
        <v>54</v>
      </c>
      <c r="B43" s="2">
        <v>46158</v>
      </c>
      <c r="C43" s="2">
        <v>46159</v>
      </c>
      <c r="D43" t="s">
        <v>823</v>
      </c>
      <c r="E43" t="s">
        <v>1513</v>
      </c>
      <c r="F43" t="s">
        <v>1516</v>
      </c>
      <c r="G43" t="s">
        <v>1521</v>
      </c>
      <c r="H43" t="s">
        <v>1530</v>
      </c>
      <c r="I43" t="s">
        <v>1573</v>
      </c>
      <c r="J43">
        <v>1575.88</v>
      </c>
      <c r="K43">
        <v>1</v>
      </c>
      <c r="L43">
        <v>0.1</v>
      </c>
      <c r="M43">
        <v>-133.1</v>
      </c>
    </row>
    <row r="44" spans="1:13" x14ac:dyDescent="0.3">
      <c r="A44" t="s">
        <v>55</v>
      </c>
      <c r="B44" s="2">
        <v>46057</v>
      </c>
      <c r="C44" s="2">
        <v>46064</v>
      </c>
      <c r="D44" t="s">
        <v>824</v>
      </c>
      <c r="E44" t="s">
        <v>1513</v>
      </c>
      <c r="F44" t="s">
        <v>1518</v>
      </c>
      <c r="G44" t="s">
        <v>1521</v>
      </c>
      <c r="H44" t="s">
        <v>1528</v>
      </c>
      <c r="I44" t="s">
        <v>1574</v>
      </c>
      <c r="J44">
        <v>4870.49</v>
      </c>
      <c r="K44">
        <v>3</v>
      </c>
      <c r="L44">
        <v>0.05</v>
      </c>
      <c r="M44">
        <v>1341.98</v>
      </c>
    </row>
    <row r="45" spans="1:13" x14ac:dyDescent="0.3">
      <c r="A45" t="s">
        <v>56</v>
      </c>
      <c r="B45" s="2">
        <v>45839</v>
      </c>
      <c r="C45" s="2">
        <v>45845</v>
      </c>
      <c r="D45" t="s">
        <v>825</v>
      </c>
      <c r="E45" t="s">
        <v>1513</v>
      </c>
      <c r="F45" t="s">
        <v>1519</v>
      </c>
      <c r="G45" t="s">
        <v>1522</v>
      </c>
      <c r="H45" t="s">
        <v>1531</v>
      </c>
      <c r="I45" t="s">
        <v>1575</v>
      </c>
      <c r="J45">
        <v>3922.81</v>
      </c>
      <c r="K45">
        <v>7</v>
      </c>
      <c r="M45">
        <v>1079.7</v>
      </c>
    </row>
    <row r="46" spans="1:13" x14ac:dyDescent="0.3">
      <c r="A46" t="s">
        <v>57</v>
      </c>
      <c r="B46" s="2">
        <v>45549</v>
      </c>
      <c r="C46" s="2">
        <v>45551</v>
      </c>
      <c r="D46" t="s">
        <v>826</v>
      </c>
      <c r="E46" t="s">
        <v>1514</v>
      </c>
      <c r="F46" t="s">
        <v>1519</v>
      </c>
      <c r="G46" t="s">
        <v>1522</v>
      </c>
      <c r="H46" t="s">
        <v>1527</v>
      </c>
      <c r="I46" t="s">
        <v>1576</v>
      </c>
      <c r="J46">
        <v>1943.58</v>
      </c>
      <c r="K46">
        <v>1</v>
      </c>
      <c r="L46">
        <v>0.15</v>
      </c>
      <c r="M46">
        <v>-150.94</v>
      </c>
    </row>
    <row r="47" spans="1:13" x14ac:dyDescent="0.3">
      <c r="A47" t="s">
        <v>58</v>
      </c>
      <c r="B47" s="2">
        <v>45230</v>
      </c>
      <c r="C47" s="2">
        <v>45234</v>
      </c>
      <c r="D47" t="s">
        <v>827</v>
      </c>
      <c r="E47" t="s">
        <v>1513</v>
      </c>
      <c r="F47" t="s">
        <v>1519</v>
      </c>
      <c r="G47" t="s">
        <v>1521</v>
      </c>
      <c r="H47" t="s">
        <v>1530</v>
      </c>
      <c r="I47" t="s">
        <v>1577</v>
      </c>
      <c r="J47">
        <v>167.14</v>
      </c>
      <c r="K47">
        <v>4</v>
      </c>
      <c r="L47">
        <v>0.15</v>
      </c>
      <c r="M47">
        <v>-3.25</v>
      </c>
    </row>
    <row r="48" spans="1:13" x14ac:dyDescent="0.3">
      <c r="A48" t="s">
        <v>59</v>
      </c>
      <c r="B48" s="2">
        <v>45757</v>
      </c>
      <c r="C48" s="2">
        <v>45766</v>
      </c>
      <c r="D48" t="s">
        <v>828</v>
      </c>
      <c r="E48" t="s">
        <v>1513</v>
      </c>
      <c r="F48" t="s">
        <v>1519</v>
      </c>
      <c r="G48" t="s">
        <v>1521</v>
      </c>
      <c r="H48" t="s">
        <v>1528</v>
      </c>
      <c r="I48" t="s">
        <v>1578</v>
      </c>
      <c r="J48">
        <v>2028.41</v>
      </c>
      <c r="K48">
        <v>9</v>
      </c>
      <c r="L48">
        <v>0.1</v>
      </c>
      <c r="M48">
        <v>642.15</v>
      </c>
    </row>
    <row r="49" spans="1:13" x14ac:dyDescent="0.3">
      <c r="A49" t="s">
        <v>60</v>
      </c>
      <c r="B49" s="2">
        <v>45409</v>
      </c>
      <c r="C49" s="2">
        <v>45414</v>
      </c>
      <c r="D49" t="s">
        <v>829</v>
      </c>
      <c r="E49" t="s">
        <v>1514</v>
      </c>
      <c r="F49" t="s">
        <v>1518</v>
      </c>
      <c r="G49" t="s">
        <v>1522</v>
      </c>
      <c r="H49" t="s">
        <v>1527</v>
      </c>
      <c r="I49" t="s">
        <v>1579</v>
      </c>
      <c r="J49">
        <v>239.37</v>
      </c>
      <c r="K49">
        <v>10</v>
      </c>
      <c r="L49">
        <v>0.15</v>
      </c>
      <c r="M49">
        <v>-2.36</v>
      </c>
    </row>
    <row r="50" spans="1:13" x14ac:dyDescent="0.3">
      <c r="A50" t="s">
        <v>61</v>
      </c>
      <c r="B50" s="2">
        <v>46007</v>
      </c>
      <c r="C50" s="2">
        <v>46009</v>
      </c>
      <c r="D50" t="s">
        <v>830</v>
      </c>
      <c r="E50" t="s">
        <v>1515</v>
      </c>
      <c r="F50" t="s">
        <v>1518</v>
      </c>
      <c r="G50" t="s">
        <v>1520</v>
      </c>
      <c r="H50" t="s">
        <v>1525</v>
      </c>
      <c r="I50" t="s">
        <v>1580</v>
      </c>
      <c r="J50">
        <v>1956.72</v>
      </c>
      <c r="K50">
        <v>10</v>
      </c>
      <c r="L50">
        <v>0.05</v>
      </c>
      <c r="M50">
        <v>-117.21</v>
      </c>
    </row>
    <row r="51" spans="1:13" x14ac:dyDescent="0.3">
      <c r="A51" t="s">
        <v>62</v>
      </c>
      <c r="B51" s="2">
        <v>45715</v>
      </c>
      <c r="C51" s="2">
        <v>45724</v>
      </c>
      <c r="D51" t="s">
        <v>831</v>
      </c>
      <c r="E51" t="s">
        <v>1515</v>
      </c>
      <c r="F51" t="s">
        <v>1519</v>
      </c>
      <c r="G51" t="s">
        <v>1522</v>
      </c>
      <c r="H51" t="s">
        <v>1527</v>
      </c>
      <c r="I51" t="s">
        <v>1581</v>
      </c>
      <c r="J51">
        <v>3449.94</v>
      </c>
      <c r="K51">
        <v>4</v>
      </c>
      <c r="L51">
        <v>0.1</v>
      </c>
      <c r="M51">
        <v>128.38</v>
      </c>
    </row>
    <row r="52" spans="1:13" x14ac:dyDescent="0.3">
      <c r="A52" t="s">
        <v>63</v>
      </c>
      <c r="B52" s="2">
        <v>45385</v>
      </c>
      <c r="C52" s="2">
        <v>45387</v>
      </c>
      <c r="D52" t="s">
        <v>832</v>
      </c>
      <c r="E52" t="s">
        <v>1514</v>
      </c>
      <c r="F52" t="s">
        <v>1519</v>
      </c>
      <c r="G52" t="s">
        <v>1520</v>
      </c>
      <c r="H52" t="s">
        <v>1524</v>
      </c>
      <c r="I52" t="s">
        <v>1582</v>
      </c>
      <c r="J52">
        <v>3612.78</v>
      </c>
      <c r="K52">
        <v>5</v>
      </c>
      <c r="L52">
        <v>0.2</v>
      </c>
      <c r="M52">
        <v>-108</v>
      </c>
    </row>
    <row r="53" spans="1:13" x14ac:dyDescent="0.3">
      <c r="A53" t="s">
        <v>64</v>
      </c>
      <c r="B53" s="2">
        <v>45830</v>
      </c>
      <c r="C53" s="2">
        <v>45835</v>
      </c>
      <c r="D53" t="s">
        <v>833</v>
      </c>
      <c r="E53" t="s">
        <v>1514</v>
      </c>
      <c r="F53" t="s">
        <v>1517</v>
      </c>
      <c r="G53" t="s">
        <v>1521</v>
      </c>
      <c r="H53" t="s">
        <v>1528</v>
      </c>
      <c r="I53" t="s">
        <v>1583</v>
      </c>
      <c r="J53">
        <v>2794.34</v>
      </c>
      <c r="K53">
        <v>4</v>
      </c>
      <c r="L53">
        <v>0.15</v>
      </c>
      <c r="M53">
        <v>463.05</v>
      </c>
    </row>
    <row r="54" spans="1:13" x14ac:dyDescent="0.3">
      <c r="A54" t="s">
        <v>65</v>
      </c>
      <c r="B54" t="s">
        <v>764</v>
      </c>
      <c r="C54" s="2">
        <v>45320</v>
      </c>
      <c r="D54" t="s">
        <v>834</v>
      </c>
      <c r="E54" t="s">
        <v>1514</v>
      </c>
      <c r="F54" t="s">
        <v>1519</v>
      </c>
      <c r="G54" t="s">
        <v>1520</v>
      </c>
      <c r="H54" t="s">
        <v>1525</v>
      </c>
      <c r="I54" t="s">
        <v>1584</v>
      </c>
      <c r="J54">
        <v>2060.0700000000002</v>
      </c>
      <c r="K54">
        <v>1</v>
      </c>
      <c r="L54">
        <v>0.1</v>
      </c>
      <c r="M54">
        <v>-86.93</v>
      </c>
    </row>
    <row r="55" spans="1:13" x14ac:dyDescent="0.3">
      <c r="A55" t="s">
        <v>66</v>
      </c>
      <c r="B55" s="2">
        <v>45939</v>
      </c>
      <c r="C55" s="2">
        <v>45947</v>
      </c>
      <c r="D55" t="s">
        <v>835</v>
      </c>
      <c r="E55" t="s">
        <v>1515</v>
      </c>
      <c r="F55" t="s">
        <v>1517</v>
      </c>
      <c r="G55" t="s">
        <v>1521</v>
      </c>
      <c r="H55" t="s">
        <v>1526</v>
      </c>
      <c r="I55" t="s">
        <v>1585</v>
      </c>
      <c r="J55">
        <v>3394.35</v>
      </c>
      <c r="K55">
        <v>9</v>
      </c>
      <c r="L55">
        <v>0.15</v>
      </c>
      <c r="M55">
        <v>802.95</v>
      </c>
    </row>
    <row r="56" spans="1:13" x14ac:dyDescent="0.3">
      <c r="A56" t="s">
        <v>67</v>
      </c>
      <c r="B56" s="2">
        <v>45720</v>
      </c>
      <c r="C56" s="2">
        <v>45725</v>
      </c>
      <c r="D56" t="s">
        <v>836</v>
      </c>
      <c r="E56" t="s">
        <v>1513</v>
      </c>
      <c r="F56" t="s">
        <v>1519</v>
      </c>
      <c r="G56" t="s">
        <v>1520</v>
      </c>
      <c r="H56" t="s">
        <v>1523</v>
      </c>
      <c r="I56" t="s">
        <v>1586</v>
      </c>
      <c r="J56">
        <v>2601.4899999999998</v>
      </c>
      <c r="K56">
        <v>10</v>
      </c>
      <c r="L56">
        <v>0.1</v>
      </c>
      <c r="M56">
        <v>-386.68</v>
      </c>
    </row>
    <row r="57" spans="1:13" x14ac:dyDescent="0.3">
      <c r="A57" t="s">
        <v>68</v>
      </c>
      <c r="B57" s="2">
        <v>45424</v>
      </c>
      <c r="C57" s="2">
        <v>45427</v>
      </c>
      <c r="D57" t="s">
        <v>837</v>
      </c>
      <c r="E57" t="s">
        <v>1513</v>
      </c>
      <c r="F57" t="s">
        <v>1518</v>
      </c>
      <c r="G57" t="s">
        <v>1522</v>
      </c>
      <c r="H57" t="s">
        <v>1531</v>
      </c>
      <c r="I57" t="s">
        <v>1587</v>
      </c>
      <c r="J57">
        <v>170.91</v>
      </c>
      <c r="K57">
        <v>4</v>
      </c>
      <c r="L57">
        <v>0.15</v>
      </c>
      <c r="M57">
        <v>23.28</v>
      </c>
    </row>
    <row r="58" spans="1:13" x14ac:dyDescent="0.3">
      <c r="A58" t="s">
        <v>69</v>
      </c>
      <c r="B58" s="2">
        <v>45773</v>
      </c>
      <c r="C58" s="2">
        <v>45783</v>
      </c>
      <c r="D58" t="s">
        <v>838</v>
      </c>
      <c r="E58" t="s">
        <v>1513</v>
      </c>
      <c r="F58" t="s">
        <v>1516</v>
      </c>
      <c r="G58" t="s">
        <v>1521</v>
      </c>
      <c r="H58" t="s">
        <v>1528</v>
      </c>
      <c r="I58" t="s">
        <v>1588</v>
      </c>
      <c r="J58">
        <v>1012.45</v>
      </c>
      <c r="K58">
        <v>7</v>
      </c>
      <c r="L58">
        <v>0.15</v>
      </c>
      <c r="M58">
        <v>20.059999999999999</v>
      </c>
    </row>
    <row r="59" spans="1:13" x14ac:dyDescent="0.3">
      <c r="A59" t="s">
        <v>70</v>
      </c>
      <c r="B59" s="2">
        <v>45366</v>
      </c>
      <c r="C59" s="2">
        <v>45370</v>
      </c>
      <c r="D59" t="s">
        <v>839</v>
      </c>
      <c r="E59" t="s">
        <v>1513</v>
      </c>
      <c r="F59" t="s">
        <v>1516</v>
      </c>
      <c r="G59" t="s">
        <v>1522</v>
      </c>
      <c r="H59" t="s">
        <v>1529</v>
      </c>
      <c r="I59" t="s">
        <v>1589</v>
      </c>
      <c r="J59">
        <v>920.64</v>
      </c>
      <c r="K59">
        <v>9</v>
      </c>
      <c r="L59">
        <v>0.15</v>
      </c>
      <c r="M59">
        <v>-158.69999999999999</v>
      </c>
    </row>
    <row r="60" spans="1:13" x14ac:dyDescent="0.3">
      <c r="A60" t="s">
        <v>71</v>
      </c>
      <c r="B60" s="2">
        <v>45364</v>
      </c>
      <c r="C60" s="2">
        <v>45372</v>
      </c>
      <c r="D60" t="s">
        <v>840</v>
      </c>
      <c r="E60" t="s">
        <v>1514</v>
      </c>
      <c r="F60" t="s">
        <v>1518</v>
      </c>
      <c r="G60" t="s">
        <v>1521</v>
      </c>
      <c r="H60" t="s">
        <v>1530</v>
      </c>
      <c r="I60" t="s">
        <v>1590</v>
      </c>
      <c r="J60">
        <v>3354.51</v>
      </c>
      <c r="K60">
        <v>9</v>
      </c>
      <c r="L60">
        <v>0.2</v>
      </c>
      <c r="M60">
        <v>-85.49</v>
      </c>
    </row>
    <row r="61" spans="1:13" x14ac:dyDescent="0.3">
      <c r="A61" t="s">
        <v>72</v>
      </c>
      <c r="B61" s="2">
        <v>45861</v>
      </c>
      <c r="C61" s="2">
        <v>45864</v>
      </c>
      <c r="D61" t="s">
        <v>841</v>
      </c>
      <c r="E61" t="s">
        <v>1513</v>
      </c>
      <c r="F61" t="s">
        <v>1519</v>
      </c>
      <c r="G61" t="s">
        <v>1520</v>
      </c>
      <c r="H61" t="s">
        <v>1524</v>
      </c>
      <c r="I61" t="s">
        <v>1591</v>
      </c>
      <c r="J61">
        <v>3731.09</v>
      </c>
      <c r="K61">
        <v>8</v>
      </c>
      <c r="L61">
        <v>0.15</v>
      </c>
      <c r="M61">
        <v>-214.33</v>
      </c>
    </row>
    <row r="62" spans="1:13" x14ac:dyDescent="0.3">
      <c r="A62" t="s">
        <v>73</v>
      </c>
      <c r="B62" s="2">
        <v>45691</v>
      </c>
      <c r="C62" s="2">
        <v>45695</v>
      </c>
      <c r="D62" t="s">
        <v>842</v>
      </c>
      <c r="E62" t="s">
        <v>1514</v>
      </c>
      <c r="F62" t="s">
        <v>1519</v>
      </c>
      <c r="G62" t="s">
        <v>1520</v>
      </c>
      <c r="H62" t="s">
        <v>1524</v>
      </c>
      <c r="I62" t="s">
        <v>1592</v>
      </c>
      <c r="J62">
        <v>1409.26</v>
      </c>
      <c r="K62">
        <v>2</v>
      </c>
      <c r="M62">
        <v>-60.39</v>
      </c>
    </row>
    <row r="63" spans="1:13" x14ac:dyDescent="0.3">
      <c r="A63" t="s">
        <v>74</v>
      </c>
      <c r="B63" s="2">
        <v>45190</v>
      </c>
      <c r="C63" s="2">
        <v>45192</v>
      </c>
      <c r="D63" t="s">
        <v>843</v>
      </c>
      <c r="E63" t="s">
        <v>1515</v>
      </c>
      <c r="F63" t="s">
        <v>1517</v>
      </c>
      <c r="G63" t="s">
        <v>1521</v>
      </c>
      <c r="H63" t="s">
        <v>1528</v>
      </c>
      <c r="I63" t="s">
        <v>1593</v>
      </c>
      <c r="J63">
        <v>734.95</v>
      </c>
      <c r="K63">
        <v>4</v>
      </c>
      <c r="L63">
        <v>0.15</v>
      </c>
      <c r="M63">
        <v>133.52000000000001</v>
      </c>
    </row>
    <row r="64" spans="1:13" x14ac:dyDescent="0.3">
      <c r="A64" t="s">
        <v>75</v>
      </c>
      <c r="B64" s="2">
        <v>45390</v>
      </c>
      <c r="C64" s="2">
        <v>45397</v>
      </c>
      <c r="D64" t="s">
        <v>844</v>
      </c>
      <c r="E64" t="s">
        <v>1514</v>
      </c>
      <c r="F64" t="s">
        <v>1518</v>
      </c>
      <c r="G64" t="s">
        <v>1522</v>
      </c>
      <c r="H64" t="s">
        <v>1529</v>
      </c>
      <c r="I64" t="s">
        <v>1594</v>
      </c>
      <c r="J64">
        <v>1687.86</v>
      </c>
      <c r="K64">
        <v>8</v>
      </c>
      <c r="L64">
        <v>0.15</v>
      </c>
      <c r="M64">
        <v>-279.77</v>
      </c>
    </row>
    <row r="65" spans="1:13" x14ac:dyDescent="0.3">
      <c r="A65" t="s">
        <v>76</v>
      </c>
      <c r="B65" s="2">
        <v>45373</v>
      </c>
      <c r="C65" s="2">
        <v>45374</v>
      </c>
      <c r="D65" t="s">
        <v>845</v>
      </c>
      <c r="E65" t="s">
        <v>1514</v>
      </c>
      <c r="F65" t="s">
        <v>1519</v>
      </c>
      <c r="G65" t="s">
        <v>1520</v>
      </c>
      <c r="H65" t="s">
        <v>1525</v>
      </c>
      <c r="I65" t="s">
        <v>1595</v>
      </c>
      <c r="J65">
        <v>4290.82</v>
      </c>
      <c r="K65">
        <v>10</v>
      </c>
      <c r="L65">
        <v>0.15</v>
      </c>
      <c r="M65">
        <v>267.48</v>
      </c>
    </row>
    <row r="66" spans="1:13" x14ac:dyDescent="0.3">
      <c r="A66" t="s">
        <v>77</v>
      </c>
      <c r="B66" s="2">
        <v>46122</v>
      </c>
      <c r="C66" s="2">
        <v>46131</v>
      </c>
      <c r="D66" t="s">
        <v>846</v>
      </c>
      <c r="E66" t="s">
        <v>1514</v>
      </c>
      <c r="F66" t="s">
        <v>1517</v>
      </c>
      <c r="G66" t="s">
        <v>1521</v>
      </c>
      <c r="H66" t="s">
        <v>1526</v>
      </c>
      <c r="I66" t="s">
        <v>1596</v>
      </c>
      <c r="J66">
        <v>3750.2</v>
      </c>
      <c r="K66">
        <v>9</v>
      </c>
      <c r="L66">
        <v>0.2</v>
      </c>
      <c r="M66">
        <v>1101.79</v>
      </c>
    </row>
    <row r="67" spans="1:13" x14ac:dyDescent="0.3">
      <c r="A67" t="s">
        <v>78</v>
      </c>
      <c r="B67" s="2">
        <v>45482</v>
      </c>
      <c r="C67" s="2">
        <v>45490</v>
      </c>
      <c r="D67" t="s">
        <v>847</v>
      </c>
      <c r="E67" t="s">
        <v>1514</v>
      </c>
      <c r="F67" t="s">
        <v>1517</v>
      </c>
      <c r="G67" t="s">
        <v>1521</v>
      </c>
      <c r="H67" t="s">
        <v>1526</v>
      </c>
      <c r="I67" t="s">
        <v>1597</v>
      </c>
      <c r="J67">
        <v>193.67</v>
      </c>
      <c r="K67">
        <v>6</v>
      </c>
      <c r="M67">
        <v>33.61</v>
      </c>
    </row>
    <row r="68" spans="1:13" x14ac:dyDescent="0.3">
      <c r="A68" t="s">
        <v>79</v>
      </c>
      <c r="B68" s="2">
        <v>45134</v>
      </c>
      <c r="C68" s="2">
        <v>45144</v>
      </c>
      <c r="D68" t="s">
        <v>848</v>
      </c>
      <c r="E68" t="s">
        <v>1513</v>
      </c>
      <c r="F68" t="s">
        <v>1516</v>
      </c>
      <c r="G68" t="s">
        <v>1521</v>
      </c>
      <c r="H68" t="s">
        <v>1530</v>
      </c>
      <c r="I68" t="s">
        <v>1598</v>
      </c>
      <c r="J68">
        <v>2693.91</v>
      </c>
      <c r="K68">
        <v>7</v>
      </c>
      <c r="L68">
        <v>0.2</v>
      </c>
      <c r="M68">
        <v>297.45</v>
      </c>
    </row>
    <row r="69" spans="1:13" x14ac:dyDescent="0.3">
      <c r="A69" t="s">
        <v>80</v>
      </c>
      <c r="B69" s="2">
        <v>46123</v>
      </c>
      <c r="C69" s="2">
        <v>46126</v>
      </c>
      <c r="D69" t="s">
        <v>849</v>
      </c>
      <c r="E69" t="s">
        <v>1514</v>
      </c>
      <c r="F69" t="s">
        <v>1517</v>
      </c>
      <c r="G69" t="s">
        <v>1520</v>
      </c>
      <c r="H69" t="s">
        <v>1524</v>
      </c>
      <c r="I69" t="s">
        <v>1599</v>
      </c>
      <c r="J69">
        <v>4340.91</v>
      </c>
      <c r="K69">
        <v>3</v>
      </c>
      <c r="L69">
        <v>0</v>
      </c>
      <c r="M69">
        <v>-247.06</v>
      </c>
    </row>
    <row r="70" spans="1:13" x14ac:dyDescent="0.3">
      <c r="A70" t="s">
        <v>81</v>
      </c>
      <c r="B70" s="2">
        <v>45148</v>
      </c>
      <c r="C70" s="2">
        <v>45154</v>
      </c>
      <c r="D70" t="s">
        <v>850</v>
      </c>
      <c r="E70" t="s">
        <v>1514</v>
      </c>
      <c r="F70" t="s">
        <v>1519</v>
      </c>
      <c r="G70" t="s">
        <v>1521</v>
      </c>
      <c r="H70" t="s">
        <v>1526</v>
      </c>
      <c r="I70" t="s">
        <v>1600</v>
      </c>
      <c r="J70">
        <v>3818.09</v>
      </c>
      <c r="K70">
        <v>7</v>
      </c>
      <c r="L70">
        <v>0.1</v>
      </c>
      <c r="M70">
        <v>815.56</v>
      </c>
    </row>
    <row r="71" spans="1:13" x14ac:dyDescent="0.3">
      <c r="A71" t="s">
        <v>82</v>
      </c>
      <c r="B71" s="2">
        <v>45993</v>
      </c>
      <c r="C71" s="2">
        <v>45994</v>
      </c>
      <c r="D71" t="s">
        <v>851</v>
      </c>
      <c r="E71" t="s">
        <v>1513</v>
      </c>
      <c r="F71" t="s">
        <v>1516</v>
      </c>
      <c r="G71" t="s">
        <v>1522</v>
      </c>
      <c r="H71" t="s">
        <v>1529</v>
      </c>
      <c r="I71" t="s">
        <v>1601</v>
      </c>
      <c r="J71">
        <v>3757.67</v>
      </c>
      <c r="K71">
        <v>1</v>
      </c>
      <c r="L71">
        <v>0.1</v>
      </c>
      <c r="M71">
        <v>-288.13</v>
      </c>
    </row>
    <row r="72" spans="1:13" x14ac:dyDescent="0.3">
      <c r="A72" t="s">
        <v>83</v>
      </c>
      <c r="B72" s="2">
        <v>45264</v>
      </c>
      <c r="C72" s="2">
        <v>45268</v>
      </c>
      <c r="D72" t="s">
        <v>852</v>
      </c>
      <c r="E72" t="s">
        <v>1514</v>
      </c>
      <c r="F72" t="s">
        <v>1516</v>
      </c>
      <c r="G72" t="s">
        <v>1522</v>
      </c>
      <c r="H72" t="s">
        <v>1531</v>
      </c>
      <c r="I72" t="s">
        <v>1602</v>
      </c>
      <c r="J72">
        <v>4204.18</v>
      </c>
      <c r="K72">
        <v>10</v>
      </c>
      <c r="L72">
        <v>0.05</v>
      </c>
      <c r="M72">
        <v>-289.25</v>
      </c>
    </row>
    <row r="73" spans="1:13" x14ac:dyDescent="0.3">
      <c r="A73" t="s">
        <v>84</v>
      </c>
      <c r="B73" s="2">
        <v>45102</v>
      </c>
      <c r="C73" s="2">
        <v>45110</v>
      </c>
      <c r="D73" t="s">
        <v>853</v>
      </c>
      <c r="E73" t="s">
        <v>1515</v>
      </c>
      <c r="F73" t="s">
        <v>1516</v>
      </c>
      <c r="G73" t="s">
        <v>1520</v>
      </c>
      <c r="H73" t="s">
        <v>1523</v>
      </c>
      <c r="I73" t="s">
        <v>1603</v>
      </c>
      <c r="J73">
        <v>3512.35</v>
      </c>
      <c r="K73">
        <v>6</v>
      </c>
      <c r="L73">
        <v>0.05</v>
      </c>
      <c r="M73">
        <v>467.99</v>
      </c>
    </row>
    <row r="74" spans="1:13" x14ac:dyDescent="0.3">
      <c r="A74" t="s">
        <v>85</v>
      </c>
      <c r="B74" s="2">
        <v>45081</v>
      </c>
      <c r="C74" s="2">
        <v>45083</v>
      </c>
      <c r="D74" t="s">
        <v>854</v>
      </c>
      <c r="E74" t="s">
        <v>1514</v>
      </c>
      <c r="F74" t="s">
        <v>1518</v>
      </c>
      <c r="G74" t="s">
        <v>1522</v>
      </c>
      <c r="H74" t="s">
        <v>1529</v>
      </c>
      <c r="I74" t="s">
        <v>1604</v>
      </c>
      <c r="J74">
        <v>2914.49</v>
      </c>
      <c r="K74">
        <v>5</v>
      </c>
      <c r="L74">
        <v>0.2</v>
      </c>
      <c r="M74">
        <v>502.87</v>
      </c>
    </row>
    <row r="75" spans="1:13" x14ac:dyDescent="0.3">
      <c r="A75" t="s">
        <v>86</v>
      </c>
      <c r="B75" s="2">
        <v>45992</v>
      </c>
      <c r="C75" s="2">
        <v>45994</v>
      </c>
      <c r="D75" t="s">
        <v>855</v>
      </c>
      <c r="E75" t="s">
        <v>1514</v>
      </c>
      <c r="F75" t="s">
        <v>1516</v>
      </c>
      <c r="G75" t="s">
        <v>1520</v>
      </c>
      <c r="H75" t="s">
        <v>1523</v>
      </c>
      <c r="I75" t="s">
        <v>1605</v>
      </c>
      <c r="J75">
        <v>2980.88</v>
      </c>
      <c r="K75">
        <v>4</v>
      </c>
      <c r="L75">
        <v>0</v>
      </c>
      <c r="M75">
        <v>546.86</v>
      </c>
    </row>
    <row r="76" spans="1:13" x14ac:dyDescent="0.3">
      <c r="A76" t="s">
        <v>87</v>
      </c>
      <c r="B76" s="2">
        <v>45071</v>
      </c>
      <c r="C76" s="2">
        <v>45077</v>
      </c>
      <c r="D76" t="s">
        <v>856</v>
      </c>
      <c r="E76" t="s">
        <v>1514</v>
      </c>
      <c r="F76" t="s">
        <v>1516</v>
      </c>
      <c r="G76" t="s">
        <v>1520</v>
      </c>
      <c r="H76" t="s">
        <v>1523</v>
      </c>
      <c r="I76" t="s">
        <v>1606</v>
      </c>
      <c r="J76">
        <v>2687.09</v>
      </c>
      <c r="K76">
        <v>6</v>
      </c>
      <c r="L76">
        <v>0</v>
      </c>
      <c r="M76">
        <v>210.34</v>
      </c>
    </row>
    <row r="77" spans="1:13" x14ac:dyDescent="0.3">
      <c r="A77" t="s">
        <v>88</v>
      </c>
      <c r="B77" s="2">
        <v>45370</v>
      </c>
      <c r="C77" s="2">
        <v>45372</v>
      </c>
      <c r="D77" t="s">
        <v>857</v>
      </c>
      <c r="E77" t="s">
        <v>1514</v>
      </c>
      <c r="F77" t="s">
        <v>1517</v>
      </c>
      <c r="G77" t="s">
        <v>1521</v>
      </c>
      <c r="H77" t="s">
        <v>1526</v>
      </c>
      <c r="I77" t="s">
        <v>1607</v>
      </c>
      <c r="J77">
        <v>2195.94</v>
      </c>
      <c r="K77">
        <v>6</v>
      </c>
      <c r="M77">
        <v>637.63</v>
      </c>
    </row>
    <row r="78" spans="1:13" x14ac:dyDescent="0.3">
      <c r="A78" t="s">
        <v>89</v>
      </c>
      <c r="B78" t="s">
        <v>765</v>
      </c>
      <c r="C78" s="2">
        <v>45195</v>
      </c>
      <c r="D78" t="s">
        <v>858</v>
      </c>
      <c r="E78" t="s">
        <v>1515</v>
      </c>
      <c r="F78" t="s">
        <v>1518</v>
      </c>
      <c r="G78" t="s">
        <v>1521</v>
      </c>
      <c r="H78" t="s">
        <v>1530</v>
      </c>
      <c r="I78" t="s">
        <v>1608</v>
      </c>
      <c r="J78">
        <v>4829.09</v>
      </c>
      <c r="K78">
        <v>5</v>
      </c>
      <c r="L78">
        <v>0.2</v>
      </c>
      <c r="M78">
        <v>1180.76</v>
      </c>
    </row>
    <row r="79" spans="1:13" x14ac:dyDescent="0.3">
      <c r="A79" t="s">
        <v>90</v>
      </c>
      <c r="B79" s="2">
        <v>45614</v>
      </c>
      <c r="C79" s="2">
        <v>45624</v>
      </c>
      <c r="D79" t="s">
        <v>859</v>
      </c>
      <c r="E79" t="s">
        <v>1514</v>
      </c>
      <c r="F79" t="s">
        <v>1517</v>
      </c>
      <c r="G79" t="s">
        <v>1521</v>
      </c>
      <c r="H79" t="s">
        <v>1526</v>
      </c>
      <c r="I79" t="s">
        <v>1609</v>
      </c>
      <c r="J79">
        <v>1378.56</v>
      </c>
      <c r="K79">
        <v>4</v>
      </c>
      <c r="L79">
        <v>0</v>
      </c>
      <c r="M79">
        <v>-64.23</v>
      </c>
    </row>
    <row r="80" spans="1:13" x14ac:dyDescent="0.3">
      <c r="A80" t="s">
        <v>91</v>
      </c>
      <c r="B80" s="2">
        <v>45551</v>
      </c>
      <c r="C80" s="2">
        <v>45561</v>
      </c>
      <c r="D80" t="s">
        <v>860</v>
      </c>
      <c r="E80" t="s">
        <v>1514</v>
      </c>
      <c r="F80" t="s">
        <v>1517</v>
      </c>
      <c r="G80" t="s">
        <v>1521</v>
      </c>
      <c r="H80" t="s">
        <v>1528</v>
      </c>
      <c r="I80" t="s">
        <v>1610</v>
      </c>
      <c r="J80">
        <v>3357.53</v>
      </c>
      <c r="K80">
        <v>6</v>
      </c>
      <c r="L80">
        <v>0</v>
      </c>
      <c r="M80">
        <v>241.3</v>
      </c>
    </row>
    <row r="81" spans="1:13" x14ac:dyDescent="0.3">
      <c r="A81" t="s">
        <v>92</v>
      </c>
      <c r="B81" s="2">
        <v>45485</v>
      </c>
      <c r="C81" s="2">
        <v>45491</v>
      </c>
      <c r="D81" t="s">
        <v>861</v>
      </c>
      <c r="E81" t="s">
        <v>1515</v>
      </c>
      <c r="F81" t="s">
        <v>1519</v>
      </c>
      <c r="G81" t="s">
        <v>1521</v>
      </c>
      <c r="H81" t="s">
        <v>1530</v>
      </c>
      <c r="I81" t="s">
        <v>1611</v>
      </c>
      <c r="J81">
        <v>3999.27</v>
      </c>
      <c r="K81">
        <v>6</v>
      </c>
      <c r="L81">
        <v>0.1</v>
      </c>
      <c r="M81">
        <v>1136.5</v>
      </c>
    </row>
    <row r="82" spans="1:13" x14ac:dyDescent="0.3">
      <c r="A82" t="s">
        <v>93</v>
      </c>
      <c r="B82" s="2">
        <v>45493</v>
      </c>
      <c r="C82" s="2">
        <v>45502</v>
      </c>
      <c r="D82" t="s">
        <v>862</v>
      </c>
      <c r="E82" t="s">
        <v>1514</v>
      </c>
      <c r="F82" t="s">
        <v>1517</v>
      </c>
      <c r="G82" t="s">
        <v>1520</v>
      </c>
      <c r="H82" t="s">
        <v>1523</v>
      </c>
      <c r="I82" t="s">
        <v>1612</v>
      </c>
      <c r="J82">
        <v>4742.91</v>
      </c>
      <c r="K82">
        <v>2</v>
      </c>
      <c r="L82">
        <v>0.05</v>
      </c>
      <c r="M82">
        <v>929.81</v>
      </c>
    </row>
    <row r="83" spans="1:13" x14ac:dyDescent="0.3">
      <c r="A83" t="s">
        <v>94</v>
      </c>
      <c r="B83" s="2">
        <v>45411</v>
      </c>
      <c r="C83" s="2">
        <v>45419</v>
      </c>
      <c r="D83" t="s">
        <v>863</v>
      </c>
      <c r="E83" t="s">
        <v>1514</v>
      </c>
      <c r="F83" t="s">
        <v>1517</v>
      </c>
      <c r="G83" t="s">
        <v>1520</v>
      </c>
      <c r="H83" t="s">
        <v>1524</v>
      </c>
      <c r="I83" t="s">
        <v>1613</v>
      </c>
      <c r="J83">
        <v>2268.46</v>
      </c>
      <c r="K83">
        <v>1</v>
      </c>
      <c r="L83">
        <v>0</v>
      </c>
      <c r="M83">
        <v>-86.59</v>
      </c>
    </row>
    <row r="84" spans="1:13" x14ac:dyDescent="0.3">
      <c r="A84" t="s">
        <v>95</v>
      </c>
      <c r="B84" s="2">
        <v>45827</v>
      </c>
      <c r="C84" s="2">
        <v>45837</v>
      </c>
      <c r="D84" t="s">
        <v>864</v>
      </c>
      <c r="E84" t="s">
        <v>1515</v>
      </c>
      <c r="F84" t="s">
        <v>1519</v>
      </c>
      <c r="G84" t="s">
        <v>1521</v>
      </c>
      <c r="H84" t="s">
        <v>1528</v>
      </c>
      <c r="I84" t="s">
        <v>1614</v>
      </c>
      <c r="J84">
        <v>1876.65</v>
      </c>
      <c r="K84">
        <v>9</v>
      </c>
      <c r="L84">
        <v>0.2</v>
      </c>
      <c r="M84">
        <v>-20.52</v>
      </c>
    </row>
    <row r="85" spans="1:13" x14ac:dyDescent="0.3">
      <c r="A85" t="s">
        <v>96</v>
      </c>
      <c r="B85" s="2">
        <v>45676</v>
      </c>
      <c r="C85" s="2">
        <v>45684</v>
      </c>
      <c r="D85" t="s">
        <v>865</v>
      </c>
      <c r="E85" t="s">
        <v>1513</v>
      </c>
      <c r="F85" t="s">
        <v>1519</v>
      </c>
      <c r="G85" t="s">
        <v>1521</v>
      </c>
      <c r="H85" t="s">
        <v>1528</v>
      </c>
      <c r="I85" t="s">
        <v>1615</v>
      </c>
      <c r="J85">
        <v>1391.04</v>
      </c>
      <c r="K85">
        <v>5</v>
      </c>
      <c r="L85">
        <v>0.05</v>
      </c>
      <c r="M85">
        <v>-185.9</v>
      </c>
    </row>
    <row r="86" spans="1:13" x14ac:dyDescent="0.3">
      <c r="A86" t="s">
        <v>97</v>
      </c>
      <c r="B86" s="2">
        <v>45138</v>
      </c>
      <c r="C86" s="2">
        <v>45147</v>
      </c>
      <c r="D86" t="s">
        <v>866</v>
      </c>
      <c r="E86" t="s">
        <v>1514</v>
      </c>
      <c r="F86" t="s">
        <v>1519</v>
      </c>
      <c r="G86" t="s">
        <v>1522</v>
      </c>
      <c r="H86" t="s">
        <v>1527</v>
      </c>
      <c r="I86" t="s">
        <v>1616</v>
      </c>
      <c r="J86">
        <v>4756.84</v>
      </c>
      <c r="K86">
        <v>3</v>
      </c>
      <c r="L86">
        <v>0.05</v>
      </c>
      <c r="M86">
        <v>-385.25</v>
      </c>
    </row>
    <row r="87" spans="1:13" x14ac:dyDescent="0.3">
      <c r="A87" t="s">
        <v>98</v>
      </c>
      <c r="B87" s="2">
        <v>45760</v>
      </c>
      <c r="C87" s="2">
        <v>45769</v>
      </c>
      <c r="D87" t="s">
        <v>867</v>
      </c>
      <c r="E87" t="s">
        <v>1514</v>
      </c>
      <c r="F87" t="s">
        <v>1517</v>
      </c>
      <c r="G87" t="s">
        <v>1520</v>
      </c>
      <c r="H87" t="s">
        <v>1525</v>
      </c>
      <c r="I87" t="s">
        <v>1617</v>
      </c>
      <c r="J87">
        <v>3004.11</v>
      </c>
      <c r="K87">
        <v>2</v>
      </c>
      <c r="L87">
        <v>0.05</v>
      </c>
      <c r="M87">
        <v>-111.35</v>
      </c>
    </row>
    <row r="88" spans="1:13" x14ac:dyDescent="0.3">
      <c r="A88" t="s">
        <v>99</v>
      </c>
      <c r="B88" s="2">
        <v>45796</v>
      </c>
      <c r="C88" s="2">
        <v>45805</v>
      </c>
      <c r="D88" t="s">
        <v>868</v>
      </c>
      <c r="E88" t="s">
        <v>1515</v>
      </c>
      <c r="F88" t="s">
        <v>1517</v>
      </c>
      <c r="G88" t="s">
        <v>1521</v>
      </c>
      <c r="H88" t="s">
        <v>1530</v>
      </c>
      <c r="I88" t="s">
        <v>1618</v>
      </c>
      <c r="J88">
        <v>676.59</v>
      </c>
      <c r="K88">
        <v>1</v>
      </c>
      <c r="L88">
        <v>0</v>
      </c>
      <c r="M88">
        <v>70.599999999999994</v>
      </c>
    </row>
    <row r="89" spans="1:13" x14ac:dyDescent="0.3">
      <c r="A89" t="s">
        <v>100</v>
      </c>
      <c r="B89" s="2">
        <v>46021</v>
      </c>
      <c r="C89" s="2">
        <v>46023</v>
      </c>
      <c r="D89" t="s">
        <v>869</v>
      </c>
      <c r="E89" t="s">
        <v>1514</v>
      </c>
      <c r="F89" t="s">
        <v>1519</v>
      </c>
      <c r="G89" t="s">
        <v>1520</v>
      </c>
      <c r="H89" t="s">
        <v>1524</v>
      </c>
      <c r="I89" t="s">
        <v>1619</v>
      </c>
      <c r="J89">
        <v>4369.96</v>
      </c>
      <c r="K89">
        <v>10</v>
      </c>
      <c r="L89">
        <v>0.1</v>
      </c>
      <c r="M89">
        <v>254.19</v>
      </c>
    </row>
    <row r="90" spans="1:13" x14ac:dyDescent="0.3">
      <c r="A90" t="s">
        <v>101</v>
      </c>
      <c r="B90" s="2">
        <v>45878</v>
      </c>
      <c r="C90" s="2">
        <v>45883</v>
      </c>
      <c r="D90" t="s">
        <v>870</v>
      </c>
      <c r="E90" t="s">
        <v>1514</v>
      </c>
      <c r="F90" t="s">
        <v>1518</v>
      </c>
      <c r="G90" t="s">
        <v>1522</v>
      </c>
      <c r="H90" t="s">
        <v>1531</v>
      </c>
      <c r="I90" t="s">
        <v>1620</v>
      </c>
      <c r="J90">
        <v>4708.26</v>
      </c>
      <c r="K90">
        <v>8</v>
      </c>
      <c r="L90">
        <v>0</v>
      </c>
      <c r="M90">
        <v>1187.25</v>
      </c>
    </row>
    <row r="91" spans="1:13" x14ac:dyDescent="0.3">
      <c r="A91" t="s">
        <v>102</v>
      </c>
      <c r="B91" s="2">
        <v>45423</v>
      </c>
      <c r="C91" s="2">
        <v>45424</v>
      </c>
      <c r="D91" t="s">
        <v>871</v>
      </c>
      <c r="E91" t="s">
        <v>1513</v>
      </c>
      <c r="F91" t="s">
        <v>1516</v>
      </c>
      <c r="G91" t="s">
        <v>1522</v>
      </c>
      <c r="H91" t="s">
        <v>1527</v>
      </c>
      <c r="I91" t="s">
        <v>1621</v>
      </c>
      <c r="J91">
        <v>801.05</v>
      </c>
      <c r="K91">
        <v>10</v>
      </c>
      <c r="L91">
        <v>0.1</v>
      </c>
      <c r="M91">
        <v>-122.68</v>
      </c>
    </row>
    <row r="92" spans="1:13" x14ac:dyDescent="0.3">
      <c r="A92" t="s">
        <v>103</v>
      </c>
      <c r="B92" s="2">
        <v>46054</v>
      </c>
      <c r="C92" s="2">
        <v>46064</v>
      </c>
      <c r="D92" t="s">
        <v>872</v>
      </c>
      <c r="E92" t="s">
        <v>1514</v>
      </c>
      <c r="F92" t="s">
        <v>1518</v>
      </c>
      <c r="G92" t="s">
        <v>1520</v>
      </c>
      <c r="H92" t="s">
        <v>1524</v>
      </c>
      <c r="I92" t="s">
        <v>1622</v>
      </c>
      <c r="J92">
        <v>3000.83</v>
      </c>
      <c r="K92">
        <v>10</v>
      </c>
      <c r="L92">
        <v>0.05</v>
      </c>
      <c r="M92">
        <v>680.08</v>
      </c>
    </row>
    <row r="93" spans="1:13" x14ac:dyDescent="0.3">
      <c r="A93" t="s">
        <v>104</v>
      </c>
      <c r="B93" s="2">
        <v>46066</v>
      </c>
      <c r="C93" s="2">
        <v>46076</v>
      </c>
      <c r="D93" t="s">
        <v>873</v>
      </c>
      <c r="E93" t="s">
        <v>1515</v>
      </c>
      <c r="F93" t="s">
        <v>1516</v>
      </c>
      <c r="G93" t="s">
        <v>1521</v>
      </c>
      <c r="H93" t="s">
        <v>1526</v>
      </c>
      <c r="I93" t="s">
        <v>1623</v>
      </c>
      <c r="J93">
        <v>4950.6499999999996</v>
      </c>
      <c r="K93">
        <v>5</v>
      </c>
      <c r="L93">
        <v>0.2</v>
      </c>
      <c r="M93">
        <v>700.84</v>
      </c>
    </row>
    <row r="94" spans="1:13" x14ac:dyDescent="0.3">
      <c r="A94" t="s">
        <v>105</v>
      </c>
      <c r="B94" s="2">
        <v>45815</v>
      </c>
      <c r="C94" s="2">
        <v>45819</v>
      </c>
      <c r="D94" t="s">
        <v>874</v>
      </c>
      <c r="E94" t="s">
        <v>1515</v>
      </c>
      <c r="F94" t="s">
        <v>1516</v>
      </c>
      <c r="G94" t="s">
        <v>1522</v>
      </c>
      <c r="H94" t="s">
        <v>1527</v>
      </c>
      <c r="I94" t="s">
        <v>1624</v>
      </c>
      <c r="J94">
        <v>1360</v>
      </c>
      <c r="K94">
        <v>2</v>
      </c>
      <c r="L94">
        <v>0.05</v>
      </c>
      <c r="M94">
        <v>-92.58</v>
      </c>
    </row>
    <row r="95" spans="1:13" x14ac:dyDescent="0.3">
      <c r="A95" t="s">
        <v>106</v>
      </c>
      <c r="B95" s="2">
        <v>45271</v>
      </c>
      <c r="C95" s="2">
        <v>45278</v>
      </c>
      <c r="D95" t="s">
        <v>875</v>
      </c>
      <c r="E95" t="s">
        <v>1513</v>
      </c>
      <c r="F95" t="s">
        <v>1519</v>
      </c>
      <c r="G95" t="s">
        <v>1522</v>
      </c>
      <c r="H95" t="s">
        <v>1531</v>
      </c>
      <c r="I95" t="s">
        <v>1553</v>
      </c>
      <c r="J95">
        <v>2279.9899999999998</v>
      </c>
      <c r="K95">
        <v>10</v>
      </c>
      <c r="L95">
        <v>0.15</v>
      </c>
      <c r="M95">
        <v>-90.76</v>
      </c>
    </row>
    <row r="96" spans="1:13" x14ac:dyDescent="0.3">
      <c r="A96" t="s">
        <v>107</v>
      </c>
      <c r="B96" s="2">
        <v>45871</v>
      </c>
      <c r="C96" s="2">
        <v>45879</v>
      </c>
      <c r="D96" t="s">
        <v>876</v>
      </c>
      <c r="E96" t="s">
        <v>1515</v>
      </c>
      <c r="F96" t="s">
        <v>1517</v>
      </c>
      <c r="G96" t="s">
        <v>1520</v>
      </c>
      <c r="H96" t="s">
        <v>1524</v>
      </c>
      <c r="I96" t="s">
        <v>1625</v>
      </c>
      <c r="J96">
        <v>402.34</v>
      </c>
      <c r="K96">
        <v>4</v>
      </c>
      <c r="L96">
        <v>0.1</v>
      </c>
      <c r="M96">
        <v>93.87</v>
      </c>
    </row>
    <row r="97" spans="1:13" x14ac:dyDescent="0.3">
      <c r="A97" t="s">
        <v>108</v>
      </c>
      <c r="B97" t="s">
        <v>766</v>
      </c>
      <c r="C97" s="2">
        <v>45530</v>
      </c>
      <c r="D97" t="s">
        <v>877</v>
      </c>
      <c r="E97" t="s">
        <v>1513</v>
      </c>
      <c r="F97" t="s">
        <v>1516</v>
      </c>
      <c r="G97" t="s">
        <v>1521</v>
      </c>
      <c r="H97" t="s">
        <v>1530</v>
      </c>
      <c r="I97" t="s">
        <v>1626</v>
      </c>
      <c r="J97">
        <v>1162.81</v>
      </c>
      <c r="K97">
        <v>3</v>
      </c>
      <c r="L97">
        <v>0.1</v>
      </c>
      <c r="M97">
        <v>296.11</v>
      </c>
    </row>
    <row r="98" spans="1:13" x14ac:dyDescent="0.3">
      <c r="A98" t="s">
        <v>109</v>
      </c>
      <c r="B98" s="2">
        <v>45298</v>
      </c>
      <c r="C98" s="2">
        <v>45308</v>
      </c>
      <c r="D98" t="s">
        <v>878</v>
      </c>
      <c r="E98" t="s">
        <v>1514</v>
      </c>
      <c r="F98" t="s">
        <v>1519</v>
      </c>
      <c r="G98" t="s">
        <v>1522</v>
      </c>
      <c r="H98" t="s">
        <v>1529</v>
      </c>
      <c r="I98" t="s">
        <v>1627</v>
      </c>
      <c r="J98">
        <v>3757.34</v>
      </c>
      <c r="K98">
        <v>10</v>
      </c>
      <c r="L98">
        <v>0.1</v>
      </c>
      <c r="M98">
        <v>156.06</v>
      </c>
    </row>
    <row r="99" spans="1:13" x14ac:dyDescent="0.3">
      <c r="A99" t="s">
        <v>110</v>
      </c>
      <c r="B99" s="2">
        <v>45299</v>
      </c>
      <c r="C99" s="2">
        <v>45304</v>
      </c>
      <c r="E99" t="s">
        <v>1513</v>
      </c>
      <c r="F99" t="s">
        <v>1518</v>
      </c>
      <c r="G99" t="s">
        <v>1520</v>
      </c>
      <c r="H99" t="s">
        <v>1524</v>
      </c>
      <c r="I99" t="s">
        <v>1628</v>
      </c>
      <c r="J99">
        <v>2527.34</v>
      </c>
      <c r="K99">
        <v>8</v>
      </c>
      <c r="L99">
        <v>0.15</v>
      </c>
      <c r="M99">
        <v>-393.65</v>
      </c>
    </row>
    <row r="100" spans="1:13" x14ac:dyDescent="0.3">
      <c r="A100" t="s">
        <v>111</v>
      </c>
      <c r="B100" s="2">
        <v>45936</v>
      </c>
      <c r="C100" s="2">
        <v>45946</v>
      </c>
      <c r="D100" t="s">
        <v>879</v>
      </c>
      <c r="E100" t="s">
        <v>1515</v>
      </c>
      <c r="F100" t="s">
        <v>1516</v>
      </c>
      <c r="G100" t="s">
        <v>1520</v>
      </c>
      <c r="H100" t="s">
        <v>1524</v>
      </c>
      <c r="I100" t="s">
        <v>1629</v>
      </c>
      <c r="J100">
        <v>1289.32</v>
      </c>
      <c r="K100">
        <v>2</v>
      </c>
      <c r="L100">
        <v>0.05</v>
      </c>
      <c r="M100">
        <v>424.25</v>
      </c>
    </row>
    <row r="101" spans="1:13" x14ac:dyDescent="0.3">
      <c r="A101" t="s">
        <v>112</v>
      </c>
      <c r="B101" s="2">
        <v>46108</v>
      </c>
      <c r="C101" s="2">
        <v>46118</v>
      </c>
      <c r="D101" t="s">
        <v>880</v>
      </c>
      <c r="E101" t="s">
        <v>1514</v>
      </c>
      <c r="F101" t="s">
        <v>1519</v>
      </c>
      <c r="G101" t="s">
        <v>1520</v>
      </c>
      <c r="H101" t="s">
        <v>1524</v>
      </c>
      <c r="I101" t="s">
        <v>1630</v>
      </c>
      <c r="J101">
        <v>249.15</v>
      </c>
      <c r="K101">
        <v>3</v>
      </c>
      <c r="L101">
        <v>0.15</v>
      </c>
      <c r="M101">
        <v>21.28</v>
      </c>
    </row>
    <row r="102" spans="1:13" x14ac:dyDescent="0.3">
      <c r="A102" t="s">
        <v>113</v>
      </c>
      <c r="B102" s="2">
        <v>45449</v>
      </c>
      <c r="C102" s="2">
        <v>45456</v>
      </c>
      <c r="D102" t="s">
        <v>881</v>
      </c>
      <c r="E102" t="s">
        <v>1514</v>
      </c>
      <c r="F102" t="s">
        <v>1519</v>
      </c>
      <c r="G102" t="s">
        <v>1522</v>
      </c>
      <c r="H102" t="s">
        <v>1527</v>
      </c>
      <c r="I102" t="s">
        <v>1631</v>
      </c>
      <c r="J102">
        <v>3192.18</v>
      </c>
      <c r="K102">
        <v>8</v>
      </c>
      <c r="L102">
        <v>0</v>
      </c>
      <c r="M102">
        <v>186.76</v>
      </c>
    </row>
    <row r="103" spans="1:13" x14ac:dyDescent="0.3">
      <c r="A103" t="s">
        <v>114</v>
      </c>
      <c r="B103" s="2">
        <v>45625</v>
      </c>
      <c r="C103" s="2">
        <v>45627</v>
      </c>
      <c r="D103" t="s">
        <v>882</v>
      </c>
      <c r="E103" t="s">
        <v>1514</v>
      </c>
      <c r="F103" t="s">
        <v>1518</v>
      </c>
      <c r="G103" t="s">
        <v>1521</v>
      </c>
      <c r="H103" t="s">
        <v>1528</v>
      </c>
      <c r="I103" t="s">
        <v>1632</v>
      </c>
      <c r="J103">
        <v>4295.78</v>
      </c>
      <c r="K103">
        <v>6</v>
      </c>
      <c r="L103">
        <v>0.15</v>
      </c>
      <c r="M103">
        <v>779.77</v>
      </c>
    </row>
    <row r="104" spans="1:13" x14ac:dyDescent="0.3">
      <c r="A104" t="s">
        <v>115</v>
      </c>
      <c r="B104" s="2">
        <v>45636</v>
      </c>
      <c r="C104" s="2">
        <v>45644</v>
      </c>
      <c r="D104" t="s">
        <v>883</v>
      </c>
      <c r="E104" t="s">
        <v>1514</v>
      </c>
      <c r="F104" t="s">
        <v>1516</v>
      </c>
      <c r="G104" t="s">
        <v>1520</v>
      </c>
      <c r="H104" t="s">
        <v>1523</v>
      </c>
      <c r="I104" t="s">
        <v>1633</v>
      </c>
      <c r="J104">
        <v>485.9</v>
      </c>
      <c r="K104">
        <v>5</v>
      </c>
      <c r="L104">
        <v>0.1</v>
      </c>
      <c r="M104">
        <v>-66.2</v>
      </c>
    </row>
    <row r="105" spans="1:13" x14ac:dyDescent="0.3">
      <c r="A105" t="s">
        <v>116</v>
      </c>
      <c r="B105" s="2">
        <v>46150</v>
      </c>
      <c r="C105" s="2">
        <v>46158</v>
      </c>
      <c r="D105" t="s">
        <v>884</v>
      </c>
      <c r="E105" t="s">
        <v>1514</v>
      </c>
      <c r="F105" t="s">
        <v>1518</v>
      </c>
      <c r="G105" t="s">
        <v>1520</v>
      </c>
      <c r="H105" t="s">
        <v>1525</v>
      </c>
      <c r="I105" t="s">
        <v>1634</v>
      </c>
      <c r="J105">
        <v>2095.58</v>
      </c>
      <c r="K105">
        <v>4</v>
      </c>
      <c r="L105">
        <v>0.2</v>
      </c>
      <c r="M105">
        <v>-2.14</v>
      </c>
    </row>
    <row r="106" spans="1:13" x14ac:dyDescent="0.3">
      <c r="A106" t="s">
        <v>117</v>
      </c>
      <c r="B106" s="2">
        <v>45213</v>
      </c>
      <c r="C106" s="2">
        <v>45218</v>
      </c>
      <c r="D106" t="s">
        <v>885</v>
      </c>
      <c r="E106" t="s">
        <v>1514</v>
      </c>
      <c r="G106" t="s">
        <v>1522</v>
      </c>
      <c r="H106" t="s">
        <v>1531</v>
      </c>
      <c r="I106" t="s">
        <v>1635</v>
      </c>
      <c r="J106">
        <v>2768.64</v>
      </c>
      <c r="K106">
        <v>5</v>
      </c>
      <c r="L106">
        <v>0.15</v>
      </c>
      <c r="M106">
        <v>787.58</v>
      </c>
    </row>
    <row r="107" spans="1:13" x14ac:dyDescent="0.3">
      <c r="A107" t="s">
        <v>118</v>
      </c>
      <c r="B107" s="2">
        <v>45551</v>
      </c>
      <c r="C107" s="2">
        <v>45561</v>
      </c>
      <c r="D107" t="s">
        <v>886</v>
      </c>
      <c r="E107" t="s">
        <v>1515</v>
      </c>
      <c r="F107" t="s">
        <v>1518</v>
      </c>
      <c r="G107" t="s">
        <v>1522</v>
      </c>
      <c r="H107" t="s">
        <v>1527</v>
      </c>
      <c r="I107" t="s">
        <v>1636</v>
      </c>
      <c r="J107">
        <v>4006.6</v>
      </c>
      <c r="K107">
        <v>3</v>
      </c>
      <c r="L107">
        <v>0.1</v>
      </c>
      <c r="M107">
        <v>412.53</v>
      </c>
    </row>
    <row r="108" spans="1:13" x14ac:dyDescent="0.3">
      <c r="A108" t="s">
        <v>119</v>
      </c>
      <c r="B108" s="2">
        <v>45683</v>
      </c>
      <c r="C108" s="2">
        <v>45685</v>
      </c>
      <c r="D108" t="s">
        <v>887</v>
      </c>
      <c r="E108" t="s">
        <v>1514</v>
      </c>
      <c r="F108" t="s">
        <v>1519</v>
      </c>
      <c r="G108" t="s">
        <v>1522</v>
      </c>
      <c r="H108" t="s">
        <v>1531</v>
      </c>
      <c r="I108" t="s">
        <v>1637</v>
      </c>
      <c r="J108">
        <v>2334.17</v>
      </c>
      <c r="K108">
        <v>2</v>
      </c>
      <c r="M108">
        <v>601.47</v>
      </c>
    </row>
    <row r="109" spans="1:13" x14ac:dyDescent="0.3">
      <c r="A109" t="s">
        <v>120</v>
      </c>
      <c r="B109" s="2">
        <v>45169</v>
      </c>
      <c r="C109" s="2">
        <v>45174</v>
      </c>
      <c r="D109" t="s">
        <v>888</v>
      </c>
      <c r="E109" t="s">
        <v>1515</v>
      </c>
      <c r="F109" t="s">
        <v>1517</v>
      </c>
      <c r="G109" t="s">
        <v>1520</v>
      </c>
      <c r="H109" t="s">
        <v>1525</v>
      </c>
      <c r="I109" t="s">
        <v>1638</v>
      </c>
      <c r="J109">
        <v>2106.6799999999998</v>
      </c>
      <c r="K109">
        <v>8</v>
      </c>
      <c r="L109">
        <v>0.15</v>
      </c>
      <c r="M109">
        <v>-138.93</v>
      </c>
    </row>
    <row r="110" spans="1:13" x14ac:dyDescent="0.3">
      <c r="A110" t="s">
        <v>121</v>
      </c>
      <c r="B110" s="2">
        <v>46109</v>
      </c>
      <c r="C110" s="2">
        <v>46119</v>
      </c>
      <c r="D110" t="s">
        <v>889</v>
      </c>
      <c r="F110" t="s">
        <v>1519</v>
      </c>
      <c r="G110" t="s">
        <v>1521</v>
      </c>
      <c r="H110" t="s">
        <v>1530</v>
      </c>
      <c r="I110" t="s">
        <v>1639</v>
      </c>
      <c r="J110">
        <v>2565.79</v>
      </c>
      <c r="K110">
        <v>3</v>
      </c>
      <c r="L110">
        <v>0</v>
      </c>
      <c r="M110">
        <v>-123.32</v>
      </c>
    </row>
    <row r="111" spans="1:13" x14ac:dyDescent="0.3">
      <c r="A111" t="s">
        <v>122</v>
      </c>
      <c r="B111" s="2">
        <v>46002</v>
      </c>
      <c r="C111" s="2">
        <v>46003</v>
      </c>
      <c r="D111" t="s">
        <v>890</v>
      </c>
      <c r="E111" t="s">
        <v>1515</v>
      </c>
      <c r="F111" t="s">
        <v>1518</v>
      </c>
      <c r="G111" t="s">
        <v>1520</v>
      </c>
      <c r="H111" t="s">
        <v>1524</v>
      </c>
      <c r="I111" t="s">
        <v>1640</v>
      </c>
      <c r="J111">
        <v>1450.05</v>
      </c>
      <c r="K111">
        <v>5</v>
      </c>
      <c r="L111">
        <v>0.2</v>
      </c>
      <c r="M111">
        <v>172.49</v>
      </c>
    </row>
    <row r="112" spans="1:13" x14ac:dyDescent="0.3">
      <c r="A112" t="s">
        <v>123</v>
      </c>
      <c r="B112" s="2">
        <v>45263</v>
      </c>
      <c r="C112" s="2">
        <v>45272</v>
      </c>
      <c r="D112" t="s">
        <v>891</v>
      </c>
      <c r="E112" t="s">
        <v>1514</v>
      </c>
      <c r="F112" t="s">
        <v>1518</v>
      </c>
      <c r="G112" t="s">
        <v>1522</v>
      </c>
      <c r="H112" t="s">
        <v>1529</v>
      </c>
      <c r="I112" t="s">
        <v>1641</v>
      </c>
      <c r="J112">
        <v>2447.4899999999998</v>
      </c>
      <c r="K112">
        <v>6</v>
      </c>
      <c r="L112">
        <v>0.2</v>
      </c>
      <c r="M112">
        <v>537.41999999999996</v>
      </c>
    </row>
    <row r="113" spans="1:13" x14ac:dyDescent="0.3">
      <c r="A113" t="s">
        <v>124</v>
      </c>
      <c r="B113" s="2">
        <v>45692</v>
      </c>
      <c r="C113" s="2">
        <v>45696</v>
      </c>
      <c r="D113" t="s">
        <v>892</v>
      </c>
      <c r="F113" t="s">
        <v>1518</v>
      </c>
      <c r="G113" t="s">
        <v>1521</v>
      </c>
      <c r="H113" t="s">
        <v>1530</v>
      </c>
      <c r="I113" t="s">
        <v>1642</v>
      </c>
      <c r="J113">
        <v>2880.4</v>
      </c>
      <c r="K113">
        <v>4</v>
      </c>
      <c r="L113">
        <v>0.15</v>
      </c>
      <c r="M113">
        <v>-506.93</v>
      </c>
    </row>
    <row r="114" spans="1:13" x14ac:dyDescent="0.3">
      <c r="A114" t="s">
        <v>125</v>
      </c>
      <c r="B114" s="2">
        <v>45567</v>
      </c>
      <c r="C114" s="2">
        <v>45574</v>
      </c>
      <c r="D114" t="s">
        <v>893</v>
      </c>
      <c r="E114" t="s">
        <v>1513</v>
      </c>
      <c r="F114" t="s">
        <v>1519</v>
      </c>
      <c r="G114" t="s">
        <v>1520</v>
      </c>
      <c r="H114" t="s">
        <v>1524</v>
      </c>
      <c r="I114" t="s">
        <v>1643</v>
      </c>
      <c r="J114">
        <v>4942.6499999999996</v>
      </c>
      <c r="K114">
        <v>3</v>
      </c>
      <c r="L114">
        <v>0.15</v>
      </c>
      <c r="M114">
        <v>1634.3</v>
      </c>
    </row>
    <row r="115" spans="1:13" x14ac:dyDescent="0.3">
      <c r="A115" t="s">
        <v>126</v>
      </c>
      <c r="B115" s="2">
        <v>45812</v>
      </c>
      <c r="C115" s="2">
        <v>45814</v>
      </c>
      <c r="D115" t="s">
        <v>894</v>
      </c>
      <c r="E115" t="s">
        <v>1514</v>
      </c>
      <c r="F115" t="s">
        <v>1517</v>
      </c>
      <c r="G115" t="s">
        <v>1522</v>
      </c>
      <c r="H115" t="s">
        <v>1529</v>
      </c>
      <c r="I115" t="s">
        <v>1644</v>
      </c>
      <c r="J115">
        <v>2653.46</v>
      </c>
      <c r="K115">
        <v>8</v>
      </c>
      <c r="L115">
        <v>0</v>
      </c>
      <c r="M115">
        <v>523.64</v>
      </c>
    </row>
    <row r="116" spans="1:13" x14ac:dyDescent="0.3">
      <c r="A116" t="s">
        <v>127</v>
      </c>
      <c r="B116" s="2">
        <v>45169</v>
      </c>
      <c r="C116" s="2">
        <v>45174</v>
      </c>
      <c r="D116" t="s">
        <v>895</v>
      </c>
      <c r="E116" t="s">
        <v>1514</v>
      </c>
      <c r="F116" t="s">
        <v>1518</v>
      </c>
      <c r="G116" t="s">
        <v>1522</v>
      </c>
      <c r="H116" t="s">
        <v>1529</v>
      </c>
      <c r="I116" t="s">
        <v>1645</v>
      </c>
      <c r="J116">
        <v>1725.88</v>
      </c>
      <c r="K116">
        <v>7</v>
      </c>
      <c r="M116">
        <v>-268.94</v>
      </c>
    </row>
    <row r="117" spans="1:13" x14ac:dyDescent="0.3">
      <c r="A117" t="s">
        <v>128</v>
      </c>
      <c r="B117" s="2">
        <v>46065</v>
      </c>
      <c r="C117" s="2">
        <v>46073</v>
      </c>
      <c r="D117" t="s">
        <v>896</v>
      </c>
      <c r="E117" t="s">
        <v>1515</v>
      </c>
      <c r="F117" t="s">
        <v>1519</v>
      </c>
      <c r="G117" t="s">
        <v>1521</v>
      </c>
      <c r="H117" t="s">
        <v>1528</v>
      </c>
      <c r="I117" t="s">
        <v>1646</v>
      </c>
      <c r="J117">
        <v>4368.3</v>
      </c>
      <c r="K117">
        <v>1</v>
      </c>
      <c r="L117">
        <v>0.2</v>
      </c>
      <c r="M117">
        <v>-709.27</v>
      </c>
    </row>
    <row r="118" spans="1:13" x14ac:dyDescent="0.3">
      <c r="A118" t="s">
        <v>129</v>
      </c>
      <c r="B118" s="2">
        <v>46120</v>
      </c>
      <c r="C118" s="2">
        <v>46122</v>
      </c>
      <c r="D118" t="s">
        <v>897</v>
      </c>
      <c r="E118" t="s">
        <v>1513</v>
      </c>
      <c r="F118" t="s">
        <v>1518</v>
      </c>
      <c r="G118" t="s">
        <v>1522</v>
      </c>
      <c r="H118" t="s">
        <v>1527</v>
      </c>
      <c r="I118" t="s">
        <v>1647</v>
      </c>
      <c r="J118">
        <v>2198.16</v>
      </c>
      <c r="K118">
        <v>2</v>
      </c>
      <c r="M118">
        <v>411.36</v>
      </c>
    </row>
    <row r="119" spans="1:13" x14ac:dyDescent="0.3">
      <c r="A119" t="s">
        <v>130</v>
      </c>
      <c r="B119" s="2">
        <v>45394</v>
      </c>
      <c r="C119" s="2">
        <v>45399</v>
      </c>
      <c r="D119" t="s">
        <v>898</v>
      </c>
      <c r="E119" t="s">
        <v>1514</v>
      </c>
      <c r="F119" t="s">
        <v>1519</v>
      </c>
      <c r="G119" t="s">
        <v>1522</v>
      </c>
      <c r="H119" t="s">
        <v>1527</v>
      </c>
      <c r="I119" t="s">
        <v>1648</v>
      </c>
      <c r="J119">
        <v>4521.95</v>
      </c>
      <c r="K119">
        <v>1</v>
      </c>
      <c r="L119">
        <v>0.1</v>
      </c>
      <c r="M119">
        <v>1075.68</v>
      </c>
    </row>
    <row r="120" spans="1:13" x14ac:dyDescent="0.3">
      <c r="A120" t="s">
        <v>131</v>
      </c>
      <c r="B120" s="2">
        <v>45430</v>
      </c>
      <c r="C120" s="2">
        <v>45433</v>
      </c>
      <c r="D120" t="s">
        <v>899</v>
      </c>
      <c r="E120" t="s">
        <v>1513</v>
      </c>
      <c r="F120" t="s">
        <v>1517</v>
      </c>
      <c r="G120" t="s">
        <v>1521</v>
      </c>
      <c r="H120" t="s">
        <v>1526</v>
      </c>
      <c r="I120" t="s">
        <v>1649</v>
      </c>
      <c r="J120">
        <v>1258.78</v>
      </c>
      <c r="K120">
        <v>7</v>
      </c>
      <c r="L120">
        <v>0.2</v>
      </c>
      <c r="M120">
        <v>220.27</v>
      </c>
    </row>
    <row r="121" spans="1:13" x14ac:dyDescent="0.3">
      <c r="A121" t="s">
        <v>132</v>
      </c>
      <c r="B121" s="2">
        <v>45351</v>
      </c>
      <c r="C121" s="2">
        <v>45361</v>
      </c>
      <c r="D121" t="s">
        <v>900</v>
      </c>
      <c r="E121" t="s">
        <v>1515</v>
      </c>
      <c r="F121" t="s">
        <v>1517</v>
      </c>
      <c r="G121" t="s">
        <v>1522</v>
      </c>
      <c r="H121" t="s">
        <v>1531</v>
      </c>
      <c r="I121" t="s">
        <v>1650</v>
      </c>
      <c r="J121">
        <v>4360.66</v>
      </c>
      <c r="K121">
        <v>10</v>
      </c>
      <c r="M121">
        <v>-294.52999999999997</v>
      </c>
    </row>
    <row r="122" spans="1:13" x14ac:dyDescent="0.3">
      <c r="A122" t="s">
        <v>133</v>
      </c>
      <c r="B122" s="2">
        <v>45961</v>
      </c>
      <c r="C122" s="2">
        <v>45966</v>
      </c>
      <c r="D122" t="s">
        <v>901</v>
      </c>
      <c r="E122" t="s">
        <v>1515</v>
      </c>
      <c r="F122" t="s">
        <v>1517</v>
      </c>
      <c r="G122" t="s">
        <v>1522</v>
      </c>
      <c r="H122" t="s">
        <v>1529</v>
      </c>
      <c r="I122" t="s">
        <v>1651</v>
      </c>
      <c r="J122">
        <v>2324.87</v>
      </c>
      <c r="K122">
        <v>1</v>
      </c>
      <c r="L122">
        <v>0.15</v>
      </c>
      <c r="M122">
        <v>687.38</v>
      </c>
    </row>
    <row r="123" spans="1:13" x14ac:dyDescent="0.3">
      <c r="A123" t="s">
        <v>134</v>
      </c>
      <c r="B123" s="2">
        <v>45662</v>
      </c>
      <c r="C123" s="2">
        <v>45668</v>
      </c>
      <c r="D123" t="s">
        <v>902</v>
      </c>
      <c r="E123" t="s">
        <v>1515</v>
      </c>
      <c r="F123" t="s">
        <v>1519</v>
      </c>
      <c r="G123" t="s">
        <v>1522</v>
      </c>
      <c r="H123" t="s">
        <v>1529</v>
      </c>
      <c r="I123" t="s">
        <v>1652</v>
      </c>
      <c r="J123">
        <v>4938.88</v>
      </c>
      <c r="K123">
        <v>5</v>
      </c>
      <c r="M123">
        <v>1625.46</v>
      </c>
    </row>
    <row r="124" spans="1:13" x14ac:dyDescent="0.3">
      <c r="A124" t="s">
        <v>135</v>
      </c>
      <c r="B124" s="2">
        <v>45273</v>
      </c>
      <c r="C124" s="2">
        <v>45277</v>
      </c>
      <c r="D124" t="s">
        <v>903</v>
      </c>
      <c r="E124" t="s">
        <v>1515</v>
      </c>
      <c r="F124" t="s">
        <v>1519</v>
      </c>
      <c r="G124" t="s">
        <v>1521</v>
      </c>
      <c r="H124" t="s">
        <v>1526</v>
      </c>
      <c r="I124" t="s">
        <v>1653</v>
      </c>
      <c r="J124">
        <v>4996.8999999999996</v>
      </c>
      <c r="K124">
        <v>8</v>
      </c>
      <c r="L124">
        <v>0</v>
      </c>
      <c r="M124">
        <v>-347.47</v>
      </c>
    </row>
    <row r="125" spans="1:13" x14ac:dyDescent="0.3">
      <c r="A125" t="s">
        <v>136</v>
      </c>
      <c r="B125" s="2">
        <v>45385</v>
      </c>
      <c r="C125" s="2">
        <v>45390</v>
      </c>
      <c r="D125" t="s">
        <v>904</v>
      </c>
      <c r="E125" t="s">
        <v>1515</v>
      </c>
      <c r="F125" t="s">
        <v>1516</v>
      </c>
      <c r="G125" t="s">
        <v>1520</v>
      </c>
      <c r="H125" t="s">
        <v>1524</v>
      </c>
      <c r="I125" t="s">
        <v>1654</v>
      </c>
      <c r="J125">
        <v>158.6</v>
      </c>
      <c r="K125">
        <v>7</v>
      </c>
      <c r="L125">
        <v>0.1</v>
      </c>
      <c r="M125">
        <v>-31.01</v>
      </c>
    </row>
    <row r="126" spans="1:13" x14ac:dyDescent="0.3">
      <c r="A126" t="s">
        <v>137</v>
      </c>
      <c r="B126" s="2">
        <v>45147</v>
      </c>
      <c r="C126" s="2">
        <v>45155</v>
      </c>
      <c r="D126" t="s">
        <v>905</v>
      </c>
      <c r="E126" t="s">
        <v>1514</v>
      </c>
      <c r="F126" t="s">
        <v>1517</v>
      </c>
      <c r="G126" t="s">
        <v>1520</v>
      </c>
      <c r="H126" t="s">
        <v>1525</v>
      </c>
      <c r="I126" t="s">
        <v>1655</v>
      </c>
      <c r="J126">
        <v>4172.55</v>
      </c>
      <c r="K126">
        <v>5</v>
      </c>
      <c r="L126">
        <v>0.05</v>
      </c>
      <c r="M126">
        <v>558.64</v>
      </c>
    </row>
    <row r="127" spans="1:13" x14ac:dyDescent="0.3">
      <c r="A127" t="s">
        <v>138</v>
      </c>
      <c r="B127" s="2">
        <v>45754</v>
      </c>
      <c r="C127" s="2">
        <v>45764</v>
      </c>
      <c r="D127" t="s">
        <v>906</v>
      </c>
      <c r="E127" t="s">
        <v>1515</v>
      </c>
      <c r="F127" t="s">
        <v>1516</v>
      </c>
      <c r="G127" t="s">
        <v>1520</v>
      </c>
      <c r="H127" t="s">
        <v>1523</v>
      </c>
      <c r="I127" t="s">
        <v>1656</v>
      </c>
      <c r="J127">
        <v>1290.5999999999999</v>
      </c>
      <c r="K127">
        <v>3</v>
      </c>
      <c r="M127">
        <v>-189.15</v>
      </c>
    </row>
    <row r="128" spans="1:13" x14ac:dyDescent="0.3">
      <c r="A128" t="s">
        <v>139</v>
      </c>
      <c r="B128" s="2">
        <v>45382</v>
      </c>
      <c r="C128" s="2">
        <v>45383</v>
      </c>
      <c r="D128" t="s">
        <v>907</v>
      </c>
      <c r="E128" t="s">
        <v>1514</v>
      </c>
      <c r="F128" t="s">
        <v>1518</v>
      </c>
      <c r="G128" t="s">
        <v>1521</v>
      </c>
      <c r="H128" t="s">
        <v>1526</v>
      </c>
      <c r="I128" t="s">
        <v>1657</v>
      </c>
      <c r="J128">
        <v>2918.89</v>
      </c>
      <c r="K128">
        <v>3</v>
      </c>
      <c r="L128">
        <v>0</v>
      </c>
      <c r="M128">
        <v>876.53</v>
      </c>
    </row>
    <row r="129" spans="1:13" x14ac:dyDescent="0.3">
      <c r="A129" t="s">
        <v>140</v>
      </c>
      <c r="B129" s="2">
        <v>45232</v>
      </c>
      <c r="C129" s="2">
        <v>45235</v>
      </c>
      <c r="D129" t="s">
        <v>908</v>
      </c>
      <c r="E129" t="s">
        <v>1514</v>
      </c>
      <c r="F129" t="s">
        <v>1517</v>
      </c>
      <c r="G129" t="s">
        <v>1522</v>
      </c>
      <c r="H129" t="s">
        <v>1531</v>
      </c>
      <c r="I129" t="s">
        <v>1658</v>
      </c>
      <c r="J129">
        <v>3943.24</v>
      </c>
      <c r="K129">
        <v>6</v>
      </c>
      <c r="L129">
        <v>0.2</v>
      </c>
      <c r="M129">
        <v>299.64</v>
      </c>
    </row>
    <row r="130" spans="1:13" x14ac:dyDescent="0.3">
      <c r="A130" t="s">
        <v>141</v>
      </c>
      <c r="B130" s="2">
        <v>45338</v>
      </c>
      <c r="C130" s="2">
        <v>45343</v>
      </c>
      <c r="D130" t="s">
        <v>909</v>
      </c>
      <c r="E130" t="s">
        <v>1513</v>
      </c>
      <c r="F130" t="s">
        <v>1517</v>
      </c>
      <c r="G130" t="s">
        <v>1521</v>
      </c>
      <c r="H130" t="s">
        <v>1526</v>
      </c>
      <c r="I130" t="s">
        <v>1659</v>
      </c>
      <c r="J130">
        <v>3745.47</v>
      </c>
      <c r="K130">
        <v>6</v>
      </c>
      <c r="L130">
        <v>0</v>
      </c>
      <c r="M130">
        <v>215.67</v>
      </c>
    </row>
    <row r="131" spans="1:13" x14ac:dyDescent="0.3">
      <c r="A131" t="s">
        <v>142</v>
      </c>
      <c r="B131" s="2">
        <v>45601</v>
      </c>
      <c r="C131" s="2">
        <v>45608</v>
      </c>
      <c r="D131" t="s">
        <v>910</v>
      </c>
      <c r="E131" t="s">
        <v>1514</v>
      </c>
      <c r="F131" t="s">
        <v>1516</v>
      </c>
      <c r="G131" t="s">
        <v>1522</v>
      </c>
      <c r="H131" t="s">
        <v>1527</v>
      </c>
      <c r="I131" t="s">
        <v>1660</v>
      </c>
      <c r="J131">
        <v>4837.99</v>
      </c>
      <c r="K131">
        <v>9</v>
      </c>
      <c r="L131">
        <v>0.1</v>
      </c>
      <c r="M131">
        <v>-727.31</v>
      </c>
    </row>
    <row r="132" spans="1:13" x14ac:dyDescent="0.3">
      <c r="A132" t="s">
        <v>143</v>
      </c>
      <c r="B132" s="2">
        <v>45728</v>
      </c>
      <c r="C132" s="2">
        <v>45730</v>
      </c>
      <c r="D132" t="s">
        <v>911</v>
      </c>
      <c r="E132" t="s">
        <v>1515</v>
      </c>
      <c r="F132" t="s">
        <v>1519</v>
      </c>
      <c r="G132" t="s">
        <v>1521</v>
      </c>
      <c r="H132" t="s">
        <v>1528</v>
      </c>
      <c r="I132" t="s">
        <v>1661</v>
      </c>
      <c r="J132">
        <v>2301.19</v>
      </c>
      <c r="K132">
        <v>5</v>
      </c>
      <c r="L132">
        <v>0.2</v>
      </c>
      <c r="M132">
        <v>22.01</v>
      </c>
    </row>
    <row r="133" spans="1:13" x14ac:dyDescent="0.3">
      <c r="A133" t="s">
        <v>144</v>
      </c>
      <c r="B133" s="2">
        <v>45763</v>
      </c>
      <c r="C133" s="2">
        <v>45767</v>
      </c>
      <c r="D133" t="s">
        <v>912</v>
      </c>
      <c r="E133" t="s">
        <v>1515</v>
      </c>
      <c r="F133" t="s">
        <v>1517</v>
      </c>
      <c r="G133" t="s">
        <v>1522</v>
      </c>
      <c r="H133" t="s">
        <v>1527</v>
      </c>
      <c r="I133" t="s">
        <v>1662</v>
      </c>
      <c r="J133">
        <v>2383.81</v>
      </c>
      <c r="K133">
        <v>10</v>
      </c>
      <c r="L133">
        <v>0.2</v>
      </c>
      <c r="M133">
        <v>-46.71</v>
      </c>
    </row>
    <row r="134" spans="1:13" x14ac:dyDescent="0.3">
      <c r="A134" t="s">
        <v>145</v>
      </c>
      <c r="B134" t="s">
        <v>767</v>
      </c>
      <c r="C134" s="2">
        <v>45787</v>
      </c>
      <c r="D134" t="s">
        <v>913</v>
      </c>
      <c r="E134" t="s">
        <v>1513</v>
      </c>
      <c r="F134" t="s">
        <v>1516</v>
      </c>
      <c r="G134" t="s">
        <v>1520</v>
      </c>
      <c r="H134" t="s">
        <v>1523</v>
      </c>
      <c r="I134" t="s">
        <v>1663</v>
      </c>
      <c r="J134">
        <v>4551.47</v>
      </c>
      <c r="K134">
        <v>5</v>
      </c>
      <c r="M134">
        <v>111.8</v>
      </c>
    </row>
    <row r="135" spans="1:13" x14ac:dyDescent="0.3">
      <c r="A135" t="s">
        <v>146</v>
      </c>
      <c r="B135" s="2">
        <v>45823</v>
      </c>
      <c r="C135" s="2">
        <v>45831</v>
      </c>
      <c r="E135" t="s">
        <v>1514</v>
      </c>
      <c r="F135" t="s">
        <v>1519</v>
      </c>
      <c r="G135" t="s">
        <v>1522</v>
      </c>
      <c r="H135" t="s">
        <v>1529</v>
      </c>
      <c r="I135" t="s">
        <v>1664</v>
      </c>
      <c r="J135">
        <v>624.79999999999995</v>
      </c>
      <c r="K135">
        <v>4</v>
      </c>
      <c r="L135">
        <v>0.2</v>
      </c>
      <c r="M135">
        <v>-78.34</v>
      </c>
    </row>
    <row r="136" spans="1:13" x14ac:dyDescent="0.3">
      <c r="A136" t="s">
        <v>147</v>
      </c>
      <c r="B136" s="2">
        <v>46033</v>
      </c>
      <c r="C136" s="2">
        <v>46042</v>
      </c>
      <c r="D136" t="s">
        <v>914</v>
      </c>
      <c r="E136" t="s">
        <v>1514</v>
      </c>
      <c r="F136" t="s">
        <v>1518</v>
      </c>
      <c r="G136" t="s">
        <v>1520</v>
      </c>
      <c r="H136" t="s">
        <v>1525</v>
      </c>
      <c r="I136" t="s">
        <v>1665</v>
      </c>
      <c r="J136">
        <v>2124.6799999999998</v>
      </c>
      <c r="K136">
        <v>3</v>
      </c>
      <c r="L136">
        <v>0.15</v>
      </c>
      <c r="M136">
        <v>340.39</v>
      </c>
    </row>
    <row r="137" spans="1:13" x14ac:dyDescent="0.3">
      <c r="A137" t="s">
        <v>148</v>
      </c>
      <c r="B137" s="2">
        <v>45776</v>
      </c>
      <c r="C137" s="2">
        <v>45782</v>
      </c>
      <c r="D137" t="s">
        <v>915</v>
      </c>
      <c r="E137" t="s">
        <v>1513</v>
      </c>
      <c r="F137" t="s">
        <v>1519</v>
      </c>
      <c r="G137" t="s">
        <v>1521</v>
      </c>
      <c r="H137" t="s">
        <v>1530</v>
      </c>
      <c r="I137" t="s">
        <v>1666</v>
      </c>
      <c r="J137">
        <v>1125.48</v>
      </c>
      <c r="K137">
        <v>8</v>
      </c>
      <c r="L137">
        <v>0.05</v>
      </c>
      <c r="M137">
        <v>304.44</v>
      </c>
    </row>
    <row r="138" spans="1:13" x14ac:dyDescent="0.3">
      <c r="A138" t="s">
        <v>149</v>
      </c>
      <c r="B138" s="2">
        <v>45131</v>
      </c>
      <c r="C138" s="2">
        <v>45137</v>
      </c>
      <c r="D138" t="s">
        <v>916</v>
      </c>
      <c r="E138" t="s">
        <v>1514</v>
      </c>
      <c r="F138" t="s">
        <v>1516</v>
      </c>
      <c r="G138" t="s">
        <v>1520</v>
      </c>
      <c r="H138" t="s">
        <v>1525</v>
      </c>
      <c r="I138" t="s">
        <v>1667</v>
      </c>
      <c r="J138">
        <v>349.72</v>
      </c>
      <c r="K138">
        <v>5</v>
      </c>
      <c r="L138">
        <v>0.05</v>
      </c>
      <c r="M138">
        <v>116.29</v>
      </c>
    </row>
    <row r="139" spans="1:13" x14ac:dyDescent="0.3">
      <c r="A139" t="s">
        <v>150</v>
      </c>
      <c r="B139" s="2">
        <v>46099</v>
      </c>
      <c r="C139" s="2">
        <v>46109</v>
      </c>
      <c r="D139" t="s">
        <v>917</v>
      </c>
      <c r="E139" t="s">
        <v>1513</v>
      </c>
      <c r="F139" t="s">
        <v>1517</v>
      </c>
      <c r="G139" t="s">
        <v>1520</v>
      </c>
      <c r="H139" t="s">
        <v>1523</v>
      </c>
      <c r="I139" t="s">
        <v>1668</v>
      </c>
      <c r="J139">
        <v>4856.91</v>
      </c>
      <c r="K139">
        <v>1</v>
      </c>
      <c r="L139">
        <v>0.1</v>
      </c>
      <c r="M139">
        <v>-320.74</v>
      </c>
    </row>
    <row r="140" spans="1:13" x14ac:dyDescent="0.3">
      <c r="A140" t="s">
        <v>151</v>
      </c>
      <c r="B140" s="2">
        <v>45870</v>
      </c>
      <c r="C140" s="2">
        <v>45874</v>
      </c>
      <c r="D140" t="s">
        <v>918</v>
      </c>
      <c r="F140" t="s">
        <v>1516</v>
      </c>
      <c r="G140" t="s">
        <v>1522</v>
      </c>
      <c r="H140" t="s">
        <v>1527</v>
      </c>
      <c r="I140" t="s">
        <v>1669</v>
      </c>
      <c r="J140">
        <v>2952.6</v>
      </c>
      <c r="K140">
        <v>4</v>
      </c>
      <c r="L140">
        <v>0.1</v>
      </c>
      <c r="M140">
        <v>667</v>
      </c>
    </row>
    <row r="141" spans="1:13" x14ac:dyDescent="0.3">
      <c r="A141" t="s">
        <v>152</v>
      </c>
      <c r="B141" s="2">
        <v>45403</v>
      </c>
      <c r="C141" s="2">
        <v>45406</v>
      </c>
      <c r="D141" t="s">
        <v>919</v>
      </c>
      <c r="F141" t="s">
        <v>1517</v>
      </c>
      <c r="G141" t="s">
        <v>1521</v>
      </c>
      <c r="H141" t="s">
        <v>1530</v>
      </c>
      <c r="I141" t="s">
        <v>1670</v>
      </c>
      <c r="J141">
        <v>2724.07</v>
      </c>
      <c r="K141">
        <v>3</v>
      </c>
      <c r="L141">
        <v>0</v>
      </c>
      <c r="M141">
        <v>445.61</v>
      </c>
    </row>
    <row r="142" spans="1:13" x14ac:dyDescent="0.3">
      <c r="A142" t="s">
        <v>153</v>
      </c>
      <c r="B142" s="2">
        <v>45310</v>
      </c>
      <c r="C142" s="2">
        <v>45314</v>
      </c>
      <c r="D142" t="s">
        <v>920</v>
      </c>
      <c r="E142" t="s">
        <v>1513</v>
      </c>
      <c r="F142" t="s">
        <v>1518</v>
      </c>
      <c r="G142" t="s">
        <v>1522</v>
      </c>
      <c r="H142" t="s">
        <v>1529</v>
      </c>
      <c r="I142" t="s">
        <v>1671</v>
      </c>
      <c r="J142">
        <v>2964.82</v>
      </c>
      <c r="K142">
        <v>1</v>
      </c>
      <c r="L142">
        <v>0.05</v>
      </c>
      <c r="M142">
        <v>-160.24</v>
      </c>
    </row>
    <row r="143" spans="1:13" x14ac:dyDescent="0.3">
      <c r="A143" t="s">
        <v>154</v>
      </c>
      <c r="B143" s="2">
        <v>45938</v>
      </c>
      <c r="C143" s="2">
        <v>45940</v>
      </c>
      <c r="D143" t="s">
        <v>921</v>
      </c>
      <c r="E143" t="s">
        <v>1514</v>
      </c>
      <c r="F143" t="s">
        <v>1517</v>
      </c>
      <c r="G143" t="s">
        <v>1520</v>
      </c>
      <c r="H143" t="s">
        <v>1523</v>
      </c>
      <c r="I143" t="s">
        <v>1672</v>
      </c>
      <c r="J143">
        <v>2407.42</v>
      </c>
      <c r="K143">
        <v>6</v>
      </c>
      <c r="L143">
        <v>0.2</v>
      </c>
      <c r="M143">
        <v>304.58</v>
      </c>
    </row>
    <row r="144" spans="1:13" x14ac:dyDescent="0.3">
      <c r="A144" t="s">
        <v>155</v>
      </c>
      <c r="B144" s="2">
        <v>45083</v>
      </c>
      <c r="C144" s="2">
        <v>45092</v>
      </c>
      <c r="D144" t="s">
        <v>922</v>
      </c>
      <c r="E144" t="s">
        <v>1514</v>
      </c>
      <c r="F144" t="s">
        <v>1518</v>
      </c>
      <c r="G144" t="s">
        <v>1520</v>
      </c>
      <c r="H144" t="s">
        <v>1523</v>
      </c>
      <c r="I144" t="s">
        <v>1673</v>
      </c>
      <c r="J144">
        <v>1543.07</v>
      </c>
      <c r="K144">
        <v>1</v>
      </c>
      <c r="L144">
        <v>0</v>
      </c>
      <c r="M144">
        <v>538.88</v>
      </c>
    </row>
    <row r="145" spans="1:13" x14ac:dyDescent="0.3">
      <c r="A145" t="s">
        <v>156</v>
      </c>
      <c r="B145" s="2">
        <v>45583</v>
      </c>
      <c r="C145" s="2">
        <v>45591</v>
      </c>
      <c r="D145" t="s">
        <v>923</v>
      </c>
      <c r="E145" t="s">
        <v>1514</v>
      </c>
      <c r="F145" t="s">
        <v>1517</v>
      </c>
      <c r="G145" t="s">
        <v>1520</v>
      </c>
      <c r="H145" t="s">
        <v>1523</v>
      </c>
      <c r="I145" t="s">
        <v>1674</v>
      </c>
      <c r="J145">
        <v>3576.39</v>
      </c>
      <c r="K145">
        <v>8</v>
      </c>
      <c r="L145">
        <v>0</v>
      </c>
      <c r="M145">
        <v>1053.5899999999999</v>
      </c>
    </row>
    <row r="146" spans="1:13" x14ac:dyDescent="0.3">
      <c r="A146" t="s">
        <v>157</v>
      </c>
      <c r="B146" s="2">
        <v>45524</v>
      </c>
      <c r="C146" s="2">
        <v>45529</v>
      </c>
      <c r="D146" t="s">
        <v>924</v>
      </c>
      <c r="E146" t="s">
        <v>1514</v>
      </c>
      <c r="F146" t="s">
        <v>1519</v>
      </c>
      <c r="G146" t="s">
        <v>1522</v>
      </c>
      <c r="H146" t="s">
        <v>1531</v>
      </c>
      <c r="I146" t="s">
        <v>1675</v>
      </c>
      <c r="J146">
        <v>3140.37</v>
      </c>
      <c r="K146">
        <v>10</v>
      </c>
      <c r="L146">
        <v>0.2</v>
      </c>
      <c r="M146">
        <v>601.96</v>
      </c>
    </row>
    <row r="147" spans="1:13" x14ac:dyDescent="0.3">
      <c r="A147" t="s">
        <v>158</v>
      </c>
      <c r="B147" s="2">
        <v>45804</v>
      </c>
      <c r="C147" s="2">
        <v>45814</v>
      </c>
      <c r="D147" t="s">
        <v>925</v>
      </c>
      <c r="E147" t="s">
        <v>1515</v>
      </c>
      <c r="F147" t="s">
        <v>1517</v>
      </c>
      <c r="G147" t="s">
        <v>1521</v>
      </c>
      <c r="H147" t="s">
        <v>1528</v>
      </c>
      <c r="I147" t="s">
        <v>1676</v>
      </c>
      <c r="J147">
        <v>2179.4899999999998</v>
      </c>
      <c r="K147">
        <v>2</v>
      </c>
      <c r="M147">
        <v>344.37</v>
      </c>
    </row>
    <row r="148" spans="1:13" x14ac:dyDescent="0.3">
      <c r="A148" t="s">
        <v>159</v>
      </c>
      <c r="B148" s="2">
        <v>45980</v>
      </c>
      <c r="C148" s="2">
        <v>45984</v>
      </c>
      <c r="D148" t="s">
        <v>926</v>
      </c>
      <c r="E148" t="s">
        <v>1513</v>
      </c>
      <c r="F148" t="s">
        <v>1519</v>
      </c>
      <c r="G148" t="s">
        <v>1521</v>
      </c>
      <c r="H148" t="s">
        <v>1526</v>
      </c>
      <c r="I148" t="s">
        <v>1677</v>
      </c>
      <c r="J148">
        <v>2098.38</v>
      </c>
      <c r="K148">
        <v>8</v>
      </c>
      <c r="L148">
        <v>0.15</v>
      </c>
      <c r="M148">
        <v>60.42</v>
      </c>
    </row>
    <row r="149" spans="1:13" x14ac:dyDescent="0.3">
      <c r="A149" t="s">
        <v>160</v>
      </c>
      <c r="B149" s="2">
        <v>45497</v>
      </c>
      <c r="C149" s="2">
        <v>45502</v>
      </c>
      <c r="D149" t="s">
        <v>927</v>
      </c>
      <c r="E149" t="s">
        <v>1513</v>
      </c>
      <c r="F149" t="s">
        <v>1516</v>
      </c>
      <c r="G149" t="s">
        <v>1521</v>
      </c>
      <c r="H149" t="s">
        <v>1526</v>
      </c>
      <c r="I149" t="s">
        <v>1678</v>
      </c>
      <c r="J149">
        <v>1902.79</v>
      </c>
      <c r="K149">
        <v>3</v>
      </c>
      <c r="M149">
        <v>585.38</v>
      </c>
    </row>
    <row r="150" spans="1:13" x14ac:dyDescent="0.3">
      <c r="A150" t="s">
        <v>161</v>
      </c>
      <c r="B150" s="2">
        <v>45771</v>
      </c>
      <c r="C150" s="2">
        <v>45778</v>
      </c>
      <c r="D150" t="s">
        <v>928</v>
      </c>
      <c r="E150" t="s">
        <v>1515</v>
      </c>
      <c r="F150" t="s">
        <v>1519</v>
      </c>
      <c r="G150" t="s">
        <v>1522</v>
      </c>
      <c r="H150" t="s">
        <v>1531</v>
      </c>
      <c r="I150" t="s">
        <v>1679</v>
      </c>
      <c r="J150">
        <v>527.99</v>
      </c>
      <c r="K150">
        <v>6</v>
      </c>
      <c r="L150">
        <v>0.05</v>
      </c>
      <c r="M150">
        <v>55.97</v>
      </c>
    </row>
    <row r="151" spans="1:13" x14ac:dyDescent="0.3">
      <c r="A151" t="s">
        <v>162</v>
      </c>
      <c r="B151" s="2">
        <v>45622</v>
      </c>
      <c r="C151" s="2">
        <v>45629</v>
      </c>
      <c r="D151" t="s">
        <v>929</v>
      </c>
      <c r="E151" t="s">
        <v>1514</v>
      </c>
      <c r="F151" t="s">
        <v>1519</v>
      </c>
      <c r="G151" t="s">
        <v>1520</v>
      </c>
      <c r="H151" t="s">
        <v>1523</v>
      </c>
      <c r="I151" t="s">
        <v>1680</v>
      </c>
      <c r="J151">
        <v>1800.31</v>
      </c>
      <c r="K151">
        <v>7</v>
      </c>
      <c r="M151">
        <v>-309.12</v>
      </c>
    </row>
    <row r="152" spans="1:13" x14ac:dyDescent="0.3">
      <c r="A152" t="s">
        <v>163</v>
      </c>
      <c r="B152" s="2">
        <v>45210</v>
      </c>
      <c r="C152" s="2">
        <v>45220</v>
      </c>
      <c r="D152" t="s">
        <v>930</v>
      </c>
      <c r="E152" t="s">
        <v>1513</v>
      </c>
      <c r="F152" t="s">
        <v>1519</v>
      </c>
      <c r="G152" t="s">
        <v>1521</v>
      </c>
      <c r="H152" t="s">
        <v>1530</v>
      </c>
      <c r="I152" t="s">
        <v>1681</v>
      </c>
      <c r="J152">
        <v>2561.69</v>
      </c>
      <c r="K152">
        <v>3</v>
      </c>
      <c r="M152">
        <v>167.03</v>
      </c>
    </row>
    <row r="153" spans="1:13" x14ac:dyDescent="0.3">
      <c r="A153" t="s">
        <v>164</v>
      </c>
      <c r="B153" s="2">
        <v>45497</v>
      </c>
      <c r="C153" s="2">
        <v>45499</v>
      </c>
      <c r="D153" t="s">
        <v>931</v>
      </c>
      <c r="E153" t="s">
        <v>1515</v>
      </c>
      <c r="F153" t="s">
        <v>1516</v>
      </c>
      <c r="G153" t="s">
        <v>1520</v>
      </c>
      <c r="H153" t="s">
        <v>1524</v>
      </c>
      <c r="I153" t="s">
        <v>1682</v>
      </c>
      <c r="J153">
        <v>3824.9</v>
      </c>
      <c r="K153">
        <v>10</v>
      </c>
      <c r="L153">
        <v>0.05</v>
      </c>
      <c r="M153">
        <v>933.17</v>
      </c>
    </row>
    <row r="154" spans="1:13" x14ac:dyDescent="0.3">
      <c r="A154" t="s">
        <v>165</v>
      </c>
      <c r="B154" s="2">
        <v>46123</v>
      </c>
      <c r="C154" s="2">
        <v>46128</v>
      </c>
      <c r="D154" t="s">
        <v>932</v>
      </c>
      <c r="E154" t="s">
        <v>1514</v>
      </c>
      <c r="F154" t="s">
        <v>1519</v>
      </c>
      <c r="G154" t="s">
        <v>1520</v>
      </c>
      <c r="H154" t="s">
        <v>1525</v>
      </c>
      <c r="I154" t="s">
        <v>1683</v>
      </c>
      <c r="J154">
        <v>193.32</v>
      </c>
      <c r="K154">
        <v>5</v>
      </c>
      <c r="M154">
        <v>42.4</v>
      </c>
    </row>
    <row r="155" spans="1:13" x14ac:dyDescent="0.3">
      <c r="A155" t="s">
        <v>166</v>
      </c>
      <c r="B155" s="2">
        <v>45511</v>
      </c>
      <c r="C155" s="2">
        <v>45514</v>
      </c>
      <c r="D155" t="s">
        <v>933</v>
      </c>
      <c r="E155" t="s">
        <v>1515</v>
      </c>
      <c r="F155" t="s">
        <v>1516</v>
      </c>
      <c r="G155" t="s">
        <v>1522</v>
      </c>
      <c r="H155" t="s">
        <v>1531</v>
      </c>
      <c r="I155" t="s">
        <v>1684</v>
      </c>
      <c r="J155">
        <v>2853.29</v>
      </c>
      <c r="K155">
        <v>7</v>
      </c>
      <c r="L155">
        <v>0</v>
      </c>
      <c r="M155">
        <v>-348.01</v>
      </c>
    </row>
    <row r="156" spans="1:13" x14ac:dyDescent="0.3">
      <c r="A156" t="s">
        <v>167</v>
      </c>
      <c r="B156" s="2">
        <v>45159</v>
      </c>
      <c r="C156" s="2">
        <v>45168</v>
      </c>
      <c r="D156" t="s">
        <v>934</v>
      </c>
      <c r="E156" t="s">
        <v>1514</v>
      </c>
      <c r="F156" t="s">
        <v>1519</v>
      </c>
      <c r="G156" t="s">
        <v>1522</v>
      </c>
      <c r="H156" t="s">
        <v>1527</v>
      </c>
      <c r="I156" t="s">
        <v>1685</v>
      </c>
      <c r="J156">
        <v>1114.9100000000001</v>
      </c>
      <c r="K156">
        <v>7</v>
      </c>
      <c r="L156">
        <v>0.15</v>
      </c>
      <c r="M156">
        <v>-13.94</v>
      </c>
    </row>
    <row r="157" spans="1:13" x14ac:dyDescent="0.3">
      <c r="A157" t="s">
        <v>168</v>
      </c>
      <c r="B157" s="2">
        <v>45191</v>
      </c>
      <c r="C157" s="2">
        <v>45201</v>
      </c>
      <c r="E157" t="s">
        <v>1515</v>
      </c>
      <c r="F157" t="s">
        <v>1516</v>
      </c>
      <c r="G157" t="s">
        <v>1520</v>
      </c>
      <c r="H157" t="s">
        <v>1524</v>
      </c>
      <c r="I157" t="s">
        <v>1686</v>
      </c>
      <c r="J157">
        <v>3001.31</v>
      </c>
      <c r="K157">
        <v>1</v>
      </c>
      <c r="L157">
        <v>0.05</v>
      </c>
      <c r="M157">
        <v>-340.42</v>
      </c>
    </row>
    <row r="158" spans="1:13" x14ac:dyDescent="0.3">
      <c r="A158" t="s">
        <v>169</v>
      </c>
      <c r="B158" s="2">
        <v>45205</v>
      </c>
      <c r="C158" s="2">
        <v>45210</v>
      </c>
      <c r="D158" t="s">
        <v>935</v>
      </c>
      <c r="E158" t="s">
        <v>1514</v>
      </c>
      <c r="F158" t="s">
        <v>1519</v>
      </c>
      <c r="G158" t="s">
        <v>1520</v>
      </c>
      <c r="H158" t="s">
        <v>1523</v>
      </c>
      <c r="I158" t="s">
        <v>1687</v>
      </c>
      <c r="J158">
        <v>2243.41</v>
      </c>
      <c r="K158">
        <v>7</v>
      </c>
      <c r="L158">
        <v>0.15</v>
      </c>
      <c r="M158">
        <v>300.37</v>
      </c>
    </row>
    <row r="159" spans="1:13" x14ac:dyDescent="0.3">
      <c r="A159" t="s">
        <v>170</v>
      </c>
      <c r="B159" s="2">
        <v>45913</v>
      </c>
      <c r="C159" s="2">
        <v>45915</v>
      </c>
      <c r="D159" t="s">
        <v>936</v>
      </c>
      <c r="E159" t="s">
        <v>1515</v>
      </c>
      <c r="F159" t="s">
        <v>1518</v>
      </c>
      <c r="G159" t="s">
        <v>1522</v>
      </c>
      <c r="H159" t="s">
        <v>1527</v>
      </c>
      <c r="I159" t="s">
        <v>1688</v>
      </c>
      <c r="J159">
        <v>1758.61</v>
      </c>
      <c r="K159">
        <v>2</v>
      </c>
      <c r="L159">
        <v>0.1</v>
      </c>
      <c r="M159">
        <v>304.27</v>
      </c>
    </row>
    <row r="160" spans="1:13" x14ac:dyDescent="0.3">
      <c r="A160" t="s">
        <v>171</v>
      </c>
      <c r="B160" s="2">
        <v>45828</v>
      </c>
      <c r="C160" s="2">
        <v>45833</v>
      </c>
      <c r="D160" t="s">
        <v>937</v>
      </c>
      <c r="E160" t="s">
        <v>1513</v>
      </c>
      <c r="F160" t="s">
        <v>1519</v>
      </c>
      <c r="G160" t="s">
        <v>1520</v>
      </c>
      <c r="H160" t="s">
        <v>1525</v>
      </c>
      <c r="I160" t="s">
        <v>1689</v>
      </c>
      <c r="J160">
        <v>274.82</v>
      </c>
      <c r="K160">
        <v>7</v>
      </c>
      <c r="L160">
        <v>0.2</v>
      </c>
      <c r="M160">
        <v>-46.68</v>
      </c>
    </row>
    <row r="161" spans="1:13" x14ac:dyDescent="0.3">
      <c r="A161" t="s">
        <v>172</v>
      </c>
      <c r="B161" s="2">
        <v>45482</v>
      </c>
      <c r="C161" s="2">
        <v>45487</v>
      </c>
      <c r="D161" t="s">
        <v>938</v>
      </c>
      <c r="E161" t="s">
        <v>1514</v>
      </c>
      <c r="F161" t="s">
        <v>1517</v>
      </c>
      <c r="G161" t="s">
        <v>1522</v>
      </c>
      <c r="H161" t="s">
        <v>1531</v>
      </c>
      <c r="I161" t="s">
        <v>1690</v>
      </c>
      <c r="J161">
        <v>1482.76</v>
      </c>
      <c r="K161">
        <v>2</v>
      </c>
      <c r="L161">
        <v>0</v>
      </c>
      <c r="M161">
        <v>109.07</v>
      </c>
    </row>
    <row r="162" spans="1:13" x14ac:dyDescent="0.3">
      <c r="A162" t="s">
        <v>173</v>
      </c>
      <c r="B162" s="2">
        <v>45964</v>
      </c>
      <c r="C162" s="2">
        <v>45973</v>
      </c>
      <c r="D162" t="s">
        <v>939</v>
      </c>
      <c r="E162" t="s">
        <v>1514</v>
      </c>
      <c r="F162" t="s">
        <v>1516</v>
      </c>
      <c r="G162" t="s">
        <v>1522</v>
      </c>
      <c r="H162" t="s">
        <v>1529</v>
      </c>
      <c r="I162" t="s">
        <v>1691</v>
      </c>
      <c r="J162">
        <v>3533.17</v>
      </c>
      <c r="K162">
        <v>9</v>
      </c>
      <c r="L162">
        <v>0.2</v>
      </c>
      <c r="M162">
        <v>912.78</v>
      </c>
    </row>
    <row r="163" spans="1:13" x14ac:dyDescent="0.3">
      <c r="A163" t="s">
        <v>174</v>
      </c>
      <c r="B163" s="2">
        <v>46145</v>
      </c>
      <c r="C163" s="2">
        <v>46146</v>
      </c>
      <c r="D163" t="s">
        <v>940</v>
      </c>
      <c r="E163" t="s">
        <v>1515</v>
      </c>
      <c r="F163" t="s">
        <v>1518</v>
      </c>
      <c r="G163" t="s">
        <v>1521</v>
      </c>
      <c r="H163" t="s">
        <v>1528</v>
      </c>
      <c r="I163" t="s">
        <v>1692</v>
      </c>
      <c r="J163">
        <v>2209.29</v>
      </c>
      <c r="K163">
        <v>8</v>
      </c>
      <c r="L163">
        <v>0</v>
      </c>
      <c r="M163">
        <v>605.70000000000005</v>
      </c>
    </row>
    <row r="164" spans="1:13" x14ac:dyDescent="0.3">
      <c r="A164" t="s">
        <v>175</v>
      </c>
      <c r="B164" s="2">
        <v>45555</v>
      </c>
      <c r="C164" s="2">
        <v>45562</v>
      </c>
      <c r="D164" t="s">
        <v>941</v>
      </c>
      <c r="E164" t="s">
        <v>1513</v>
      </c>
      <c r="F164" t="s">
        <v>1518</v>
      </c>
      <c r="G164" t="s">
        <v>1520</v>
      </c>
      <c r="H164" t="s">
        <v>1524</v>
      </c>
      <c r="I164" t="s">
        <v>1693</v>
      </c>
      <c r="J164">
        <v>1483.1</v>
      </c>
      <c r="K164">
        <v>7</v>
      </c>
      <c r="L164">
        <v>0</v>
      </c>
      <c r="M164">
        <v>491.51</v>
      </c>
    </row>
    <row r="165" spans="1:13" x14ac:dyDescent="0.3">
      <c r="A165" t="s">
        <v>176</v>
      </c>
      <c r="B165" s="2">
        <v>45875</v>
      </c>
      <c r="C165" s="2">
        <v>45877</v>
      </c>
      <c r="D165" t="s">
        <v>942</v>
      </c>
      <c r="E165" t="s">
        <v>1514</v>
      </c>
      <c r="F165" t="s">
        <v>1516</v>
      </c>
      <c r="G165" t="s">
        <v>1520</v>
      </c>
      <c r="H165" t="s">
        <v>1524</v>
      </c>
      <c r="I165" t="s">
        <v>1694</v>
      </c>
      <c r="J165">
        <v>2211.7199999999998</v>
      </c>
      <c r="K165">
        <v>2</v>
      </c>
      <c r="L165">
        <v>0.05</v>
      </c>
      <c r="M165">
        <v>87.63</v>
      </c>
    </row>
    <row r="166" spans="1:13" x14ac:dyDescent="0.3">
      <c r="A166" t="s">
        <v>177</v>
      </c>
      <c r="B166" s="2">
        <v>46139</v>
      </c>
      <c r="C166" s="2">
        <v>46145</v>
      </c>
      <c r="D166" t="s">
        <v>943</v>
      </c>
      <c r="E166" t="s">
        <v>1513</v>
      </c>
      <c r="F166" t="s">
        <v>1517</v>
      </c>
      <c r="G166" t="s">
        <v>1521</v>
      </c>
      <c r="H166" t="s">
        <v>1526</v>
      </c>
      <c r="I166" t="s">
        <v>1695</v>
      </c>
      <c r="J166">
        <v>1146.78</v>
      </c>
      <c r="K166">
        <v>3</v>
      </c>
      <c r="L166">
        <v>0</v>
      </c>
      <c r="M166">
        <v>92.62</v>
      </c>
    </row>
    <row r="167" spans="1:13" x14ac:dyDescent="0.3">
      <c r="A167" t="s">
        <v>178</v>
      </c>
      <c r="B167" s="2">
        <v>45529</v>
      </c>
      <c r="C167" s="2">
        <v>45532</v>
      </c>
      <c r="D167" t="s">
        <v>944</v>
      </c>
      <c r="E167" t="s">
        <v>1515</v>
      </c>
      <c r="F167" t="s">
        <v>1517</v>
      </c>
      <c r="G167" t="s">
        <v>1521</v>
      </c>
      <c r="H167" t="s">
        <v>1526</v>
      </c>
      <c r="I167" t="s">
        <v>1585</v>
      </c>
      <c r="J167">
        <v>1219.53</v>
      </c>
      <c r="K167">
        <v>3</v>
      </c>
      <c r="L167">
        <v>0.1</v>
      </c>
      <c r="M167">
        <v>-111.59</v>
      </c>
    </row>
    <row r="168" spans="1:13" x14ac:dyDescent="0.3">
      <c r="A168" t="s">
        <v>179</v>
      </c>
      <c r="B168" s="2">
        <v>45970</v>
      </c>
      <c r="C168" s="2">
        <v>45973</v>
      </c>
      <c r="D168" t="s">
        <v>945</v>
      </c>
      <c r="E168" t="s">
        <v>1515</v>
      </c>
      <c r="F168" t="s">
        <v>1518</v>
      </c>
      <c r="G168" t="s">
        <v>1520</v>
      </c>
      <c r="H168" t="s">
        <v>1523</v>
      </c>
      <c r="I168" t="s">
        <v>1696</v>
      </c>
      <c r="J168">
        <v>4758.8999999999996</v>
      </c>
      <c r="K168">
        <v>8</v>
      </c>
      <c r="L168">
        <v>0.15</v>
      </c>
      <c r="M168">
        <v>1022.9</v>
      </c>
    </row>
    <row r="169" spans="1:13" x14ac:dyDescent="0.3">
      <c r="A169" t="s">
        <v>180</v>
      </c>
      <c r="B169" s="2">
        <v>45406</v>
      </c>
      <c r="C169" s="2">
        <v>45416</v>
      </c>
      <c r="D169" t="s">
        <v>946</v>
      </c>
      <c r="E169" t="s">
        <v>1514</v>
      </c>
      <c r="F169" t="s">
        <v>1518</v>
      </c>
      <c r="G169" t="s">
        <v>1520</v>
      </c>
      <c r="H169" t="s">
        <v>1525</v>
      </c>
      <c r="I169" t="s">
        <v>1697</v>
      </c>
      <c r="J169">
        <v>1649.88</v>
      </c>
      <c r="K169">
        <v>6</v>
      </c>
      <c r="L169">
        <v>0.05</v>
      </c>
      <c r="M169">
        <v>69.08</v>
      </c>
    </row>
    <row r="170" spans="1:13" x14ac:dyDescent="0.3">
      <c r="A170" t="s">
        <v>181</v>
      </c>
      <c r="B170" s="2">
        <v>46010</v>
      </c>
      <c r="C170" s="2">
        <v>46015</v>
      </c>
      <c r="D170" t="s">
        <v>947</v>
      </c>
      <c r="E170" t="s">
        <v>1514</v>
      </c>
      <c r="G170" t="s">
        <v>1520</v>
      </c>
      <c r="H170" t="s">
        <v>1524</v>
      </c>
      <c r="I170" t="s">
        <v>1698</v>
      </c>
      <c r="J170">
        <v>2977.53</v>
      </c>
      <c r="K170">
        <v>6</v>
      </c>
      <c r="L170">
        <v>0.2</v>
      </c>
      <c r="M170">
        <v>-474.01</v>
      </c>
    </row>
    <row r="171" spans="1:13" x14ac:dyDescent="0.3">
      <c r="A171" t="s">
        <v>182</v>
      </c>
      <c r="B171" s="2">
        <v>46065</v>
      </c>
      <c r="C171" s="2">
        <v>46071</v>
      </c>
      <c r="D171" t="s">
        <v>948</v>
      </c>
      <c r="E171" t="s">
        <v>1513</v>
      </c>
      <c r="F171" t="s">
        <v>1518</v>
      </c>
      <c r="G171" t="s">
        <v>1522</v>
      </c>
      <c r="H171" t="s">
        <v>1531</v>
      </c>
      <c r="I171" t="s">
        <v>1699</v>
      </c>
      <c r="J171">
        <v>4166.8999999999996</v>
      </c>
      <c r="K171">
        <v>2</v>
      </c>
      <c r="M171">
        <v>1147.3</v>
      </c>
    </row>
    <row r="172" spans="1:13" x14ac:dyDescent="0.3">
      <c r="A172" t="s">
        <v>183</v>
      </c>
      <c r="B172" s="2">
        <v>45782</v>
      </c>
      <c r="C172" s="2">
        <v>45791</v>
      </c>
      <c r="D172" t="s">
        <v>949</v>
      </c>
      <c r="E172" t="s">
        <v>1515</v>
      </c>
      <c r="F172" t="s">
        <v>1517</v>
      </c>
      <c r="G172" t="s">
        <v>1521</v>
      </c>
      <c r="H172" t="s">
        <v>1528</v>
      </c>
      <c r="I172" t="s">
        <v>1700</v>
      </c>
      <c r="J172">
        <v>4773.45</v>
      </c>
      <c r="K172">
        <v>1</v>
      </c>
      <c r="L172">
        <v>0.15</v>
      </c>
      <c r="M172">
        <v>1431.93</v>
      </c>
    </row>
    <row r="173" spans="1:13" x14ac:dyDescent="0.3">
      <c r="A173" t="s">
        <v>184</v>
      </c>
      <c r="B173" s="2">
        <v>45950</v>
      </c>
      <c r="C173" s="2">
        <v>45958</v>
      </c>
      <c r="D173" t="s">
        <v>950</v>
      </c>
      <c r="E173" t="s">
        <v>1514</v>
      </c>
      <c r="F173" t="s">
        <v>1516</v>
      </c>
      <c r="G173" t="s">
        <v>1521</v>
      </c>
      <c r="H173" t="s">
        <v>1528</v>
      </c>
      <c r="I173" t="s">
        <v>1701</v>
      </c>
      <c r="J173">
        <v>2531.77</v>
      </c>
      <c r="K173">
        <v>1</v>
      </c>
      <c r="L173">
        <v>0.15</v>
      </c>
      <c r="M173">
        <v>-362.23</v>
      </c>
    </row>
    <row r="174" spans="1:13" x14ac:dyDescent="0.3">
      <c r="A174" t="s">
        <v>185</v>
      </c>
      <c r="B174" s="2">
        <v>46090</v>
      </c>
      <c r="C174" s="2">
        <v>46093</v>
      </c>
      <c r="D174" t="s">
        <v>951</v>
      </c>
      <c r="E174" t="s">
        <v>1515</v>
      </c>
      <c r="F174" t="s">
        <v>1517</v>
      </c>
      <c r="G174" t="s">
        <v>1520</v>
      </c>
      <c r="H174" t="s">
        <v>1525</v>
      </c>
      <c r="I174" t="s">
        <v>1702</v>
      </c>
      <c r="J174">
        <v>243.75</v>
      </c>
      <c r="K174">
        <v>8</v>
      </c>
      <c r="L174">
        <v>0.15</v>
      </c>
      <c r="M174">
        <v>21.51</v>
      </c>
    </row>
    <row r="175" spans="1:13" x14ac:dyDescent="0.3">
      <c r="A175" t="s">
        <v>186</v>
      </c>
      <c r="B175" s="2">
        <v>45942</v>
      </c>
      <c r="C175" s="2">
        <v>45947</v>
      </c>
      <c r="D175" t="s">
        <v>952</v>
      </c>
      <c r="E175" t="s">
        <v>1515</v>
      </c>
      <c r="F175" t="s">
        <v>1519</v>
      </c>
      <c r="G175" t="s">
        <v>1521</v>
      </c>
      <c r="H175" t="s">
        <v>1526</v>
      </c>
      <c r="I175" t="s">
        <v>1703</v>
      </c>
      <c r="J175">
        <v>1967.71</v>
      </c>
      <c r="K175">
        <v>6</v>
      </c>
      <c r="M175">
        <v>253.51</v>
      </c>
    </row>
    <row r="176" spans="1:13" x14ac:dyDescent="0.3">
      <c r="A176" t="s">
        <v>187</v>
      </c>
      <c r="B176" s="2">
        <v>45480</v>
      </c>
      <c r="C176" s="2">
        <v>45482</v>
      </c>
      <c r="D176" t="s">
        <v>953</v>
      </c>
      <c r="E176" t="s">
        <v>1515</v>
      </c>
      <c r="F176" t="s">
        <v>1517</v>
      </c>
      <c r="G176" t="s">
        <v>1522</v>
      </c>
      <c r="H176" t="s">
        <v>1529</v>
      </c>
      <c r="I176" t="s">
        <v>1704</v>
      </c>
      <c r="J176">
        <v>2811.92</v>
      </c>
      <c r="K176">
        <v>7</v>
      </c>
      <c r="L176">
        <v>0.1</v>
      </c>
      <c r="M176">
        <v>-172.66</v>
      </c>
    </row>
    <row r="177" spans="1:13" x14ac:dyDescent="0.3">
      <c r="A177" t="s">
        <v>188</v>
      </c>
      <c r="B177" s="2">
        <v>45905</v>
      </c>
      <c r="C177" s="2">
        <v>45915</v>
      </c>
      <c r="D177" t="s">
        <v>954</v>
      </c>
      <c r="E177" t="s">
        <v>1515</v>
      </c>
      <c r="F177" t="s">
        <v>1518</v>
      </c>
      <c r="G177" t="s">
        <v>1521</v>
      </c>
      <c r="H177" t="s">
        <v>1530</v>
      </c>
      <c r="I177" t="s">
        <v>1705</v>
      </c>
      <c r="J177">
        <v>3334.88</v>
      </c>
      <c r="K177">
        <v>6</v>
      </c>
      <c r="L177">
        <v>0.1</v>
      </c>
      <c r="M177">
        <v>1107.96</v>
      </c>
    </row>
    <row r="178" spans="1:13" x14ac:dyDescent="0.3">
      <c r="A178" t="s">
        <v>189</v>
      </c>
      <c r="B178" s="2">
        <v>46023</v>
      </c>
      <c r="C178" s="2">
        <v>46025</v>
      </c>
      <c r="D178" t="s">
        <v>955</v>
      </c>
      <c r="E178" t="s">
        <v>1513</v>
      </c>
      <c r="F178" t="s">
        <v>1516</v>
      </c>
      <c r="G178" t="s">
        <v>1522</v>
      </c>
      <c r="H178" t="s">
        <v>1527</v>
      </c>
      <c r="I178" t="s">
        <v>1706</v>
      </c>
      <c r="J178">
        <v>1582.43</v>
      </c>
      <c r="K178">
        <v>7</v>
      </c>
      <c r="M178">
        <v>372.53</v>
      </c>
    </row>
    <row r="179" spans="1:13" x14ac:dyDescent="0.3">
      <c r="A179" t="s">
        <v>190</v>
      </c>
      <c r="B179" s="2">
        <v>45582</v>
      </c>
      <c r="C179" s="2">
        <v>45589</v>
      </c>
      <c r="D179" t="s">
        <v>858</v>
      </c>
      <c r="E179" t="s">
        <v>1513</v>
      </c>
      <c r="F179" t="s">
        <v>1519</v>
      </c>
      <c r="G179" t="s">
        <v>1520</v>
      </c>
      <c r="H179" t="s">
        <v>1525</v>
      </c>
      <c r="I179" t="s">
        <v>1707</v>
      </c>
      <c r="J179">
        <v>2567.02</v>
      </c>
      <c r="K179">
        <v>1</v>
      </c>
      <c r="L179">
        <v>0.1</v>
      </c>
      <c r="M179">
        <v>-77.33</v>
      </c>
    </row>
    <row r="180" spans="1:13" x14ac:dyDescent="0.3">
      <c r="A180" t="s">
        <v>191</v>
      </c>
      <c r="B180" s="2">
        <v>45663</v>
      </c>
      <c r="C180" s="2">
        <v>45667</v>
      </c>
      <c r="D180" t="s">
        <v>956</v>
      </c>
      <c r="E180" t="s">
        <v>1513</v>
      </c>
      <c r="F180" t="s">
        <v>1516</v>
      </c>
      <c r="G180" t="s">
        <v>1521</v>
      </c>
      <c r="H180" t="s">
        <v>1530</v>
      </c>
      <c r="I180" t="s">
        <v>1708</v>
      </c>
      <c r="J180">
        <v>4999.88</v>
      </c>
      <c r="K180">
        <v>3</v>
      </c>
      <c r="L180">
        <v>0</v>
      </c>
      <c r="M180">
        <v>-186.57</v>
      </c>
    </row>
    <row r="181" spans="1:13" x14ac:dyDescent="0.3">
      <c r="A181" t="s">
        <v>192</v>
      </c>
      <c r="B181" s="2">
        <v>45947</v>
      </c>
      <c r="C181" s="2">
        <v>45957</v>
      </c>
      <c r="D181" t="s">
        <v>957</v>
      </c>
      <c r="E181" t="s">
        <v>1515</v>
      </c>
      <c r="F181" t="s">
        <v>1517</v>
      </c>
      <c r="G181" t="s">
        <v>1520</v>
      </c>
      <c r="H181" t="s">
        <v>1524</v>
      </c>
      <c r="I181" t="s">
        <v>1709</v>
      </c>
      <c r="J181">
        <v>698.69</v>
      </c>
      <c r="K181">
        <v>7</v>
      </c>
      <c r="L181">
        <v>0.05</v>
      </c>
      <c r="M181">
        <v>-77.39</v>
      </c>
    </row>
    <row r="182" spans="1:13" x14ac:dyDescent="0.3">
      <c r="A182" t="s">
        <v>193</v>
      </c>
      <c r="B182" s="2">
        <v>45922</v>
      </c>
      <c r="C182" s="2">
        <v>45923</v>
      </c>
      <c r="D182" t="s">
        <v>958</v>
      </c>
      <c r="E182" t="s">
        <v>1515</v>
      </c>
      <c r="F182" t="s">
        <v>1518</v>
      </c>
      <c r="G182" t="s">
        <v>1520</v>
      </c>
      <c r="H182" t="s">
        <v>1524</v>
      </c>
      <c r="I182" t="s">
        <v>1710</v>
      </c>
      <c r="J182">
        <v>2083.75</v>
      </c>
      <c r="K182">
        <v>4</v>
      </c>
      <c r="L182">
        <v>0.15</v>
      </c>
      <c r="M182">
        <v>283.02999999999997</v>
      </c>
    </row>
    <row r="183" spans="1:13" x14ac:dyDescent="0.3">
      <c r="A183" t="s">
        <v>194</v>
      </c>
      <c r="B183" s="2">
        <v>45198</v>
      </c>
      <c r="C183" s="2">
        <v>45202</v>
      </c>
      <c r="D183" t="s">
        <v>959</v>
      </c>
      <c r="E183" t="s">
        <v>1515</v>
      </c>
      <c r="F183" t="s">
        <v>1518</v>
      </c>
      <c r="G183" t="s">
        <v>1522</v>
      </c>
      <c r="H183" t="s">
        <v>1527</v>
      </c>
      <c r="I183" t="s">
        <v>1711</v>
      </c>
      <c r="J183">
        <v>1581.87</v>
      </c>
      <c r="K183">
        <v>8</v>
      </c>
      <c r="L183">
        <v>0.05</v>
      </c>
      <c r="M183">
        <v>3.66</v>
      </c>
    </row>
    <row r="184" spans="1:13" x14ac:dyDescent="0.3">
      <c r="A184" t="s">
        <v>195</v>
      </c>
      <c r="B184" s="2">
        <v>45707</v>
      </c>
      <c r="C184" s="2">
        <v>45714</v>
      </c>
      <c r="D184" t="s">
        <v>960</v>
      </c>
      <c r="E184" t="s">
        <v>1515</v>
      </c>
      <c r="F184" t="s">
        <v>1517</v>
      </c>
      <c r="G184" t="s">
        <v>1521</v>
      </c>
      <c r="H184" t="s">
        <v>1526</v>
      </c>
      <c r="I184" t="s">
        <v>1712</v>
      </c>
      <c r="J184">
        <v>2539.39</v>
      </c>
      <c r="K184">
        <v>7</v>
      </c>
      <c r="L184">
        <v>0.05</v>
      </c>
      <c r="M184">
        <v>633.04</v>
      </c>
    </row>
    <row r="185" spans="1:13" x14ac:dyDescent="0.3">
      <c r="A185" t="s">
        <v>196</v>
      </c>
      <c r="B185" s="2">
        <v>45310</v>
      </c>
      <c r="C185" s="2">
        <v>45318</v>
      </c>
      <c r="D185" t="s">
        <v>961</v>
      </c>
      <c r="E185" t="s">
        <v>1515</v>
      </c>
      <c r="F185" t="s">
        <v>1516</v>
      </c>
      <c r="G185" t="s">
        <v>1521</v>
      </c>
      <c r="H185" t="s">
        <v>1530</v>
      </c>
      <c r="I185" t="s">
        <v>1713</v>
      </c>
      <c r="J185">
        <v>4376.88</v>
      </c>
      <c r="K185">
        <v>9</v>
      </c>
      <c r="L185">
        <v>0</v>
      </c>
      <c r="M185">
        <v>837.17</v>
      </c>
    </row>
    <row r="186" spans="1:13" x14ac:dyDescent="0.3">
      <c r="A186" t="s">
        <v>197</v>
      </c>
      <c r="B186" s="2">
        <v>45116</v>
      </c>
      <c r="C186" s="2">
        <v>45119</v>
      </c>
      <c r="D186" t="s">
        <v>962</v>
      </c>
      <c r="E186" t="s">
        <v>1513</v>
      </c>
      <c r="F186" t="s">
        <v>1517</v>
      </c>
      <c r="G186" t="s">
        <v>1521</v>
      </c>
      <c r="H186" t="s">
        <v>1530</v>
      </c>
      <c r="I186" t="s">
        <v>1714</v>
      </c>
      <c r="J186">
        <v>1400.32</v>
      </c>
      <c r="K186">
        <v>9</v>
      </c>
      <c r="L186">
        <v>0.05</v>
      </c>
      <c r="M186">
        <v>359.99</v>
      </c>
    </row>
    <row r="187" spans="1:13" x14ac:dyDescent="0.3">
      <c r="A187" t="s">
        <v>198</v>
      </c>
      <c r="B187" s="2">
        <v>45887</v>
      </c>
      <c r="C187" s="2">
        <v>45888</v>
      </c>
      <c r="D187" t="s">
        <v>963</v>
      </c>
      <c r="E187" t="s">
        <v>1514</v>
      </c>
      <c r="F187" t="s">
        <v>1516</v>
      </c>
      <c r="G187" t="s">
        <v>1521</v>
      </c>
      <c r="H187" t="s">
        <v>1526</v>
      </c>
      <c r="I187" t="s">
        <v>1715</v>
      </c>
      <c r="J187">
        <v>2103.7399999999998</v>
      </c>
      <c r="K187">
        <v>7</v>
      </c>
      <c r="L187">
        <v>0.2</v>
      </c>
      <c r="M187">
        <v>11.95</v>
      </c>
    </row>
    <row r="188" spans="1:13" x14ac:dyDescent="0.3">
      <c r="A188" t="s">
        <v>199</v>
      </c>
      <c r="B188" t="s">
        <v>768</v>
      </c>
      <c r="C188" s="2">
        <v>45185</v>
      </c>
      <c r="D188" t="s">
        <v>964</v>
      </c>
      <c r="E188" t="s">
        <v>1513</v>
      </c>
      <c r="F188" t="s">
        <v>1517</v>
      </c>
      <c r="G188" t="s">
        <v>1521</v>
      </c>
      <c r="H188" t="s">
        <v>1530</v>
      </c>
      <c r="I188" t="s">
        <v>1716</v>
      </c>
      <c r="J188">
        <v>1627.49</v>
      </c>
      <c r="K188">
        <v>2</v>
      </c>
      <c r="M188">
        <v>256.29000000000002</v>
      </c>
    </row>
    <row r="189" spans="1:13" x14ac:dyDescent="0.3">
      <c r="A189" t="s">
        <v>200</v>
      </c>
      <c r="B189" s="2">
        <v>45874</v>
      </c>
      <c r="C189" s="2">
        <v>45882</v>
      </c>
      <c r="D189" t="s">
        <v>965</v>
      </c>
      <c r="E189" t="s">
        <v>1515</v>
      </c>
      <c r="F189" t="s">
        <v>1516</v>
      </c>
      <c r="G189" t="s">
        <v>1522</v>
      </c>
      <c r="H189" t="s">
        <v>1529</v>
      </c>
      <c r="I189" t="s">
        <v>1717</v>
      </c>
      <c r="J189">
        <v>3495.56</v>
      </c>
      <c r="K189">
        <v>3</v>
      </c>
      <c r="M189">
        <v>202.78</v>
      </c>
    </row>
    <row r="190" spans="1:13" x14ac:dyDescent="0.3">
      <c r="A190" t="s">
        <v>201</v>
      </c>
      <c r="B190" s="2">
        <v>45644</v>
      </c>
      <c r="C190" s="2">
        <v>45649</v>
      </c>
      <c r="D190" t="s">
        <v>966</v>
      </c>
      <c r="E190" t="s">
        <v>1515</v>
      </c>
      <c r="F190" t="s">
        <v>1518</v>
      </c>
      <c r="G190" t="s">
        <v>1522</v>
      </c>
      <c r="H190" t="s">
        <v>1531</v>
      </c>
      <c r="I190" t="s">
        <v>1718</v>
      </c>
      <c r="J190">
        <v>1117.49</v>
      </c>
      <c r="K190">
        <v>3</v>
      </c>
      <c r="L190">
        <v>0.2</v>
      </c>
      <c r="M190">
        <v>354.38</v>
      </c>
    </row>
    <row r="191" spans="1:13" x14ac:dyDescent="0.3">
      <c r="A191" t="s">
        <v>202</v>
      </c>
      <c r="B191" s="2">
        <v>45975</v>
      </c>
      <c r="C191" s="2">
        <v>45979</v>
      </c>
      <c r="D191" t="s">
        <v>967</v>
      </c>
      <c r="E191" t="s">
        <v>1515</v>
      </c>
      <c r="F191" t="s">
        <v>1518</v>
      </c>
      <c r="G191" t="s">
        <v>1522</v>
      </c>
      <c r="H191" t="s">
        <v>1529</v>
      </c>
      <c r="I191" t="s">
        <v>1719</v>
      </c>
      <c r="J191">
        <v>1540.7</v>
      </c>
      <c r="K191">
        <v>1</v>
      </c>
      <c r="L191">
        <v>0.05</v>
      </c>
      <c r="M191">
        <v>47.61</v>
      </c>
    </row>
    <row r="192" spans="1:13" x14ac:dyDescent="0.3">
      <c r="A192" t="s">
        <v>203</v>
      </c>
      <c r="B192" s="2">
        <v>45123</v>
      </c>
      <c r="C192" s="2">
        <v>45131</v>
      </c>
      <c r="D192" t="s">
        <v>968</v>
      </c>
      <c r="E192" t="s">
        <v>1513</v>
      </c>
      <c r="F192" t="s">
        <v>1517</v>
      </c>
      <c r="G192" t="s">
        <v>1522</v>
      </c>
      <c r="H192" t="s">
        <v>1531</v>
      </c>
      <c r="I192" t="s">
        <v>1720</v>
      </c>
      <c r="J192">
        <v>3003.86</v>
      </c>
      <c r="K192">
        <v>1</v>
      </c>
      <c r="M192">
        <v>250.69</v>
      </c>
    </row>
    <row r="193" spans="1:13" x14ac:dyDescent="0.3">
      <c r="A193" t="s">
        <v>204</v>
      </c>
      <c r="B193" s="2">
        <v>45596</v>
      </c>
      <c r="C193" s="2">
        <v>45597</v>
      </c>
      <c r="D193" t="s">
        <v>969</v>
      </c>
      <c r="E193" t="s">
        <v>1515</v>
      </c>
      <c r="F193" t="s">
        <v>1516</v>
      </c>
      <c r="G193" t="s">
        <v>1521</v>
      </c>
      <c r="H193" t="s">
        <v>1526</v>
      </c>
      <c r="I193" t="s">
        <v>1721</v>
      </c>
      <c r="J193">
        <v>3093.31</v>
      </c>
      <c r="K193">
        <v>4</v>
      </c>
      <c r="L193">
        <v>0.2</v>
      </c>
      <c r="M193">
        <v>90.05</v>
      </c>
    </row>
    <row r="194" spans="1:13" x14ac:dyDescent="0.3">
      <c r="A194" t="s">
        <v>205</v>
      </c>
      <c r="B194" s="2">
        <v>45492</v>
      </c>
      <c r="C194" s="2">
        <v>45494</v>
      </c>
      <c r="D194" t="s">
        <v>970</v>
      </c>
      <c r="E194" t="s">
        <v>1515</v>
      </c>
      <c r="F194" t="s">
        <v>1516</v>
      </c>
      <c r="G194" t="s">
        <v>1520</v>
      </c>
      <c r="H194" t="s">
        <v>1524</v>
      </c>
      <c r="I194" t="s">
        <v>1722</v>
      </c>
      <c r="J194">
        <v>4769.3500000000004</v>
      </c>
      <c r="K194">
        <v>9</v>
      </c>
      <c r="L194">
        <v>0.2</v>
      </c>
      <c r="M194">
        <v>1109</v>
      </c>
    </row>
    <row r="195" spans="1:13" x14ac:dyDescent="0.3">
      <c r="A195" t="s">
        <v>206</v>
      </c>
      <c r="B195" s="2">
        <v>45321</v>
      </c>
      <c r="C195" s="2">
        <v>45322</v>
      </c>
      <c r="D195" t="s">
        <v>971</v>
      </c>
      <c r="E195" t="s">
        <v>1514</v>
      </c>
      <c r="F195" t="s">
        <v>1516</v>
      </c>
      <c r="G195" t="s">
        <v>1521</v>
      </c>
      <c r="H195" t="s">
        <v>1526</v>
      </c>
      <c r="I195" t="s">
        <v>1723</v>
      </c>
      <c r="J195">
        <v>3196.57</v>
      </c>
      <c r="K195">
        <v>6</v>
      </c>
      <c r="L195">
        <v>0.1</v>
      </c>
      <c r="M195">
        <v>674.55</v>
      </c>
    </row>
    <row r="196" spans="1:13" x14ac:dyDescent="0.3">
      <c r="A196" t="s">
        <v>207</v>
      </c>
      <c r="B196" s="2">
        <v>45286</v>
      </c>
      <c r="C196" s="2">
        <v>45288</v>
      </c>
      <c r="D196" t="s">
        <v>972</v>
      </c>
      <c r="E196" t="s">
        <v>1515</v>
      </c>
      <c r="F196" t="s">
        <v>1519</v>
      </c>
      <c r="G196" t="s">
        <v>1521</v>
      </c>
      <c r="H196" t="s">
        <v>1530</v>
      </c>
      <c r="I196" t="s">
        <v>1724</v>
      </c>
      <c r="J196">
        <v>3868.93</v>
      </c>
      <c r="K196">
        <v>6</v>
      </c>
      <c r="L196">
        <v>0.05</v>
      </c>
      <c r="M196">
        <v>-679.44</v>
      </c>
    </row>
    <row r="197" spans="1:13" x14ac:dyDescent="0.3">
      <c r="A197" t="s">
        <v>208</v>
      </c>
      <c r="B197" s="2">
        <v>45088</v>
      </c>
      <c r="C197" s="2">
        <v>45096</v>
      </c>
      <c r="D197" t="s">
        <v>973</v>
      </c>
      <c r="E197" t="s">
        <v>1513</v>
      </c>
      <c r="F197" t="s">
        <v>1516</v>
      </c>
      <c r="G197" t="s">
        <v>1520</v>
      </c>
      <c r="H197" t="s">
        <v>1523</v>
      </c>
      <c r="I197" t="s">
        <v>1725</v>
      </c>
      <c r="J197">
        <v>4905.05</v>
      </c>
      <c r="K197">
        <v>8</v>
      </c>
      <c r="M197">
        <v>-489.26</v>
      </c>
    </row>
    <row r="198" spans="1:13" x14ac:dyDescent="0.3">
      <c r="A198" t="s">
        <v>209</v>
      </c>
      <c r="B198" s="2">
        <v>45978</v>
      </c>
      <c r="C198" s="2">
        <v>45979</v>
      </c>
      <c r="D198" t="s">
        <v>974</v>
      </c>
      <c r="E198" t="s">
        <v>1514</v>
      </c>
      <c r="F198" t="s">
        <v>1519</v>
      </c>
      <c r="G198" t="s">
        <v>1520</v>
      </c>
      <c r="H198" t="s">
        <v>1524</v>
      </c>
      <c r="I198" t="s">
        <v>1726</v>
      </c>
      <c r="J198">
        <v>1502.54</v>
      </c>
      <c r="K198">
        <v>1</v>
      </c>
      <c r="L198">
        <v>0.05</v>
      </c>
      <c r="M198">
        <v>431.51</v>
      </c>
    </row>
    <row r="199" spans="1:13" x14ac:dyDescent="0.3">
      <c r="A199" t="s">
        <v>210</v>
      </c>
      <c r="B199" s="2">
        <v>45147</v>
      </c>
      <c r="C199" s="2">
        <v>45156</v>
      </c>
      <c r="D199" t="s">
        <v>975</v>
      </c>
      <c r="E199" t="s">
        <v>1514</v>
      </c>
      <c r="F199" t="s">
        <v>1516</v>
      </c>
      <c r="G199" t="s">
        <v>1520</v>
      </c>
      <c r="H199" t="s">
        <v>1524</v>
      </c>
      <c r="I199" t="s">
        <v>1727</v>
      </c>
      <c r="J199">
        <v>2393.33</v>
      </c>
      <c r="K199">
        <v>1</v>
      </c>
      <c r="M199">
        <v>-227.11</v>
      </c>
    </row>
    <row r="200" spans="1:13" x14ac:dyDescent="0.3">
      <c r="A200" t="s">
        <v>211</v>
      </c>
      <c r="B200" s="2">
        <v>46105</v>
      </c>
      <c r="C200" s="2">
        <v>46110</v>
      </c>
      <c r="D200" t="s">
        <v>976</v>
      </c>
      <c r="E200" t="s">
        <v>1515</v>
      </c>
      <c r="F200" t="s">
        <v>1518</v>
      </c>
      <c r="G200" t="s">
        <v>1520</v>
      </c>
      <c r="H200" t="s">
        <v>1524</v>
      </c>
      <c r="I200" t="s">
        <v>1728</v>
      </c>
      <c r="J200">
        <v>666.15</v>
      </c>
      <c r="K200">
        <v>6</v>
      </c>
      <c r="L200">
        <v>0.15</v>
      </c>
      <c r="M200">
        <v>192.66</v>
      </c>
    </row>
    <row r="201" spans="1:13" x14ac:dyDescent="0.3">
      <c r="A201" t="s">
        <v>212</v>
      </c>
      <c r="B201" s="2">
        <v>45127</v>
      </c>
      <c r="C201" s="2">
        <v>45130</v>
      </c>
      <c r="D201" t="s">
        <v>977</v>
      </c>
      <c r="E201" t="s">
        <v>1515</v>
      </c>
      <c r="F201" t="s">
        <v>1519</v>
      </c>
      <c r="G201" t="s">
        <v>1521</v>
      </c>
      <c r="H201" t="s">
        <v>1526</v>
      </c>
      <c r="I201" t="s">
        <v>1729</v>
      </c>
      <c r="J201">
        <v>2506.21</v>
      </c>
      <c r="K201">
        <v>8</v>
      </c>
      <c r="L201">
        <v>0.1</v>
      </c>
      <c r="M201">
        <v>772.84</v>
      </c>
    </row>
    <row r="202" spans="1:13" x14ac:dyDescent="0.3">
      <c r="A202" t="s">
        <v>213</v>
      </c>
      <c r="B202" s="2">
        <v>45539</v>
      </c>
      <c r="C202" s="2">
        <v>45546</v>
      </c>
      <c r="D202" t="s">
        <v>978</v>
      </c>
      <c r="E202" t="s">
        <v>1514</v>
      </c>
      <c r="F202" t="s">
        <v>1516</v>
      </c>
      <c r="G202" t="s">
        <v>1522</v>
      </c>
      <c r="H202" t="s">
        <v>1527</v>
      </c>
      <c r="I202" t="s">
        <v>1730</v>
      </c>
      <c r="J202">
        <v>440.69</v>
      </c>
      <c r="K202">
        <v>10</v>
      </c>
      <c r="L202">
        <v>0.05</v>
      </c>
      <c r="M202">
        <v>44.07</v>
      </c>
    </row>
    <row r="203" spans="1:13" x14ac:dyDescent="0.3">
      <c r="A203" t="s">
        <v>214</v>
      </c>
      <c r="B203" s="2">
        <v>45411</v>
      </c>
      <c r="C203" s="2">
        <v>45416</v>
      </c>
      <c r="D203" t="s">
        <v>979</v>
      </c>
      <c r="E203" t="s">
        <v>1515</v>
      </c>
      <c r="F203" t="s">
        <v>1518</v>
      </c>
      <c r="G203" t="s">
        <v>1522</v>
      </c>
      <c r="H203" t="s">
        <v>1529</v>
      </c>
      <c r="I203" t="s">
        <v>1731</v>
      </c>
      <c r="J203">
        <v>1567.15</v>
      </c>
      <c r="K203">
        <v>10</v>
      </c>
      <c r="M203">
        <v>53.85</v>
      </c>
    </row>
    <row r="204" spans="1:13" x14ac:dyDescent="0.3">
      <c r="A204" t="s">
        <v>215</v>
      </c>
      <c r="B204" s="2">
        <v>45814</v>
      </c>
      <c r="C204" s="2">
        <v>45815</v>
      </c>
      <c r="D204" t="s">
        <v>980</v>
      </c>
      <c r="E204" t="s">
        <v>1514</v>
      </c>
      <c r="F204" t="s">
        <v>1516</v>
      </c>
      <c r="G204" t="s">
        <v>1521</v>
      </c>
      <c r="H204" t="s">
        <v>1526</v>
      </c>
      <c r="I204" t="s">
        <v>1732</v>
      </c>
      <c r="J204">
        <v>3647.73</v>
      </c>
      <c r="K204">
        <v>6</v>
      </c>
      <c r="L204">
        <v>0.2</v>
      </c>
      <c r="M204">
        <v>1273</v>
      </c>
    </row>
    <row r="205" spans="1:13" x14ac:dyDescent="0.3">
      <c r="A205" t="s">
        <v>216</v>
      </c>
      <c r="B205" s="2">
        <v>45399</v>
      </c>
      <c r="C205" s="2">
        <v>45406</v>
      </c>
      <c r="D205" t="s">
        <v>981</v>
      </c>
      <c r="E205" t="s">
        <v>1515</v>
      </c>
      <c r="F205" t="s">
        <v>1518</v>
      </c>
      <c r="G205" t="s">
        <v>1522</v>
      </c>
      <c r="H205" t="s">
        <v>1527</v>
      </c>
      <c r="I205" t="s">
        <v>1621</v>
      </c>
      <c r="J205">
        <v>1848.39</v>
      </c>
      <c r="K205">
        <v>3</v>
      </c>
      <c r="L205">
        <v>0</v>
      </c>
      <c r="M205">
        <v>-224.53</v>
      </c>
    </row>
    <row r="206" spans="1:13" x14ac:dyDescent="0.3">
      <c r="A206" t="s">
        <v>217</v>
      </c>
      <c r="B206" s="2">
        <v>45961</v>
      </c>
      <c r="C206" s="2">
        <v>45963</v>
      </c>
      <c r="D206" t="s">
        <v>982</v>
      </c>
      <c r="E206" t="s">
        <v>1515</v>
      </c>
      <c r="F206" t="s">
        <v>1516</v>
      </c>
      <c r="G206" t="s">
        <v>1522</v>
      </c>
      <c r="H206" t="s">
        <v>1531</v>
      </c>
      <c r="I206" t="s">
        <v>1733</v>
      </c>
      <c r="J206">
        <v>1218.18</v>
      </c>
      <c r="K206">
        <v>6</v>
      </c>
      <c r="L206">
        <v>0.1</v>
      </c>
      <c r="M206">
        <v>12.88</v>
      </c>
    </row>
    <row r="207" spans="1:13" x14ac:dyDescent="0.3">
      <c r="A207" t="s">
        <v>218</v>
      </c>
      <c r="B207" s="2">
        <v>45671</v>
      </c>
      <c r="C207" s="2">
        <v>45679</v>
      </c>
      <c r="D207" t="s">
        <v>983</v>
      </c>
      <c r="E207" t="s">
        <v>1515</v>
      </c>
      <c r="F207" t="s">
        <v>1517</v>
      </c>
      <c r="G207" t="s">
        <v>1520</v>
      </c>
      <c r="H207" t="s">
        <v>1523</v>
      </c>
      <c r="I207" t="s">
        <v>1734</v>
      </c>
      <c r="J207">
        <v>4746.68</v>
      </c>
      <c r="K207">
        <v>6</v>
      </c>
      <c r="L207">
        <v>0.15</v>
      </c>
      <c r="M207">
        <v>1042.83</v>
      </c>
    </row>
    <row r="208" spans="1:13" x14ac:dyDescent="0.3">
      <c r="A208" t="s">
        <v>219</v>
      </c>
      <c r="B208" s="2">
        <v>45954</v>
      </c>
      <c r="C208" s="2">
        <v>45961</v>
      </c>
      <c r="D208" t="s">
        <v>984</v>
      </c>
      <c r="E208" t="s">
        <v>1513</v>
      </c>
      <c r="F208" t="s">
        <v>1517</v>
      </c>
      <c r="G208" t="s">
        <v>1520</v>
      </c>
      <c r="H208" t="s">
        <v>1524</v>
      </c>
      <c r="I208" t="s">
        <v>1735</v>
      </c>
      <c r="J208">
        <v>1606.21</v>
      </c>
      <c r="K208">
        <v>5</v>
      </c>
      <c r="L208">
        <v>0.05</v>
      </c>
      <c r="M208">
        <v>527.29999999999995</v>
      </c>
    </row>
    <row r="209" spans="1:13" x14ac:dyDescent="0.3">
      <c r="A209" t="s">
        <v>220</v>
      </c>
      <c r="B209" s="2">
        <v>45321</v>
      </c>
      <c r="C209" s="2">
        <v>45328</v>
      </c>
      <c r="D209" t="s">
        <v>985</v>
      </c>
      <c r="E209" t="s">
        <v>1515</v>
      </c>
      <c r="F209" t="s">
        <v>1518</v>
      </c>
      <c r="G209" t="s">
        <v>1521</v>
      </c>
      <c r="H209" t="s">
        <v>1528</v>
      </c>
      <c r="I209" t="s">
        <v>1736</v>
      </c>
      <c r="J209">
        <v>4572.04</v>
      </c>
      <c r="K209">
        <v>2</v>
      </c>
      <c r="L209">
        <v>0.1</v>
      </c>
      <c r="M209">
        <v>1034.33</v>
      </c>
    </row>
    <row r="210" spans="1:13" x14ac:dyDescent="0.3">
      <c r="A210" t="s">
        <v>221</v>
      </c>
      <c r="B210" s="2">
        <v>45463</v>
      </c>
      <c r="C210" s="2">
        <v>45468</v>
      </c>
      <c r="D210" t="s">
        <v>986</v>
      </c>
      <c r="F210" t="s">
        <v>1518</v>
      </c>
      <c r="G210" t="s">
        <v>1522</v>
      </c>
      <c r="H210" t="s">
        <v>1527</v>
      </c>
      <c r="I210" t="s">
        <v>1737</v>
      </c>
      <c r="J210">
        <v>3485.2</v>
      </c>
      <c r="K210">
        <v>8</v>
      </c>
      <c r="L210">
        <v>0.05</v>
      </c>
      <c r="M210">
        <v>-461.96</v>
      </c>
    </row>
    <row r="211" spans="1:13" x14ac:dyDescent="0.3">
      <c r="A211" t="s">
        <v>222</v>
      </c>
      <c r="B211" s="2">
        <v>45421</v>
      </c>
      <c r="C211" s="2">
        <v>45429</v>
      </c>
      <c r="D211" t="s">
        <v>987</v>
      </c>
      <c r="E211" t="s">
        <v>1513</v>
      </c>
      <c r="F211" t="s">
        <v>1519</v>
      </c>
      <c r="G211" t="s">
        <v>1522</v>
      </c>
      <c r="H211" t="s">
        <v>1527</v>
      </c>
      <c r="I211" t="s">
        <v>1738</v>
      </c>
      <c r="J211">
        <v>4986.45</v>
      </c>
      <c r="K211">
        <v>6</v>
      </c>
      <c r="M211">
        <v>-44.46</v>
      </c>
    </row>
    <row r="212" spans="1:13" x14ac:dyDescent="0.3">
      <c r="A212" t="s">
        <v>223</v>
      </c>
      <c r="B212" s="2">
        <v>45387</v>
      </c>
      <c r="C212" s="2">
        <v>45390</v>
      </c>
      <c r="D212" t="s">
        <v>988</v>
      </c>
      <c r="E212" t="s">
        <v>1513</v>
      </c>
      <c r="F212" t="s">
        <v>1517</v>
      </c>
      <c r="G212" t="s">
        <v>1521</v>
      </c>
      <c r="H212" t="s">
        <v>1530</v>
      </c>
      <c r="I212" t="s">
        <v>1739</v>
      </c>
      <c r="J212">
        <v>3978.8</v>
      </c>
      <c r="K212">
        <v>9</v>
      </c>
      <c r="L212">
        <v>0.05</v>
      </c>
      <c r="M212">
        <v>-530.17999999999995</v>
      </c>
    </row>
    <row r="213" spans="1:13" x14ac:dyDescent="0.3">
      <c r="A213" t="s">
        <v>224</v>
      </c>
      <c r="B213" s="2">
        <v>45629</v>
      </c>
      <c r="C213" s="2">
        <v>45630</v>
      </c>
      <c r="E213" t="s">
        <v>1515</v>
      </c>
      <c r="F213" t="s">
        <v>1517</v>
      </c>
      <c r="G213" t="s">
        <v>1522</v>
      </c>
      <c r="H213" t="s">
        <v>1529</v>
      </c>
      <c r="I213" t="s">
        <v>1740</v>
      </c>
      <c r="J213">
        <v>1836.44</v>
      </c>
      <c r="K213">
        <v>10</v>
      </c>
      <c r="L213">
        <v>0.1</v>
      </c>
      <c r="M213">
        <v>104.81</v>
      </c>
    </row>
    <row r="214" spans="1:13" x14ac:dyDescent="0.3">
      <c r="A214" t="s">
        <v>225</v>
      </c>
      <c r="B214" s="2">
        <v>45133</v>
      </c>
      <c r="C214" s="2">
        <v>45135</v>
      </c>
      <c r="D214" t="s">
        <v>989</v>
      </c>
      <c r="E214" t="s">
        <v>1514</v>
      </c>
      <c r="F214" t="s">
        <v>1516</v>
      </c>
      <c r="G214" t="s">
        <v>1520</v>
      </c>
      <c r="H214" t="s">
        <v>1523</v>
      </c>
      <c r="I214" t="s">
        <v>1741</v>
      </c>
      <c r="J214">
        <v>1580.99</v>
      </c>
      <c r="K214">
        <v>8</v>
      </c>
      <c r="L214">
        <v>0.2</v>
      </c>
      <c r="M214">
        <v>41.01</v>
      </c>
    </row>
    <row r="215" spans="1:13" x14ac:dyDescent="0.3">
      <c r="A215" t="s">
        <v>226</v>
      </c>
      <c r="B215" s="2">
        <v>46134</v>
      </c>
      <c r="C215" s="2">
        <v>46136</v>
      </c>
      <c r="D215" t="s">
        <v>990</v>
      </c>
      <c r="E215" t="s">
        <v>1515</v>
      </c>
      <c r="F215" t="s">
        <v>1517</v>
      </c>
      <c r="G215" t="s">
        <v>1522</v>
      </c>
      <c r="H215" t="s">
        <v>1529</v>
      </c>
      <c r="I215" t="s">
        <v>1742</v>
      </c>
      <c r="J215">
        <v>2277.37</v>
      </c>
      <c r="K215">
        <v>9</v>
      </c>
      <c r="L215">
        <v>0.1</v>
      </c>
      <c r="M215">
        <v>-294.73</v>
      </c>
    </row>
    <row r="216" spans="1:13" x14ac:dyDescent="0.3">
      <c r="A216" t="s">
        <v>227</v>
      </c>
      <c r="B216" s="2">
        <v>45867</v>
      </c>
      <c r="C216" s="2">
        <v>45876</v>
      </c>
      <c r="D216" t="s">
        <v>991</v>
      </c>
      <c r="E216" t="s">
        <v>1514</v>
      </c>
      <c r="F216" t="s">
        <v>1517</v>
      </c>
      <c r="G216" t="s">
        <v>1522</v>
      </c>
      <c r="H216" t="s">
        <v>1529</v>
      </c>
      <c r="I216" t="s">
        <v>1743</v>
      </c>
      <c r="J216">
        <v>4558.03</v>
      </c>
      <c r="K216">
        <v>1</v>
      </c>
      <c r="L216">
        <v>0</v>
      </c>
      <c r="M216">
        <v>387.23</v>
      </c>
    </row>
    <row r="217" spans="1:13" x14ac:dyDescent="0.3">
      <c r="A217" t="s">
        <v>228</v>
      </c>
      <c r="B217" s="2">
        <v>45435</v>
      </c>
      <c r="C217" s="2">
        <v>45439</v>
      </c>
      <c r="D217" t="s">
        <v>992</v>
      </c>
      <c r="E217" t="s">
        <v>1514</v>
      </c>
      <c r="F217" t="s">
        <v>1517</v>
      </c>
      <c r="G217" t="s">
        <v>1522</v>
      </c>
      <c r="H217" t="s">
        <v>1529</v>
      </c>
      <c r="I217" t="s">
        <v>1744</v>
      </c>
      <c r="J217">
        <v>1762.81</v>
      </c>
      <c r="K217">
        <v>9</v>
      </c>
      <c r="L217">
        <v>0.1</v>
      </c>
      <c r="M217">
        <v>467.61</v>
      </c>
    </row>
    <row r="218" spans="1:13" x14ac:dyDescent="0.3">
      <c r="A218" t="s">
        <v>229</v>
      </c>
      <c r="B218" s="2">
        <v>45098</v>
      </c>
      <c r="C218" s="2">
        <v>45103</v>
      </c>
      <c r="D218" t="s">
        <v>993</v>
      </c>
      <c r="E218" t="s">
        <v>1515</v>
      </c>
      <c r="F218" t="s">
        <v>1517</v>
      </c>
      <c r="G218" t="s">
        <v>1520</v>
      </c>
      <c r="H218" t="s">
        <v>1525</v>
      </c>
      <c r="I218" t="s">
        <v>1745</v>
      </c>
      <c r="J218">
        <v>669.59</v>
      </c>
      <c r="K218">
        <v>5</v>
      </c>
      <c r="L218">
        <v>0.2</v>
      </c>
      <c r="M218">
        <v>62.55</v>
      </c>
    </row>
    <row r="219" spans="1:13" x14ac:dyDescent="0.3">
      <c r="A219" t="s">
        <v>230</v>
      </c>
      <c r="B219" s="2">
        <v>45824</v>
      </c>
      <c r="C219" s="2">
        <v>45827</v>
      </c>
      <c r="D219" t="s">
        <v>994</v>
      </c>
      <c r="E219" t="s">
        <v>1514</v>
      </c>
      <c r="F219" t="s">
        <v>1516</v>
      </c>
      <c r="G219" t="s">
        <v>1520</v>
      </c>
      <c r="H219" t="s">
        <v>1525</v>
      </c>
      <c r="I219" t="s">
        <v>1746</v>
      </c>
      <c r="J219">
        <v>897.44</v>
      </c>
      <c r="K219">
        <v>10</v>
      </c>
      <c r="M219">
        <v>265.73</v>
      </c>
    </row>
    <row r="220" spans="1:13" x14ac:dyDescent="0.3">
      <c r="A220" t="s">
        <v>231</v>
      </c>
      <c r="B220" s="2">
        <v>45541</v>
      </c>
      <c r="C220" s="2">
        <v>45542</v>
      </c>
      <c r="D220" t="s">
        <v>995</v>
      </c>
      <c r="E220" t="s">
        <v>1515</v>
      </c>
      <c r="F220" t="s">
        <v>1518</v>
      </c>
      <c r="G220" t="s">
        <v>1522</v>
      </c>
      <c r="H220" t="s">
        <v>1531</v>
      </c>
      <c r="I220" t="s">
        <v>1747</v>
      </c>
      <c r="J220">
        <v>4745.3100000000004</v>
      </c>
      <c r="K220">
        <v>10</v>
      </c>
      <c r="L220">
        <v>0.1</v>
      </c>
      <c r="M220">
        <v>750.34</v>
      </c>
    </row>
    <row r="221" spans="1:13" x14ac:dyDescent="0.3">
      <c r="A221" t="s">
        <v>232</v>
      </c>
      <c r="B221" s="2">
        <v>46149</v>
      </c>
      <c r="C221" s="2">
        <v>46150</v>
      </c>
      <c r="D221" t="s">
        <v>996</v>
      </c>
      <c r="E221" t="s">
        <v>1514</v>
      </c>
      <c r="F221" t="s">
        <v>1518</v>
      </c>
      <c r="G221" t="s">
        <v>1520</v>
      </c>
      <c r="H221" t="s">
        <v>1525</v>
      </c>
      <c r="I221" t="s">
        <v>1748</v>
      </c>
      <c r="J221">
        <v>2515.29</v>
      </c>
      <c r="K221">
        <v>9</v>
      </c>
      <c r="L221">
        <v>0.1</v>
      </c>
      <c r="M221">
        <v>384.96</v>
      </c>
    </row>
    <row r="222" spans="1:13" x14ac:dyDescent="0.3">
      <c r="A222" t="s">
        <v>233</v>
      </c>
      <c r="B222" s="2">
        <v>46006</v>
      </c>
      <c r="C222" s="2">
        <v>46013</v>
      </c>
      <c r="D222" t="s">
        <v>997</v>
      </c>
      <c r="E222" t="s">
        <v>1514</v>
      </c>
      <c r="F222" t="s">
        <v>1518</v>
      </c>
      <c r="G222" t="s">
        <v>1522</v>
      </c>
      <c r="H222" t="s">
        <v>1527</v>
      </c>
      <c r="I222" t="s">
        <v>1749</v>
      </c>
      <c r="J222">
        <v>1522.3</v>
      </c>
      <c r="K222">
        <v>2</v>
      </c>
      <c r="M222">
        <v>-254.3</v>
      </c>
    </row>
    <row r="223" spans="1:13" x14ac:dyDescent="0.3">
      <c r="A223" t="s">
        <v>234</v>
      </c>
      <c r="B223" s="2">
        <v>45184</v>
      </c>
      <c r="C223" s="2">
        <v>45188</v>
      </c>
      <c r="D223" t="s">
        <v>998</v>
      </c>
      <c r="E223" t="s">
        <v>1514</v>
      </c>
      <c r="F223" t="s">
        <v>1519</v>
      </c>
      <c r="G223" t="s">
        <v>1521</v>
      </c>
      <c r="H223" t="s">
        <v>1526</v>
      </c>
      <c r="I223" t="s">
        <v>1750</v>
      </c>
      <c r="J223">
        <v>1733.95</v>
      </c>
      <c r="K223">
        <v>3</v>
      </c>
      <c r="L223">
        <v>0.1</v>
      </c>
      <c r="M223">
        <v>474.78</v>
      </c>
    </row>
    <row r="224" spans="1:13" x14ac:dyDescent="0.3">
      <c r="A224" t="s">
        <v>235</v>
      </c>
      <c r="B224" s="2">
        <v>45197</v>
      </c>
      <c r="C224" s="2">
        <v>45203</v>
      </c>
      <c r="D224" t="s">
        <v>999</v>
      </c>
      <c r="E224" t="s">
        <v>1513</v>
      </c>
      <c r="F224" t="s">
        <v>1519</v>
      </c>
      <c r="G224" t="s">
        <v>1521</v>
      </c>
      <c r="H224" t="s">
        <v>1530</v>
      </c>
      <c r="I224" t="s">
        <v>1751</v>
      </c>
      <c r="J224">
        <v>2599.15</v>
      </c>
      <c r="K224">
        <v>2</v>
      </c>
      <c r="L224">
        <v>0.1</v>
      </c>
      <c r="M224">
        <v>-174.26</v>
      </c>
    </row>
    <row r="225" spans="1:13" x14ac:dyDescent="0.3">
      <c r="A225" t="s">
        <v>236</v>
      </c>
      <c r="B225" s="2">
        <v>45785</v>
      </c>
      <c r="C225" s="2">
        <v>45788</v>
      </c>
      <c r="D225" t="s">
        <v>1000</v>
      </c>
      <c r="E225" t="s">
        <v>1514</v>
      </c>
      <c r="F225" t="s">
        <v>1517</v>
      </c>
      <c r="G225" t="s">
        <v>1521</v>
      </c>
      <c r="H225" t="s">
        <v>1530</v>
      </c>
      <c r="I225" t="s">
        <v>1752</v>
      </c>
      <c r="J225">
        <v>529.22</v>
      </c>
      <c r="K225">
        <v>5</v>
      </c>
      <c r="L225">
        <v>0.15</v>
      </c>
      <c r="M225">
        <v>145.69</v>
      </c>
    </row>
    <row r="226" spans="1:13" x14ac:dyDescent="0.3">
      <c r="A226" t="s">
        <v>237</v>
      </c>
      <c r="B226" s="2">
        <v>45665</v>
      </c>
      <c r="C226" s="2">
        <v>45675</v>
      </c>
      <c r="D226" t="s">
        <v>1001</v>
      </c>
      <c r="E226" t="s">
        <v>1515</v>
      </c>
      <c r="F226" t="s">
        <v>1518</v>
      </c>
      <c r="G226" t="s">
        <v>1522</v>
      </c>
      <c r="H226" t="s">
        <v>1529</v>
      </c>
      <c r="I226" t="s">
        <v>1753</v>
      </c>
      <c r="J226">
        <v>3619.59</v>
      </c>
      <c r="K226">
        <v>4</v>
      </c>
      <c r="L226">
        <v>0.05</v>
      </c>
      <c r="M226">
        <v>268.02</v>
      </c>
    </row>
    <row r="227" spans="1:13" x14ac:dyDescent="0.3">
      <c r="A227" t="s">
        <v>238</v>
      </c>
      <c r="B227" s="2">
        <v>45104</v>
      </c>
      <c r="C227" s="2">
        <v>45112</v>
      </c>
      <c r="D227" t="s">
        <v>1002</v>
      </c>
      <c r="E227" t="s">
        <v>1513</v>
      </c>
      <c r="F227" t="s">
        <v>1517</v>
      </c>
      <c r="G227" t="s">
        <v>1521</v>
      </c>
      <c r="H227" t="s">
        <v>1526</v>
      </c>
      <c r="I227" t="s">
        <v>1754</v>
      </c>
      <c r="J227">
        <v>164.72</v>
      </c>
      <c r="K227">
        <v>7</v>
      </c>
      <c r="L227">
        <v>0.2</v>
      </c>
      <c r="M227">
        <v>8.48</v>
      </c>
    </row>
    <row r="228" spans="1:13" x14ac:dyDescent="0.3">
      <c r="A228" t="s">
        <v>239</v>
      </c>
      <c r="B228" s="2">
        <v>45335</v>
      </c>
      <c r="C228" s="2">
        <v>45336</v>
      </c>
      <c r="D228" t="s">
        <v>1003</v>
      </c>
      <c r="E228" t="s">
        <v>1515</v>
      </c>
      <c r="F228" t="s">
        <v>1518</v>
      </c>
      <c r="G228" t="s">
        <v>1520</v>
      </c>
      <c r="H228" t="s">
        <v>1524</v>
      </c>
      <c r="I228" t="s">
        <v>1755</v>
      </c>
      <c r="J228">
        <v>300.18</v>
      </c>
      <c r="K228">
        <v>8</v>
      </c>
      <c r="L228">
        <v>0.2</v>
      </c>
      <c r="M228">
        <v>85.64</v>
      </c>
    </row>
    <row r="229" spans="1:13" x14ac:dyDescent="0.3">
      <c r="A229" t="s">
        <v>240</v>
      </c>
      <c r="B229" s="2">
        <v>45534</v>
      </c>
      <c r="C229" s="2">
        <v>45535</v>
      </c>
      <c r="D229" t="s">
        <v>1004</v>
      </c>
      <c r="E229" t="s">
        <v>1515</v>
      </c>
      <c r="F229" t="s">
        <v>1519</v>
      </c>
      <c r="G229" t="s">
        <v>1521</v>
      </c>
      <c r="H229" t="s">
        <v>1528</v>
      </c>
      <c r="I229" t="s">
        <v>1756</v>
      </c>
      <c r="J229">
        <v>4243.5</v>
      </c>
      <c r="K229">
        <v>7</v>
      </c>
      <c r="L229">
        <v>0.05</v>
      </c>
      <c r="M229">
        <v>1210.8900000000001</v>
      </c>
    </row>
    <row r="230" spans="1:13" x14ac:dyDescent="0.3">
      <c r="A230" t="s">
        <v>241</v>
      </c>
      <c r="B230" s="2">
        <v>46156</v>
      </c>
      <c r="C230" s="2">
        <v>46157</v>
      </c>
      <c r="D230" t="s">
        <v>1005</v>
      </c>
      <c r="E230" t="s">
        <v>1515</v>
      </c>
      <c r="F230" t="s">
        <v>1519</v>
      </c>
      <c r="G230" t="s">
        <v>1521</v>
      </c>
      <c r="H230" t="s">
        <v>1526</v>
      </c>
      <c r="I230" t="s">
        <v>1757</v>
      </c>
      <c r="J230">
        <v>2032.88</v>
      </c>
      <c r="K230">
        <v>10</v>
      </c>
      <c r="L230">
        <v>0.2</v>
      </c>
      <c r="M230">
        <v>-188.94</v>
      </c>
    </row>
    <row r="231" spans="1:13" x14ac:dyDescent="0.3">
      <c r="A231" t="s">
        <v>242</v>
      </c>
      <c r="B231" s="2">
        <v>45699</v>
      </c>
      <c r="C231" s="2">
        <v>45708</v>
      </c>
      <c r="D231" t="s">
        <v>1006</v>
      </c>
      <c r="E231" t="s">
        <v>1515</v>
      </c>
      <c r="F231" t="s">
        <v>1516</v>
      </c>
      <c r="G231" t="s">
        <v>1522</v>
      </c>
      <c r="H231" t="s">
        <v>1529</v>
      </c>
      <c r="I231" t="s">
        <v>1758</v>
      </c>
      <c r="J231">
        <v>2279.25</v>
      </c>
      <c r="K231">
        <v>9</v>
      </c>
      <c r="L231">
        <v>0.1</v>
      </c>
      <c r="M231">
        <v>578.75</v>
      </c>
    </row>
    <row r="232" spans="1:13" x14ac:dyDescent="0.3">
      <c r="A232" t="s">
        <v>243</v>
      </c>
      <c r="B232" s="2">
        <v>45566</v>
      </c>
      <c r="C232" s="2">
        <v>45573</v>
      </c>
      <c r="D232" t="s">
        <v>1007</v>
      </c>
      <c r="E232" t="s">
        <v>1513</v>
      </c>
      <c r="F232" t="s">
        <v>1517</v>
      </c>
      <c r="G232" t="s">
        <v>1522</v>
      </c>
      <c r="H232" t="s">
        <v>1531</v>
      </c>
      <c r="I232" t="s">
        <v>1759</v>
      </c>
      <c r="J232">
        <v>1897.33</v>
      </c>
      <c r="K232">
        <v>6</v>
      </c>
      <c r="L232">
        <v>0.2</v>
      </c>
      <c r="M232">
        <v>600.36</v>
      </c>
    </row>
    <row r="233" spans="1:13" x14ac:dyDescent="0.3">
      <c r="A233" t="s">
        <v>244</v>
      </c>
      <c r="B233" s="2">
        <v>45888</v>
      </c>
      <c r="C233" s="2">
        <v>45895</v>
      </c>
      <c r="D233" t="s">
        <v>1008</v>
      </c>
      <c r="E233" t="s">
        <v>1514</v>
      </c>
      <c r="F233" t="s">
        <v>1518</v>
      </c>
      <c r="G233" t="s">
        <v>1520</v>
      </c>
      <c r="H233" t="s">
        <v>1525</v>
      </c>
      <c r="I233" t="s">
        <v>1760</v>
      </c>
      <c r="J233">
        <v>2525.39</v>
      </c>
      <c r="K233">
        <v>1</v>
      </c>
      <c r="L233">
        <v>0</v>
      </c>
      <c r="M233">
        <v>-314.74</v>
      </c>
    </row>
    <row r="234" spans="1:13" x14ac:dyDescent="0.3">
      <c r="A234" t="s">
        <v>245</v>
      </c>
      <c r="B234" s="2">
        <v>45080</v>
      </c>
      <c r="C234" s="2">
        <v>45083</v>
      </c>
      <c r="D234" t="s">
        <v>1009</v>
      </c>
      <c r="E234" t="s">
        <v>1515</v>
      </c>
      <c r="F234" t="s">
        <v>1519</v>
      </c>
      <c r="G234" t="s">
        <v>1520</v>
      </c>
      <c r="H234" t="s">
        <v>1524</v>
      </c>
      <c r="I234" t="s">
        <v>1761</v>
      </c>
      <c r="J234">
        <v>3050.99</v>
      </c>
      <c r="K234">
        <v>9</v>
      </c>
      <c r="L234">
        <v>0.05</v>
      </c>
      <c r="M234">
        <v>-59.86</v>
      </c>
    </row>
    <row r="235" spans="1:13" x14ac:dyDescent="0.3">
      <c r="A235" t="s">
        <v>246</v>
      </c>
      <c r="B235" s="2">
        <v>45479</v>
      </c>
      <c r="C235" s="2">
        <v>45489</v>
      </c>
      <c r="D235" t="s">
        <v>1010</v>
      </c>
      <c r="E235" t="s">
        <v>1515</v>
      </c>
      <c r="F235" t="s">
        <v>1518</v>
      </c>
      <c r="G235" t="s">
        <v>1522</v>
      </c>
      <c r="H235" t="s">
        <v>1529</v>
      </c>
      <c r="I235" t="s">
        <v>1762</v>
      </c>
      <c r="J235">
        <v>3709.63</v>
      </c>
      <c r="K235">
        <v>5</v>
      </c>
      <c r="L235">
        <v>0.2</v>
      </c>
      <c r="M235">
        <v>-55.62</v>
      </c>
    </row>
    <row r="236" spans="1:13" x14ac:dyDescent="0.3">
      <c r="A236" t="s">
        <v>247</v>
      </c>
      <c r="B236" s="2">
        <v>45475</v>
      </c>
      <c r="C236" s="2">
        <v>45480</v>
      </c>
      <c r="D236" t="s">
        <v>1011</v>
      </c>
      <c r="E236" t="s">
        <v>1513</v>
      </c>
      <c r="F236" t="s">
        <v>1518</v>
      </c>
      <c r="G236" t="s">
        <v>1520</v>
      </c>
      <c r="H236" t="s">
        <v>1525</v>
      </c>
      <c r="I236" t="s">
        <v>1763</v>
      </c>
      <c r="J236">
        <v>2400.7199999999998</v>
      </c>
      <c r="K236">
        <v>1</v>
      </c>
      <c r="L236">
        <v>0.1</v>
      </c>
      <c r="M236">
        <v>-42.78</v>
      </c>
    </row>
    <row r="237" spans="1:13" x14ac:dyDescent="0.3">
      <c r="A237" t="s">
        <v>248</v>
      </c>
      <c r="B237" s="2">
        <v>45363</v>
      </c>
      <c r="C237" s="2">
        <v>45364</v>
      </c>
      <c r="D237" t="s">
        <v>1012</v>
      </c>
      <c r="E237" t="s">
        <v>1515</v>
      </c>
      <c r="F237" t="s">
        <v>1517</v>
      </c>
      <c r="G237" t="s">
        <v>1520</v>
      </c>
      <c r="H237" t="s">
        <v>1524</v>
      </c>
      <c r="I237" t="s">
        <v>1764</v>
      </c>
      <c r="J237">
        <v>3004.7</v>
      </c>
      <c r="K237">
        <v>5</v>
      </c>
      <c r="M237">
        <v>692.88</v>
      </c>
    </row>
    <row r="238" spans="1:13" x14ac:dyDescent="0.3">
      <c r="A238" t="s">
        <v>249</v>
      </c>
      <c r="B238" s="2">
        <v>45775</v>
      </c>
      <c r="C238" s="2">
        <v>45785</v>
      </c>
      <c r="D238" t="s">
        <v>1013</v>
      </c>
      <c r="E238" t="s">
        <v>1514</v>
      </c>
      <c r="F238" t="s">
        <v>1517</v>
      </c>
      <c r="G238" t="s">
        <v>1520</v>
      </c>
      <c r="H238" t="s">
        <v>1523</v>
      </c>
      <c r="I238" t="s">
        <v>1765</v>
      </c>
      <c r="J238">
        <v>2428.2199999999998</v>
      </c>
      <c r="K238">
        <v>9</v>
      </c>
      <c r="M238">
        <v>477.51</v>
      </c>
    </row>
    <row r="239" spans="1:13" x14ac:dyDescent="0.3">
      <c r="A239" t="s">
        <v>250</v>
      </c>
      <c r="B239" s="2">
        <v>45179</v>
      </c>
      <c r="C239" s="2">
        <v>45180</v>
      </c>
      <c r="D239" t="s">
        <v>1014</v>
      </c>
      <c r="E239" t="s">
        <v>1514</v>
      </c>
      <c r="F239" t="s">
        <v>1518</v>
      </c>
      <c r="G239" t="s">
        <v>1520</v>
      </c>
      <c r="H239" t="s">
        <v>1523</v>
      </c>
      <c r="I239" t="s">
        <v>1766</v>
      </c>
      <c r="J239">
        <v>2884.22</v>
      </c>
      <c r="K239">
        <v>2</v>
      </c>
      <c r="L239">
        <v>0.05</v>
      </c>
      <c r="M239">
        <v>-546.79999999999995</v>
      </c>
    </row>
    <row r="240" spans="1:13" x14ac:dyDescent="0.3">
      <c r="A240" t="s">
        <v>251</v>
      </c>
      <c r="B240" s="2">
        <v>45497</v>
      </c>
      <c r="C240" s="2">
        <v>45501</v>
      </c>
      <c r="D240" t="s">
        <v>1015</v>
      </c>
      <c r="E240" t="s">
        <v>1515</v>
      </c>
      <c r="F240" t="s">
        <v>1516</v>
      </c>
      <c r="G240" t="s">
        <v>1522</v>
      </c>
      <c r="H240" t="s">
        <v>1529</v>
      </c>
      <c r="I240" t="s">
        <v>1767</v>
      </c>
      <c r="J240">
        <v>2081.37</v>
      </c>
      <c r="K240">
        <v>10</v>
      </c>
      <c r="L240">
        <v>0.15</v>
      </c>
      <c r="M240">
        <v>582.89</v>
      </c>
    </row>
    <row r="241" spans="1:13" x14ac:dyDescent="0.3">
      <c r="A241" t="s">
        <v>252</v>
      </c>
      <c r="B241" s="2">
        <v>45620</v>
      </c>
      <c r="C241" s="2">
        <v>45629</v>
      </c>
      <c r="D241" t="s">
        <v>1016</v>
      </c>
      <c r="E241" t="s">
        <v>1514</v>
      </c>
      <c r="F241" t="s">
        <v>1519</v>
      </c>
      <c r="G241" t="s">
        <v>1520</v>
      </c>
      <c r="H241" t="s">
        <v>1523</v>
      </c>
      <c r="I241" t="s">
        <v>1768</v>
      </c>
      <c r="J241">
        <v>1076.3399999999999</v>
      </c>
      <c r="K241">
        <v>6</v>
      </c>
      <c r="M241">
        <v>67.92</v>
      </c>
    </row>
    <row r="242" spans="1:13" x14ac:dyDescent="0.3">
      <c r="A242" t="s">
        <v>253</v>
      </c>
      <c r="B242" s="2">
        <v>45865</v>
      </c>
      <c r="C242" s="2">
        <v>45874</v>
      </c>
      <c r="D242" t="s">
        <v>1017</v>
      </c>
      <c r="E242" t="s">
        <v>1515</v>
      </c>
      <c r="F242" t="s">
        <v>1519</v>
      </c>
      <c r="G242" t="s">
        <v>1522</v>
      </c>
      <c r="H242" t="s">
        <v>1529</v>
      </c>
      <c r="I242" t="s">
        <v>1769</v>
      </c>
      <c r="J242">
        <v>1744.52</v>
      </c>
      <c r="K242">
        <v>6</v>
      </c>
      <c r="M242">
        <v>391.81</v>
      </c>
    </row>
    <row r="243" spans="1:13" x14ac:dyDescent="0.3">
      <c r="A243" t="s">
        <v>254</v>
      </c>
      <c r="B243" s="2">
        <v>45575</v>
      </c>
      <c r="C243" s="2">
        <v>45579</v>
      </c>
      <c r="D243" t="s">
        <v>1018</v>
      </c>
      <c r="E243" t="s">
        <v>1514</v>
      </c>
      <c r="F243" t="s">
        <v>1519</v>
      </c>
      <c r="G243" t="s">
        <v>1520</v>
      </c>
      <c r="H243" t="s">
        <v>1524</v>
      </c>
      <c r="I243" t="s">
        <v>1770</v>
      </c>
      <c r="J243">
        <v>4788.82</v>
      </c>
      <c r="K243">
        <v>5</v>
      </c>
      <c r="L243">
        <v>0.2</v>
      </c>
      <c r="M243">
        <v>-171.56</v>
      </c>
    </row>
    <row r="244" spans="1:13" x14ac:dyDescent="0.3">
      <c r="A244" t="s">
        <v>255</v>
      </c>
      <c r="B244" s="2">
        <v>45973</v>
      </c>
      <c r="C244" s="2">
        <v>45981</v>
      </c>
      <c r="D244" t="s">
        <v>1019</v>
      </c>
      <c r="E244" t="s">
        <v>1515</v>
      </c>
      <c r="F244" t="s">
        <v>1519</v>
      </c>
      <c r="G244" t="s">
        <v>1520</v>
      </c>
      <c r="H244" t="s">
        <v>1523</v>
      </c>
      <c r="I244" t="s">
        <v>1771</v>
      </c>
      <c r="J244">
        <v>1619.35</v>
      </c>
      <c r="K244">
        <v>6</v>
      </c>
      <c r="L244">
        <v>0.2</v>
      </c>
      <c r="M244">
        <v>507.72</v>
      </c>
    </row>
    <row r="245" spans="1:13" x14ac:dyDescent="0.3">
      <c r="A245" t="s">
        <v>256</v>
      </c>
      <c r="B245" s="2">
        <v>45782</v>
      </c>
      <c r="C245" s="2">
        <v>45792</v>
      </c>
      <c r="D245" t="s">
        <v>1020</v>
      </c>
      <c r="E245" t="s">
        <v>1513</v>
      </c>
      <c r="F245" t="s">
        <v>1519</v>
      </c>
      <c r="G245" t="s">
        <v>1521</v>
      </c>
      <c r="H245" t="s">
        <v>1530</v>
      </c>
      <c r="I245" t="s">
        <v>1772</v>
      </c>
      <c r="J245">
        <v>3399.28</v>
      </c>
      <c r="K245">
        <v>7</v>
      </c>
      <c r="L245">
        <v>0.15</v>
      </c>
      <c r="M245">
        <v>850.19</v>
      </c>
    </row>
    <row r="246" spans="1:13" x14ac:dyDescent="0.3">
      <c r="A246" t="s">
        <v>257</v>
      </c>
      <c r="B246" s="2">
        <v>45320</v>
      </c>
      <c r="C246" s="2">
        <v>45322</v>
      </c>
      <c r="D246" t="s">
        <v>1021</v>
      </c>
      <c r="E246" t="s">
        <v>1514</v>
      </c>
      <c r="F246" t="s">
        <v>1517</v>
      </c>
      <c r="G246" t="s">
        <v>1522</v>
      </c>
      <c r="H246" t="s">
        <v>1529</v>
      </c>
      <c r="I246" t="s">
        <v>1773</v>
      </c>
      <c r="J246">
        <v>1764.5</v>
      </c>
      <c r="K246">
        <v>8</v>
      </c>
      <c r="M246">
        <v>-104.03</v>
      </c>
    </row>
    <row r="247" spans="1:13" x14ac:dyDescent="0.3">
      <c r="A247" t="s">
        <v>258</v>
      </c>
      <c r="B247" s="2">
        <v>45938</v>
      </c>
      <c r="C247" s="2">
        <v>45943</v>
      </c>
      <c r="D247" t="s">
        <v>1022</v>
      </c>
      <c r="E247" t="s">
        <v>1515</v>
      </c>
      <c r="F247" t="s">
        <v>1517</v>
      </c>
      <c r="G247" t="s">
        <v>1522</v>
      </c>
      <c r="H247" t="s">
        <v>1527</v>
      </c>
      <c r="I247" t="s">
        <v>1774</v>
      </c>
      <c r="J247">
        <v>4668.47</v>
      </c>
      <c r="K247">
        <v>5</v>
      </c>
      <c r="L247">
        <v>0.05</v>
      </c>
      <c r="M247">
        <v>-653.24</v>
      </c>
    </row>
    <row r="248" spans="1:13" x14ac:dyDescent="0.3">
      <c r="A248" t="s">
        <v>259</v>
      </c>
      <c r="B248" s="2">
        <v>45557</v>
      </c>
      <c r="C248" s="2">
        <v>45566</v>
      </c>
      <c r="D248" t="s">
        <v>1023</v>
      </c>
      <c r="E248" t="s">
        <v>1514</v>
      </c>
      <c r="F248" t="s">
        <v>1518</v>
      </c>
      <c r="G248" t="s">
        <v>1522</v>
      </c>
      <c r="H248" t="s">
        <v>1531</v>
      </c>
      <c r="I248" t="s">
        <v>1775</v>
      </c>
      <c r="J248">
        <v>1167.07</v>
      </c>
      <c r="K248">
        <v>4</v>
      </c>
      <c r="L248">
        <v>0</v>
      </c>
      <c r="M248">
        <v>-169.1</v>
      </c>
    </row>
    <row r="249" spans="1:13" x14ac:dyDescent="0.3">
      <c r="A249" t="s">
        <v>260</v>
      </c>
      <c r="B249" s="2">
        <v>45249</v>
      </c>
      <c r="C249" s="2">
        <v>45252</v>
      </c>
      <c r="D249" t="s">
        <v>1024</v>
      </c>
      <c r="E249" t="s">
        <v>1514</v>
      </c>
      <c r="F249" t="s">
        <v>1518</v>
      </c>
      <c r="G249" t="s">
        <v>1522</v>
      </c>
      <c r="H249" t="s">
        <v>1527</v>
      </c>
      <c r="I249" t="s">
        <v>1776</v>
      </c>
      <c r="J249">
        <v>75.650000000000006</v>
      </c>
      <c r="K249">
        <v>9</v>
      </c>
      <c r="L249">
        <v>0.05</v>
      </c>
      <c r="M249">
        <v>1.8</v>
      </c>
    </row>
    <row r="250" spans="1:13" x14ac:dyDescent="0.3">
      <c r="A250" t="s">
        <v>261</v>
      </c>
      <c r="B250" s="2">
        <v>46058</v>
      </c>
      <c r="C250" s="2">
        <v>46063</v>
      </c>
      <c r="D250" t="s">
        <v>1025</v>
      </c>
      <c r="E250" t="s">
        <v>1513</v>
      </c>
      <c r="F250" t="s">
        <v>1516</v>
      </c>
      <c r="G250" t="s">
        <v>1520</v>
      </c>
      <c r="H250" t="s">
        <v>1523</v>
      </c>
      <c r="I250" t="s">
        <v>1777</v>
      </c>
      <c r="J250">
        <v>1639.78</v>
      </c>
      <c r="K250">
        <v>1</v>
      </c>
      <c r="L250">
        <v>0</v>
      </c>
      <c r="M250">
        <v>260.33999999999997</v>
      </c>
    </row>
    <row r="251" spans="1:13" x14ac:dyDescent="0.3">
      <c r="A251" t="s">
        <v>262</v>
      </c>
      <c r="B251" s="2">
        <v>46096</v>
      </c>
      <c r="C251" s="2">
        <v>46099</v>
      </c>
      <c r="D251" t="s">
        <v>1026</v>
      </c>
      <c r="E251" t="s">
        <v>1513</v>
      </c>
      <c r="F251" t="s">
        <v>1519</v>
      </c>
      <c r="G251" t="s">
        <v>1522</v>
      </c>
      <c r="H251" t="s">
        <v>1529</v>
      </c>
      <c r="I251" t="s">
        <v>1778</v>
      </c>
      <c r="J251">
        <v>4672.92</v>
      </c>
      <c r="K251">
        <v>1</v>
      </c>
      <c r="L251">
        <v>0.15</v>
      </c>
      <c r="M251">
        <v>1090.56</v>
      </c>
    </row>
    <row r="252" spans="1:13" x14ac:dyDescent="0.3">
      <c r="A252" t="s">
        <v>263</v>
      </c>
      <c r="B252" s="2">
        <v>45194</v>
      </c>
      <c r="C252" s="2">
        <v>45199</v>
      </c>
      <c r="E252" t="s">
        <v>1515</v>
      </c>
      <c r="F252" t="s">
        <v>1518</v>
      </c>
      <c r="G252" t="s">
        <v>1522</v>
      </c>
      <c r="H252" t="s">
        <v>1531</v>
      </c>
      <c r="I252" t="s">
        <v>1779</v>
      </c>
      <c r="J252">
        <v>2861.41</v>
      </c>
      <c r="K252">
        <v>2</v>
      </c>
      <c r="L252">
        <v>0.1</v>
      </c>
      <c r="M252">
        <v>-124.45</v>
      </c>
    </row>
    <row r="253" spans="1:13" x14ac:dyDescent="0.3">
      <c r="A253" t="s">
        <v>264</v>
      </c>
      <c r="B253" t="s">
        <v>769</v>
      </c>
      <c r="C253" s="2">
        <v>45923</v>
      </c>
      <c r="D253" t="s">
        <v>1027</v>
      </c>
      <c r="E253" t="s">
        <v>1514</v>
      </c>
      <c r="F253" t="s">
        <v>1519</v>
      </c>
      <c r="G253" t="s">
        <v>1522</v>
      </c>
      <c r="H253" t="s">
        <v>1527</v>
      </c>
      <c r="I253" t="s">
        <v>1780</v>
      </c>
      <c r="J253">
        <v>1400.54</v>
      </c>
      <c r="K253">
        <v>2</v>
      </c>
      <c r="L253">
        <v>0.1</v>
      </c>
      <c r="M253">
        <v>-154.94</v>
      </c>
    </row>
    <row r="254" spans="1:13" x14ac:dyDescent="0.3">
      <c r="A254" t="s">
        <v>265</v>
      </c>
      <c r="B254" s="2">
        <v>45608</v>
      </c>
      <c r="C254" s="2">
        <v>45609</v>
      </c>
      <c r="D254" t="s">
        <v>1028</v>
      </c>
      <c r="E254" t="s">
        <v>1513</v>
      </c>
      <c r="F254" t="s">
        <v>1517</v>
      </c>
      <c r="G254" t="s">
        <v>1520</v>
      </c>
      <c r="H254" t="s">
        <v>1523</v>
      </c>
      <c r="I254" t="s">
        <v>1781</v>
      </c>
      <c r="J254">
        <v>3696.26</v>
      </c>
      <c r="K254">
        <v>5</v>
      </c>
      <c r="L254">
        <v>0.2</v>
      </c>
      <c r="M254">
        <v>631.77</v>
      </c>
    </row>
    <row r="255" spans="1:13" x14ac:dyDescent="0.3">
      <c r="A255" t="s">
        <v>266</v>
      </c>
      <c r="B255" s="2">
        <v>46093</v>
      </c>
      <c r="C255" s="2">
        <v>46100</v>
      </c>
      <c r="D255" t="s">
        <v>1029</v>
      </c>
      <c r="E255" t="s">
        <v>1515</v>
      </c>
      <c r="F255" t="s">
        <v>1516</v>
      </c>
      <c r="G255" t="s">
        <v>1520</v>
      </c>
      <c r="H255" t="s">
        <v>1525</v>
      </c>
      <c r="I255" t="s">
        <v>1782</v>
      </c>
      <c r="J255">
        <v>4143.6000000000004</v>
      </c>
      <c r="K255">
        <v>9</v>
      </c>
      <c r="L255">
        <v>0.1</v>
      </c>
      <c r="M255">
        <v>-631.04999999999995</v>
      </c>
    </row>
    <row r="256" spans="1:13" x14ac:dyDescent="0.3">
      <c r="A256" t="s">
        <v>267</v>
      </c>
      <c r="B256" s="2">
        <v>45208</v>
      </c>
      <c r="C256" s="2">
        <v>45216</v>
      </c>
      <c r="D256" t="s">
        <v>1030</v>
      </c>
      <c r="E256" t="s">
        <v>1513</v>
      </c>
      <c r="F256" t="s">
        <v>1518</v>
      </c>
      <c r="G256" t="s">
        <v>1522</v>
      </c>
      <c r="H256" t="s">
        <v>1531</v>
      </c>
      <c r="I256" t="s">
        <v>1783</v>
      </c>
      <c r="J256">
        <v>1651.83</v>
      </c>
      <c r="K256">
        <v>4</v>
      </c>
      <c r="L256">
        <v>0</v>
      </c>
      <c r="M256">
        <v>-93.44</v>
      </c>
    </row>
    <row r="257" spans="1:13" x14ac:dyDescent="0.3">
      <c r="A257" t="s">
        <v>268</v>
      </c>
      <c r="B257" s="2">
        <v>45561</v>
      </c>
      <c r="C257" s="2">
        <v>45566</v>
      </c>
      <c r="D257" t="s">
        <v>1031</v>
      </c>
      <c r="E257" t="s">
        <v>1514</v>
      </c>
      <c r="F257" t="s">
        <v>1517</v>
      </c>
      <c r="G257" t="s">
        <v>1521</v>
      </c>
      <c r="H257" t="s">
        <v>1526</v>
      </c>
      <c r="I257" t="s">
        <v>1784</v>
      </c>
      <c r="J257">
        <v>2933.18</v>
      </c>
      <c r="K257">
        <v>10</v>
      </c>
      <c r="L257">
        <v>0</v>
      </c>
      <c r="M257">
        <v>-164.69</v>
      </c>
    </row>
    <row r="258" spans="1:13" x14ac:dyDescent="0.3">
      <c r="A258" t="s">
        <v>269</v>
      </c>
      <c r="B258" s="2">
        <v>45932</v>
      </c>
      <c r="C258" s="2">
        <v>45934</v>
      </c>
      <c r="D258" t="s">
        <v>1032</v>
      </c>
      <c r="E258" t="s">
        <v>1515</v>
      </c>
      <c r="F258" t="s">
        <v>1519</v>
      </c>
      <c r="G258" t="s">
        <v>1522</v>
      </c>
      <c r="H258" t="s">
        <v>1527</v>
      </c>
      <c r="I258" t="s">
        <v>1785</v>
      </c>
      <c r="J258">
        <v>2353.71</v>
      </c>
      <c r="K258">
        <v>3</v>
      </c>
      <c r="L258">
        <v>0.15</v>
      </c>
      <c r="M258">
        <v>417.41</v>
      </c>
    </row>
    <row r="259" spans="1:13" x14ac:dyDescent="0.3">
      <c r="A259" t="s">
        <v>270</v>
      </c>
      <c r="B259" s="2">
        <v>45141</v>
      </c>
      <c r="C259" s="2">
        <v>45146</v>
      </c>
      <c r="D259" t="s">
        <v>1033</v>
      </c>
      <c r="E259" t="s">
        <v>1514</v>
      </c>
      <c r="F259" t="s">
        <v>1517</v>
      </c>
      <c r="G259" t="s">
        <v>1520</v>
      </c>
      <c r="H259" t="s">
        <v>1523</v>
      </c>
      <c r="I259" t="s">
        <v>1786</v>
      </c>
      <c r="J259">
        <v>1869.34</v>
      </c>
      <c r="K259">
        <v>4</v>
      </c>
      <c r="L259">
        <v>0.05</v>
      </c>
      <c r="M259">
        <v>610.42999999999995</v>
      </c>
    </row>
    <row r="260" spans="1:13" x14ac:dyDescent="0.3">
      <c r="A260" t="s">
        <v>271</v>
      </c>
      <c r="B260" s="2">
        <v>45215</v>
      </c>
      <c r="C260" s="2">
        <v>45225</v>
      </c>
      <c r="D260" t="s">
        <v>1034</v>
      </c>
      <c r="E260" t="s">
        <v>1515</v>
      </c>
      <c r="F260" t="s">
        <v>1517</v>
      </c>
      <c r="G260" t="s">
        <v>1521</v>
      </c>
      <c r="H260" t="s">
        <v>1528</v>
      </c>
      <c r="I260" t="s">
        <v>1787</v>
      </c>
      <c r="J260">
        <v>1899.44</v>
      </c>
      <c r="K260">
        <v>9</v>
      </c>
      <c r="L260">
        <v>0.15</v>
      </c>
      <c r="M260">
        <v>411.31</v>
      </c>
    </row>
    <row r="261" spans="1:13" x14ac:dyDescent="0.3">
      <c r="A261" t="s">
        <v>272</v>
      </c>
      <c r="B261" s="2">
        <v>45142</v>
      </c>
      <c r="C261" s="2">
        <v>45152</v>
      </c>
      <c r="D261" t="s">
        <v>1035</v>
      </c>
      <c r="E261" t="s">
        <v>1515</v>
      </c>
      <c r="F261" t="s">
        <v>1519</v>
      </c>
      <c r="G261" t="s">
        <v>1522</v>
      </c>
      <c r="H261" t="s">
        <v>1527</v>
      </c>
      <c r="I261" t="s">
        <v>1788</v>
      </c>
      <c r="J261">
        <v>4372.0200000000004</v>
      </c>
      <c r="K261">
        <v>2</v>
      </c>
      <c r="L261">
        <v>0.2</v>
      </c>
      <c r="M261">
        <v>199.85</v>
      </c>
    </row>
    <row r="262" spans="1:13" x14ac:dyDescent="0.3">
      <c r="A262" t="s">
        <v>273</v>
      </c>
      <c r="B262" s="2">
        <v>45084</v>
      </c>
      <c r="C262" s="2">
        <v>45086</v>
      </c>
      <c r="D262" t="s">
        <v>1036</v>
      </c>
      <c r="E262" t="s">
        <v>1515</v>
      </c>
      <c r="F262" t="s">
        <v>1517</v>
      </c>
      <c r="G262" t="s">
        <v>1522</v>
      </c>
      <c r="H262" t="s">
        <v>1527</v>
      </c>
      <c r="I262" t="s">
        <v>1789</v>
      </c>
      <c r="J262">
        <v>355.7</v>
      </c>
      <c r="K262">
        <v>9</v>
      </c>
      <c r="L262">
        <v>0.2</v>
      </c>
      <c r="M262">
        <v>-31.59</v>
      </c>
    </row>
    <row r="263" spans="1:13" x14ac:dyDescent="0.3">
      <c r="A263" t="s">
        <v>274</v>
      </c>
      <c r="B263" s="2">
        <v>45501</v>
      </c>
      <c r="C263" s="2">
        <v>45510</v>
      </c>
      <c r="D263" t="s">
        <v>1037</v>
      </c>
      <c r="E263" t="s">
        <v>1513</v>
      </c>
      <c r="F263" t="s">
        <v>1518</v>
      </c>
      <c r="G263" t="s">
        <v>1522</v>
      </c>
      <c r="H263" t="s">
        <v>1529</v>
      </c>
      <c r="I263" t="s">
        <v>1627</v>
      </c>
      <c r="J263">
        <v>2237.11</v>
      </c>
      <c r="K263">
        <v>4</v>
      </c>
      <c r="M263">
        <v>270.08999999999997</v>
      </c>
    </row>
    <row r="264" spans="1:13" x14ac:dyDescent="0.3">
      <c r="A264" t="s">
        <v>275</v>
      </c>
      <c r="B264" s="2">
        <v>45980</v>
      </c>
      <c r="C264" s="2">
        <v>45983</v>
      </c>
      <c r="D264" t="s">
        <v>1038</v>
      </c>
      <c r="E264" t="s">
        <v>1514</v>
      </c>
      <c r="F264" t="s">
        <v>1519</v>
      </c>
      <c r="G264" t="s">
        <v>1522</v>
      </c>
      <c r="H264" t="s">
        <v>1529</v>
      </c>
      <c r="I264" t="s">
        <v>1790</v>
      </c>
      <c r="J264">
        <v>2590.58</v>
      </c>
      <c r="K264">
        <v>8</v>
      </c>
      <c r="L264">
        <v>0.2</v>
      </c>
      <c r="M264">
        <v>-435.85</v>
      </c>
    </row>
    <row r="265" spans="1:13" x14ac:dyDescent="0.3">
      <c r="A265" t="s">
        <v>276</v>
      </c>
      <c r="B265" s="2">
        <v>45423</v>
      </c>
      <c r="C265" s="2">
        <v>45430</v>
      </c>
      <c r="D265" t="s">
        <v>1039</v>
      </c>
      <c r="E265" t="s">
        <v>1513</v>
      </c>
      <c r="F265" t="s">
        <v>1516</v>
      </c>
      <c r="G265" t="s">
        <v>1520</v>
      </c>
      <c r="H265" t="s">
        <v>1523</v>
      </c>
      <c r="I265" t="s">
        <v>1791</v>
      </c>
      <c r="J265">
        <v>1309.56</v>
      </c>
      <c r="K265">
        <v>1</v>
      </c>
      <c r="M265">
        <v>-104.97</v>
      </c>
    </row>
    <row r="266" spans="1:13" x14ac:dyDescent="0.3">
      <c r="A266" t="s">
        <v>277</v>
      </c>
      <c r="B266" s="2">
        <v>45271</v>
      </c>
      <c r="C266" s="2">
        <v>45273</v>
      </c>
      <c r="D266" t="s">
        <v>1040</v>
      </c>
      <c r="E266" t="s">
        <v>1514</v>
      </c>
      <c r="F266" t="s">
        <v>1516</v>
      </c>
      <c r="G266" t="s">
        <v>1521</v>
      </c>
      <c r="H266" t="s">
        <v>1526</v>
      </c>
      <c r="I266" t="s">
        <v>1792</v>
      </c>
      <c r="J266">
        <v>2728.76</v>
      </c>
      <c r="K266">
        <v>1</v>
      </c>
      <c r="L266">
        <v>0</v>
      </c>
      <c r="M266">
        <v>934.26</v>
      </c>
    </row>
    <row r="267" spans="1:13" x14ac:dyDescent="0.3">
      <c r="A267" t="s">
        <v>278</v>
      </c>
      <c r="B267" s="2">
        <v>45250</v>
      </c>
      <c r="C267" s="2">
        <v>45253</v>
      </c>
      <c r="D267" t="s">
        <v>1041</v>
      </c>
      <c r="E267" t="s">
        <v>1514</v>
      </c>
      <c r="F267" t="s">
        <v>1518</v>
      </c>
      <c r="G267" t="s">
        <v>1521</v>
      </c>
      <c r="H267" t="s">
        <v>1526</v>
      </c>
      <c r="I267" t="s">
        <v>1793</v>
      </c>
      <c r="J267">
        <v>3856.41</v>
      </c>
      <c r="K267">
        <v>7</v>
      </c>
      <c r="L267">
        <v>0.1</v>
      </c>
      <c r="M267">
        <v>1334.59</v>
      </c>
    </row>
    <row r="268" spans="1:13" x14ac:dyDescent="0.3">
      <c r="A268" t="s">
        <v>279</v>
      </c>
      <c r="B268" s="2">
        <v>46054</v>
      </c>
      <c r="C268" s="2">
        <v>46056</v>
      </c>
      <c r="D268" t="s">
        <v>1042</v>
      </c>
      <c r="E268" t="s">
        <v>1514</v>
      </c>
      <c r="F268" t="s">
        <v>1516</v>
      </c>
      <c r="G268" t="s">
        <v>1521</v>
      </c>
      <c r="H268" t="s">
        <v>1526</v>
      </c>
      <c r="I268" t="s">
        <v>1794</v>
      </c>
      <c r="J268">
        <v>3429.52</v>
      </c>
      <c r="K268">
        <v>9</v>
      </c>
      <c r="L268">
        <v>0.05</v>
      </c>
      <c r="M268">
        <v>546.82000000000005</v>
      </c>
    </row>
    <row r="269" spans="1:13" x14ac:dyDescent="0.3">
      <c r="A269" t="s">
        <v>280</v>
      </c>
      <c r="B269" s="2">
        <v>45555</v>
      </c>
      <c r="C269" s="2">
        <v>45562</v>
      </c>
      <c r="D269" t="s">
        <v>1043</v>
      </c>
      <c r="E269" t="s">
        <v>1514</v>
      </c>
      <c r="F269" t="s">
        <v>1518</v>
      </c>
      <c r="G269" t="s">
        <v>1522</v>
      </c>
      <c r="H269" t="s">
        <v>1527</v>
      </c>
      <c r="I269" t="s">
        <v>1795</v>
      </c>
      <c r="J269">
        <v>2667.77</v>
      </c>
      <c r="K269">
        <v>4</v>
      </c>
      <c r="L269">
        <v>0</v>
      </c>
      <c r="M269">
        <v>575.97</v>
      </c>
    </row>
    <row r="270" spans="1:13" x14ac:dyDescent="0.3">
      <c r="A270" t="s">
        <v>281</v>
      </c>
      <c r="B270" s="2">
        <v>45958</v>
      </c>
      <c r="C270" s="2">
        <v>45967</v>
      </c>
      <c r="D270" t="s">
        <v>1044</v>
      </c>
      <c r="E270" t="s">
        <v>1514</v>
      </c>
      <c r="F270" t="s">
        <v>1517</v>
      </c>
      <c r="G270" t="s">
        <v>1520</v>
      </c>
      <c r="H270" t="s">
        <v>1525</v>
      </c>
      <c r="I270" t="s">
        <v>1796</v>
      </c>
      <c r="J270">
        <v>2149.4299999999998</v>
      </c>
      <c r="K270">
        <v>7</v>
      </c>
      <c r="L270">
        <v>0.05</v>
      </c>
      <c r="M270">
        <v>-137.28</v>
      </c>
    </row>
    <row r="271" spans="1:13" x14ac:dyDescent="0.3">
      <c r="A271" t="s">
        <v>282</v>
      </c>
      <c r="B271" s="2">
        <v>45191</v>
      </c>
      <c r="C271" s="2">
        <v>45193</v>
      </c>
      <c r="D271" t="s">
        <v>1045</v>
      </c>
      <c r="E271" t="s">
        <v>1513</v>
      </c>
      <c r="F271" t="s">
        <v>1517</v>
      </c>
      <c r="G271" t="s">
        <v>1521</v>
      </c>
      <c r="H271" t="s">
        <v>1530</v>
      </c>
      <c r="I271" t="s">
        <v>1797</v>
      </c>
      <c r="J271">
        <v>209.48</v>
      </c>
      <c r="K271">
        <v>7</v>
      </c>
      <c r="L271">
        <v>0.2</v>
      </c>
      <c r="M271">
        <v>46.36</v>
      </c>
    </row>
    <row r="272" spans="1:13" x14ac:dyDescent="0.3">
      <c r="A272" t="s">
        <v>283</v>
      </c>
      <c r="B272" s="2">
        <v>45359</v>
      </c>
      <c r="C272" s="2">
        <v>45361</v>
      </c>
      <c r="D272" t="s">
        <v>1046</v>
      </c>
      <c r="E272" t="s">
        <v>1513</v>
      </c>
      <c r="F272" t="s">
        <v>1517</v>
      </c>
      <c r="G272" t="s">
        <v>1522</v>
      </c>
      <c r="H272" t="s">
        <v>1531</v>
      </c>
      <c r="I272" t="s">
        <v>1798</v>
      </c>
      <c r="J272">
        <v>2990.02</v>
      </c>
      <c r="K272">
        <v>8</v>
      </c>
      <c r="L272">
        <v>0.2</v>
      </c>
      <c r="M272">
        <v>507.15</v>
      </c>
    </row>
    <row r="273" spans="1:13" x14ac:dyDescent="0.3">
      <c r="A273" t="s">
        <v>284</v>
      </c>
      <c r="B273" s="2">
        <v>45239</v>
      </c>
      <c r="C273" s="2">
        <v>45246</v>
      </c>
      <c r="D273" t="s">
        <v>1047</v>
      </c>
      <c r="E273" t="s">
        <v>1513</v>
      </c>
      <c r="F273" t="s">
        <v>1517</v>
      </c>
      <c r="G273" t="s">
        <v>1520</v>
      </c>
      <c r="H273" t="s">
        <v>1523</v>
      </c>
      <c r="I273" t="s">
        <v>1572</v>
      </c>
      <c r="J273">
        <v>2222.87</v>
      </c>
      <c r="K273">
        <v>9</v>
      </c>
      <c r="L273">
        <v>0.05</v>
      </c>
      <c r="M273">
        <v>477.72</v>
      </c>
    </row>
    <row r="274" spans="1:13" x14ac:dyDescent="0.3">
      <c r="A274" t="s">
        <v>285</v>
      </c>
      <c r="B274" s="2">
        <v>45214</v>
      </c>
      <c r="C274" s="2">
        <v>45218</v>
      </c>
      <c r="D274" t="s">
        <v>1048</v>
      </c>
      <c r="E274" t="s">
        <v>1515</v>
      </c>
      <c r="F274" t="s">
        <v>1519</v>
      </c>
      <c r="G274" t="s">
        <v>1520</v>
      </c>
      <c r="H274" t="s">
        <v>1524</v>
      </c>
      <c r="I274" t="s">
        <v>1799</v>
      </c>
      <c r="J274">
        <v>4088.14</v>
      </c>
      <c r="K274">
        <v>10</v>
      </c>
      <c r="L274">
        <v>0.1</v>
      </c>
      <c r="M274">
        <v>480.81</v>
      </c>
    </row>
    <row r="275" spans="1:13" x14ac:dyDescent="0.3">
      <c r="A275" t="s">
        <v>286</v>
      </c>
      <c r="B275" s="2">
        <v>46031</v>
      </c>
      <c r="C275" s="2">
        <v>46034</v>
      </c>
      <c r="D275" t="s">
        <v>1049</v>
      </c>
      <c r="E275" t="s">
        <v>1514</v>
      </c>
      <c r="F275" t="s">
        <v>1516</v>
      </c>
      <c r="G275" t="s">
        <v>1522</v>
      </c>
      <c r="H275" t="s">
        <v>1529</v>
      </c>
      <c r="I275" t="s">
        <v>1800</v>
      </c>
      <c r="J275">
        <v>4929.1899999999996</v>
      </c>
      <c r="K275">
        <v>9</v>
      </c>
      <c r="L275">
        <v>0.05</v>
      </c>
      <c r="M275">
        <v>135.35</v>
      </c>
    </row>
    <row r="276" spans="1:13" x14ac:dyDescent="0.3">
      <c r="A276" t="s">
        <v>287</v>
      </c>
      <c r="B276" s="2">
        <v>45523</v>
      </c>
      <c r="C276" s="2">
        <v>45526</v>
      </c>
      <c r="D276" t="s">
        <v>1050</v>
      </c>
      <c r="E276" t="s">
        <v>1514</v>
      </c>
      <c r="F276" t="s">
        <v>1518</v>
      </c>
      <c r="G276" t="s">
        <v>1520</v>
      </c>
      <c r="H276" t="s">
        <v>1525</v>
      </c>
      <c r="I276" t="s">
        <v>1801</v>
      </c>
      <c r="J276">
        <v>3148.67</v>
      </c>
      <c r="K276">
        <v>7</v>
      </c>
      <c r="L276">
        <v>0.2</v>
      </c>
      <c r="M276">
        <v>228.57</v>
      </c>
    </row>
    <row r="277" spans="1:13" x14ac:dyDescent="0.3">
      <c r="A277" t="s">
        <v>288</v>
      </c>
      <c r="B277" s="2">
        <v>46075</v>
      </c>
      <c r="C277" s="2">
        <v>46082</v>
      </c>
      <c r="D277" t="s">
        <v>1051</v>
      </c>
      <c r="E277" t="s">
        <v>1515</v>
      </c>
      <c r="F277" t="s">
        <v>1518</v>
      </c>
      <c r="G277" t="s">
        <v>1520</v>
      </c>
      <c r="H277" t="s">
        <v>1524</v>
      </c>
      <c r="I277" t="s">
        <v>1802</v>
      </c>
      <c r="J277">
        <v>2070.88</v>
      </c>
      <c r="K277">
        <v>5</v>
      </c>
      <c r="L277">
        <v>0.15</v>
      </c>
      <c r="M277">
        <v>-204.74</v>
      </c>
    </row>
    <row r="278" spans="1:13" x14ac:dyDescent="0.3">
      <c r="A278" t="s">
        <v>289</v>
      </c>
      <c r="B278" s="2">
        <v>45468</v>
      </c>
      <c r="C278" s="2">
        <v>45473</v>
      </c>
      <c r="D278" t="s">
        <v>1052</v>
      </c>
      <c r="E278" t="s">
        <v>1515</v>
      </c>
      <c r="F278" t="s">
        <v>1518</v>
      </c>
      <c r="G278" t="s">
        <v>1522</v>
      </c>
      <c r="H278" t="s">
        <v>1531</v>
      </c>
      <c r="I278" t="s">
        <v>1803</v>
      </c>
      <c r="J278">
        <v>4294.83</v>
      </c>
      <c r="K278">
        <v>3</v>
      </c>
      <c r="L278">
        <v>0.15</v>
      </c>
      <c r="M278">
        <v>1301.8</v>
      </c>
    </row>
    <row r="279" spans="1:13" x14ac:dyDescent="0.3">
      <c r="A279" t="s">
        <v>290</v>
      </c>
      <c r="B279" s="2">
        <v>46016</v>
      </c>
      <c r="C279" s="2">
        <v>46025</v>
      </c>
      <c r="D279" t="s">
        <v>1053</v>
      </c>
      <c r="E279" t="s">
        <v>1515</v>
      </c>
      <c r="F279" t="s">
        <v>1516</v>
      </c>
      <c r="G279" t="s">
        <v>1521</v>
      </c>
      <c r="H279" t="s">
        <v>1528</v>
      </c>
      <c r="I279" t="s">
        <v>1804</v>
      </c>
      <c r="J279">
        <v>713.76</v>
      </c>
      <c r="K279">
        <v>4</v>
      </c>
      <c r="L279">
        <v>0.1</v>
      </c>
      <c r="M279">
        <v>-62.93</v>
      </c>
    </row>
    <row r="280" spans="1:13" x14ac:dyDescent="0.3">
      <c r="A280" t="s">
        <v>291</v>
      </c>
      <c r="B280" s="2">
        <v>45765</v>
      </c>
      <c r="C280" s="2">
        <v>45767</v>
      </c>
      <c r="D280" t="s">
        <v>1054</v>
      </c>
      <c r="E280" t="s">
        <v>1515</v>
      </c>
      <c r="F280" t="s">
        <v>1516</v>
      </c>
      <c r="G280" t="s">
        <v>1521</v>
      </c>
      <c r="H280" t="s">
        <v>1526</v>
      </c>
      <c r="I280" t="s">
        <v>1805</v>
      </c>
      <c r="J280">
        <v>2701.4</v>
      </c>
      <c r="K280">
        <v>4</v>
      </c>
      <c r="L280">
        <v>0</v>
      </c>
      <c r="M280">
        <v>-141.41</v>
      </c>
    </row>
    <row r="281" spans="1:13" x14ac:dyDescent="0.3">
      <c r="A281" t="s">
        <v>292</v>
      </c>
      <c r="B281" s="2">
        <v>45728</v>
      </c>
      <c r="C281" s="2">
        <v>45738</v>
      </c>
      <c r="D281" t="s">
        <v>1055</v>
      </c>
      <c r="E281" t="s">
        <v>1514</v>
      </c>
      <c r="F281" t="s">
        <v>1519</v>
      </c>
      <c r="G281" t="s">
        <v>1522</v>
      </c>
      <c r="H281" t="s">
        <v>1531</v>
      </c>
      <c r="I281" t="s">
        <v>1806</v>
      </c>
      <c r="J281">
        <v>3635.31</v>
      </c>
      <c r="K281">
        <v>9</v>
      </c>
      <c r="L281">
        <v>0.05</v>
      </c>
      <c r="M281">
        <v>231.45</v>
      </c>
    </row>
    <row r="282" spans="1:13" x14ac:dyDescent="0.3">
      <c r="A282" t="s">
        <v>293</v>
      </c>
      <c r="B282" s="2">
        <v>45804</v>
      </c>
      <c r="C282" s="2">
        <v>45808</v>
      </c>
      <c r="D282" t="s">
        <v>1056</v>
      </c>
      <c r="E282" t="s">
        <v>1514</v>
      </c>
      <c r="F282" t="s">
        <v>1517</v>
      </c>
      <c r="G282" t="s">
        <v>1522</v>
      </c>
      <c r="H282" t="s">
        <v>1531</v>
      </c>
      <c r="I282" t="s">
        <v>1807</v>
      </c>
      <c r="J282">
        <v>4812.28</v>
      </c>
      <c r="K282">
        <v>2</v>
      </c>
      <c r="M282">
        <v>1683.17</v>
      </c>
    </row>
    <row r="283" spans="1:13" x14ac:dyDescent="0.3">
      <c r="A283" t="s">
        <v>294</v>
      </c>
      <c r="B283" s="2">
        <v>45157</v>
      </c>
      <c r="C283" s="2">
        <v>45161</v>
      </c>
      <c r="E283" t="s">
        <v>1514</v>
      </c>
      <c r="F283" t="s">
        <v>1518</v>
      </c>
      <c r="G283" t="s">
        <v>1520</v>
      </c>
      <c r="H283" t="s">
        <v>1525</v>
      </c>
      <c r="I283" t="s">
        <v>1808</v>
      </c>
      <c r="J283">
        <v>2013.33</v>
      </c>
      <c r="K283">
        <v>4</v>
      </c>
      <c r="L283">
        <v>0.2</v>
      </c>
      <c r="M283">
        <v>-46.53</v>
      </c>
    </row>
    <row r="284" spans="1:13" x14ac:dyDescent="0.3">
      <c r="A284" t="s">
        <v>295</v>
      </c>
      <c r="B284" s="2">
        <v>45176</v>
      </c>
      <c r="C284" s="2">
        <v>45182</v>
      </c>
      <c r="D284" t="s">
        <v>1057</v>
      </c>
      <c r="F284" t="s">
        <v>1516</v>
      </c>
      <c r="G284" t="s">
        <v>1521</v>
      </c>
      <c r="H284" t="s">
        <v>1528</v>
      </c>
      <c r="I284" t="s">
        <v>1809</v>
      </c>
      <c r="J284">
        <v>1576.69</v>
      </c>
      <c r="K284">
        <v>6</v>
      </c>
      <c r="L284">
        <v>0.2</v>
      </c>
      <c r="M284">
        <v>450.22</v>
      </c>
    </row>
    <row r="285" spans="1:13" x14ac:dyDescent="0.3">
      <c r="A285" t="s">
        <v>296</v>
      </c>
      <c r="B285" s="2">
        <v>45596</v>
      </c>
      <c r="C285" s="2">
        <v>45602</v>
      </c>
      <c r="D285" t="s">
        <v>1058</v>
      </c>
      <c r="E285" t="s">
        <v>1515</v>
      </c>
      <c r="F285" t="s">
        <v>1517</v>
      </c>
      <c r="G285" t="s">
        <v>1520</v>
      </c>
      <c r="H285" t="s">
        <v>1524</v>
      </c>
      <c r="I285" t="s">
        <v>1698</v>
      </c>
      <c r="J285">
        <v>4575.9399999999996</v>
      </c>
      <c r="K285">
        <v>6</v>
      </c>
      <c r="L285">
        <v>0.1</v>
      </c>
      <c r="M285">
        <v>126.58</v>
      </c>
    </row>
    <row r="286" spans="1:13" x14ac:dyDescent="0.3">
      <c r="A286" t="s">
        <v>297</v>
      </c>
      <c r="B286" s="2">
        <v>45271</v>
      </c>
      <c r="C286" s="2">
        <v>45272</v>
      </c>
      <c r="D286" t="s">
        <v>1059</v>
      </c>
      <c r="E286" t="s">
        <v>1514</v>
      </c>
      <c r="F286" t="s">
        <v>1517</v>
      </c>
      <c r="G286" t="s">
        <v>1520</v>
      </c>
      <c r="H286" t="s">
        <v>1523</v>
      </c>
      <c r="I286" t="s">
        <v>1810</v>
      </c>
      <c r="J286">
        <v>1340.83</v>
      </c>
      <c r="K286">
        <v>10</v>
      </c>
      <c r="L286">
        <v>0.2</v>
      </c>
      <c r="M286">
        <v>262.81</v>
      </c>
    </row>
    <row r="287" spans="1:13" x14ac:dyDescent="0.3">
      <c r="A287" t="s">
        <v>298</v>
      </c>
      <c r="B287" s="2">
        <v>45834</v>
      </c>
      <c r="C287" s="2">
        <v>45838</v>
      </c>
      <c r="D287" t="s">
        <v>1060</v>
      </c>
      <c r="E287" t="s">
        <v>1515</v>
      </c>
      <c r="F287" t="s">
        <v>1519</v>
      </c>
      <c r="G287" t="s">
        <v>1522</v>
      </c>
      <c r="H287" t="s">
        <v>1529</v>
      </c>
      <c r="I287" t="s">
        <v>1811</v>
      </c>
      <c r="J287">
        <v>1930.21</v>
      </c>
      <c r="K287">
        <v>4</v>
      </c>
      <c r="L287">
        <v>0.15</v>
      </c>
      <c r="M287">
        <v>198.53</v>
      </c>
    </row>
    <row r="288" spans="1:13" x14ac:dyDescent="0.3">
      <c r="A288" t="s">
        <v>299</v>
      </c>
      <c r="B288" s="2">
        <v>45182</v>
      </c>
      <c r="C288" s="2">
        <v>45190</v>
      </c>
      <c r="D288" t="s">
        <v>1061</v>
      </c>
      <c r="E288" t="s">
        <v>1515</v>
      </c>
      <c r="F288" t="s">
        <v>1518</v>
      </c>
      <c r="G288" t="s">
        <v>1521</v>
      </c>
      <c r="H288" t="s">
        <v>1526</v>
      </c>
      <c r="I288" t="s">
        <v>1812</v>
      </c>
      <c r="J288">
        <v>2331.1</v>
      </c>
      <c r="K288">
        <v>6</v>
      </c>
      <c r="L288">
        <v>0.05</v>
      </c>
      <c r="M288">
        <v>-286.77999999999997</v>
      </c>
    </row>
    <row r="289" spans="1:13" x14ac:dyDescent="0.3">
      <c r="A289" t="s">
        <v>300</v>
      </c>
      <c r="B289" s="2">
        <v>45088</v>
      </c>
      <c r="C289" s="2">
        <v>45089</v>
      </c>
      <c r="D289" t="s">
        <v>1062</v>
      </c>
      <c r="E289" t="s">
        <v>1513</v>
      </c>
      <c r="F289" t="s">
        <v>1518</v>
      </c>
      <c r="G289" t="s">
        <v>1522</v>
      </c>
      <c r="H289" t="s">
        <v>1527</v>
      </c>
      <c r="I289" t="s">
        <v>1813</v>
      </c>
      <c r="J289">
        <v>2643.52</v>
      </c>
      <c r="K289">
        <v>2</v>
      </c>
      <c r="M289">
        <v>-458.17</v>
      </c>
    </row>
    <row r="290" spans="1:13" x14ac:dyDescent="0.3">
      <c r="A290" t="s">
        <v>301</v>
      </c>
      <c r="B290" s="2">
        <v>45458</v>
      </c>
      <c r="C290" s="2">
        <v>45462</v>
      </c>
      <c r="D290" t="s">
        <v>1063</v>
      </c>
      <c r="E290" t="s">
        <v>1514</v>
      </c>
      <c r="F290" t="s">
        <v>1519</v>
      </c>
      <c r="G290" t="s">
        <v>1522</v>
      </c>
      <c r="H290" t="s">
        <v>1527</v>
      </c>
      <c r="I290" t="s">
        <v>1814</v>
      </c>
      <c r="J290">
        <v>386.44</v>
      </c>
      <c r="K290">
        <v>3</v>
      </c>
      <c r="L290">
        <v>0</v>
      </c>
      <c r="M290">
        <v>-30.8</v>
      </c>
    </row>
    <row r="291" spans="1:13" x14ac:dyDescent="0.3">
      <c r="A291" t="s">
        <v>302</v>
      </c>
      <c r="B291" s="2">
        <v>45396</v>
      </c>
      <c r="C291" s="2">
        <v>45406</v>
      </c>
      <c r="D291" t="s">
        <v>1064</v>
      </c>
      <c r="E291" t="s">
        <v>1515</v>
      </c>
      <c r="F291" t="s">
        <v>1518</v>
      </c>
      <c r="G291" t="s">
        <v>1522</v>
      </c>
      <c r="H291" t="s">
        <v>1527</v>
      </c>
      <c r="I291" t="s">
        <v>1815</v>
      </c>
      <c r="J291">
        <v>4568.12</v>
      </c>
      <c r="K291">
        <v>8</v>
      </c>
      <c r="L291">
        <v>0</v>
      </c>
      <c r="M291">
        <v>-897.01</v>
      </c>
    </row>
    <row r="292" spans="1:13" x14ac:dyDescent="0.3">
      <c r="A292" t="s">
        <v>303</v>
      </c>
      <c r="B292" s="2">
        <v>45860</v>
      </c>
      <c r="C292" s="2">
        <v>45869</v>
      </c>
      <c r="D292" t="s">
        <v>1065</v>
      </c>
      <c r="E292" t="s">
        <v>1515</v>
      </c>
      <c r="F292" t="s">
        <v>1518</v>
      </c>
      <c r="G292" t="s">
        <v>1522</v>
      </c>
      <c r="H292" t="s">
        <v>1531</v>
      </c>
      <c r="I292" t="s">
        <v>1816</v>
      </c>
      <c r="J292">
        <v>3624.85</v>
      </c>
      <c r="K292">
        <v>9</v>
      </c>
      <c r="L292">
        <v>0.1</v>
      </c>
      <c r="M292">
        <v>-690.79</v>
      </c>
    </row>
    <row r="293" spans="1:13" x14ac:dyDescent="0.3">
      <c r="A293" t="s">
        <v>304</v>
      </c>
      <c r="B293" s="2">
        <v>45634</v>
      </c>
      <c r="C293" s="2">
        <v>45636</v>
      </c>
      <c r="D293" t="s">
        <v>1066</v>
      </c>
      <c r="E293" t="s">
        <v>1514</v>
      </c>
      <c r="F293" t="s">
        <v>1519</v>
      </c>
      <c r="G293" t="s">
        <v>1522</v>
      </c>
      <c r="H293" t="s">
        <v>1531</v>
      </c>
      <c r="I293" t="s">
        <v>1817</v>
      </c>
      <c r="J293">
        <v>2645.71</v>
      </c>
      <c r="K293">
        <v>4</v>
      </c>
      <c r="L293">
        <v>0.05</v>
      </c>
      <c r="M293">
        <v>372.73</v>
      </c>
    </row>
    <row r="294" spans="1:13" x14ac:dyDescent="0.3">
      <c r="A294" t="s">
        <v>305</v>
      </c>
      <c r="B294" s="2">
        <v>46089</v>
      </c>
      <c r="C294" s="2">
        <v>46091</v>
      </c>
      <c r="D294" t="s">
        <v>1067</v>
      </c>
      <c r="E294" t="s">
        <v>1515</v>
      </c>
      <c r="F294" t="s">
        <v>1517</v>
      </c>
      <c r="G294" t="s">
        <v>1521</v>
      </c>
      <c r="H294" t="s">
        <v>1526</v>
      </c>
      <c r="I294" t="s">
        <v>1818</v>
      </c>
      <c r="J294">
        <v>1896.61</v>
      </c>
      <c r="K294">
        <v>7</v>
      </c>
      <c r="L294">
        <v>0.15</v>
      </c>
      <c r="M294">
        <v>210.05</v>
      </c>
    </row>
    <row r="295" spans="1:13" x14ac:dyDescent="0.3">
      <c r="A295" t="s">
        <v>306</v>
      </c>
      <c r="B295" t="s">
        <v>770</v>
      </c>
      <c r="C295" s="2">
        <v>45587</v>
      </c>
      <c r="D295" t="s">
        <v>1068</v>
      </c>
      <c r="E295" t="s">
        <v>1514</v>
      </c>
      <c r="F295" t="s">
        <v>1518</v>
      </c>
      <c r="G295" t="s">
        <v>1521</v>
      </c>
      <c r="H295" t="s">
        <v>1528</v>
      </c>
      <c r="I295" t="s">
        <v>1819</v>
      </c>
      <c r="J295">
        <v>3285.99</v>
      </c>
      <c r="K295">
        <v>1</v>
      </c>
      <c r="L295">
        <v>0</v>
      </c>
      <c r="M295">
        <v>75.260000000000005</v>
      </c>
    </row>
    <row r="296" spans="1:13" x14ac:dyDescent="0.3">
      <c r="A296" t="s">
        <v>307</v>
      </c>
      <c r="B296" s="2">
        <v>45491</v>
      </c>
      <c r="C296" s="2">
        <v>45492</v>
      </c>
      <c r="D296" t="s">
        <v>1069</v>
      </c>
      <c r="E296" t="s">
        <v>1515</v>
      </c>
      <c r="F296" t="s">
        <v>1519</v>
      </c>
      <c r="G296" t="s">
        <v>1522</v>
      </c>
      <c r="H296" t="s">
        <v>1527</v>
      </c>
      <c r="I296" t="s">
        <v>1820</v>
      </c>
      <c r="J296">
        <v>3529.08</v>
      </c>
      <c r="K296">
        <v>2</v>
      </c>
      <c r="L296">
        <v>0.15</v>
      </c>
      <c r="M296">
        <v>934.96</v>
      </c>
    </row>
    <row r="297" spans="1:13" x14ac:dyDescent="0.3">
      <c r="A297" t="s">
        <v>308</v>
      </c>
      <c r="B297" s="2">
        <v>45474</v>
      </c>
      <c r="C297" s="2">
        <v>45483</v>
      </c>
      <c r="D297" t="s">
        <v>1070</v>
      </c>
      <c r="E297" t="s">
        <v>1515</v>
      </c>
      <c r="F297" t="s">
        <v>1518</v>
      </c>
      <c r="G297" t="s">
        <v>1520</v>
      </c>
      <c r="H297" t="s">
        <v>1523</v>
      </c>
      <c r="I297" t="s">
        <v>1821</v>
      </c>
      <c r="J297">
        <v>4599.8</v>
      </c>
      <c r="K297">
        <v>4</v>
      </c>
      <c r="L297">
        <v>0.05</v>
      </c>
      <c r="M297">
        <v>1360.16</v>
      </c>
    </row>
    <row r="298" spans="1:13" x14ac:dyDescent="0.3">
      <c r="A298" t="s">
        <v>309</v>
      </c>
      <c r="B298" s="2">
        <v>45636</v>
      </c>
      <c r="C298" s="2">
        <v>45638</v>
      </c>
      <c r="D298" t="s">
        <v>1071</v>
      </c>
      <c r="E298" t="s">
        <v>1513</v>
      </c>
      <c r="F298" t="s">
        <v>1517</v>
      </c>
      <c r="G298" t="s">
        <v>1521</v>
      </c>
      <c r="H298" t="s">
        <v>1530</v>
      </c>
      <c r="I298" t="s">
        <v>1822</v>
      </c>
      <c r="J298">
        <v>3437.92</v>
      </c>
      <c r="K298">
        <v>5</v>
      </c>
      <c r="L298">
        <v>0.2</v>
      </c>
      <c r="M298">
        <v>377.93</v>
      </c>
    </row>
    <row r="299" spans="1:13" x14ac:dyDescent="0.3">
      <c r="A299" t="s">
        <v>310</v>
      </c>
      <c r="B299" s="2">
        <v>45328</v>
      </c>
      <c r="C299" s="2">
        <v>45332</v>
      </c>
      <c r="D299" t="s">
        <v>1072</v>
      </c>
      <c r="E299" t="s">
        <v>1515</v>
      </c>
      <c r="F299" t="s">
        <v>1517</v>
      </c>
      <c r="G299" t="s">
        <v>1521</v>
      </c>
      <c r="H299" t="s">
        <v>1530</v>
      </c>
      <c r="I299" t="s">
        <v>1823</v>
      </c>
      <c r="J299">
        <v>2955.83</v>
      </c>
      <c r="K299">
        <v>7</v>
      </c>
      <c r="L299">
        <v>0</v>
      </c>
      <c r="M299">
        <v>-104.63</v>
      </c>
    </row>
    <row r="300" spans="1:13" x14ac:dyDescent="0.3">
      <c r="A300" t="s">
        <v>311</v>
      </c>
      <c r="B300" s="2">
        <v>46096</v>
      </c>
      <c r="C300" s="2">
        <v>46105</v>
      </c>
      <c r="D300" t="s">
        <v>1073</v>
      </c>
      <c r="E300" t="s">
        <v>1515</v>
      </c>
      <c r="F300" t="s">
        <v>1519</v>
      </c>
      <c r="G300" t="s">
        <v>1520</v>
      </c>
      <c r="H300" t="s">
        <v>1524</v>
      </c>
      <c r="I300" t="s">
        <v>1629</v>
      </c>
      <c r="J300">
        <v>1692.06</v>
      </c>
      <c r="K300">
        <v>3</v>
      </c>
      <c r="M300">
        <v>335.52</v>
      </c>
    </row>
    <row r="301" spans="1:13" x14ac:dyDescent="0.3">
      <c r="A301" t="s">
        <v>312</v>
      </c>
      <c r="B301" s="2">
        <v>45715</v>
      </c>
      <c r="C301" s="2">
        <v>45722</v>
      </c>
      <c r="E301" t="s">
        <v>1515</v>
      </c>
      <c r="F301" t="s">
        <v>1518</v>
      </c>
      <c r="G301" t="s">
        <v>1522</v>
      </c>
      <c r="H301" t="s">
        <v>1531</v>
      </c>
      <c r="I301" t="s">
        <v>1824</v>
      </c>
      <c r="J301">
        <v>1199.1099999999999</v>
      </c>
      <c r="K301">
        <v>2</v>
      </c>
      <c r="L301">
        <v>0.1</v>
      </c>
      <c r="M301">
        <v>159.29</v>
      </c>
    </row>
    <row r="302" spans="1:13" x14ac:dyDescent="0.3">
      <c r="A302" t="s">
        <v>313</v>
      </c>
      <c r="B302" s="2">
        <v>45527</v>
      </c>
      <c r="C302" s="2">
        <v>45532</v>
      </c>
      <c r="D302" t="s">
        <v>1074</v>
      </c>
      <c r="E302" t="s">
        <v>1515</v>
      </c>
      <c r="F302" t="s">
        <v>1518</v>
      </c>
      <c r="G302" t="s">
        <v>1521</v>
      </c>
      <c r="H302" t="s">
        <v>1530</v>
      </c>
      <c r="I302" t="s">
        <v>1825</v>
      </c>
      <c r="J302">
        <v>3928.56</v>
      </c>
      <c r="K302">
        <v>8</v>
      </c>
      <c r="L302">
        <v>0.15</v>
      </c>
      <c r="M302">
        <v>-292.77</v>
      </c>
    </row>
    <row r="303" spans="1:13" x14ac:dyDescent="0.3">
      <c r="A303" t="s">
        <v>314</v>
      </c>
      <c r="B303" s="2">
        <v>46073</v>
      </c>
      <c r="C303" s="2">
        <v>46083</v>
      </c>
      <c r="D303" t="s">
        <v>1075</v>
      </c>
      <c r="E303" t="s">
        <v>1513</v>
      </c>
      <c r="F303" t="s">
        <v>1516</v>
      </c>
      <c r="G303" t="s">
        <v>1521</v>
      </c>
      <c r="H303" t="s">
        <v>1530</v>
      </c>
      <c r="I303" t="s">
        <v>1826</v>
      </c>
      <c r="J303">
        <v>3320.33</v>
      </c>
      <c r="K303">
        <v>2</v>
      </c>
      <c r="L303">
        <v>0.2</v>
      </c>
      <c r="M303">
        <v>-124.65</v>
      </c>
    </row>
    <row r="304" spans="1:13" x14ac:dyDescent="0.3">
      <c r="A304" t="s">
        <v>315</v>
      </c>
      <c r="B304" s="2">
        <v>46161</v>
      </c>
      <c r="C304" s="2">
        <v>46164</v>
      </c>
      <c r="D304" t="s">
        <v>1076</v>
      </c>
      <c r="E304" t="s">
        <v>1514</v>
      </c>
      <c r="F304" t="s">
        <v>1516</v>
      </c>
      <c r="G304" t="s">
        <v>1522</v>
      </c>
      <c r="H304" t="s">
        <v>1529</v>
      </c>
      <c r="I304" t="s">
        <v>1827</v>
      </c>
      <c r="J304">
        <v>1931</v>
      </c>
      <c r="K304">
        <v>3</v>
      </c>
      <c r="M304">
        <v>27.6</v>
      </c>
    </row>
    <row r="305" spans="1:13" x14ac:dyDescent="0.3">
      <c r="A305" t="s">
        <v>316</v>
      </c>
      <c r="B305" s="2">
        <v>45289</v>
      </c>
      <c r="C305" s="2">
        <v>45294</v>
      </c>
      <c r="D305" t="s">
        <v>1077</v>
      </c>
      <c r="E305" t="s">
        <v>1513</v>
      </c>
      <c r="F305" t="s">
        <v>1518</v>
      </c>
      <c r="G305" t="s">
        <v>1522</v>
      </c>
      <c r="H305" t="s">
        <v>1531</v>
      </c>
      <c r="I305" t="s">
        <v>1828</v>
      </c>
      <c r="J305">
        <v>2251.44</v>
      </c>
      <c r="K305">
        <v>5</v>
      </c>
      <c r="L305">
        <v>0</v>
      </c>
      <c r="M305">
        <v>-286.20999999999998</v>
      </c>
    </row>
    <row r="306" spans="1:13" x14ac:dyDescent="0.3">
      <c r="A306" t="s">
        <v>317</v>
      </c>
      <c r="B306" s="2">
        <v>45930</v>
      </c>
      <c r="C306" s="2">
        <v>45939</v>
      </c>
      <c r="D306" t="s">
        <v>1078</v>
      </c>
      <c r="E306" t="s">
        <v>1515</v>
      </c>
      <c r="F306" t="s">
        <v>1516</v>
      </c>
      <c r="G306" t="s">
        <v>1521</v>
      </c>
      <c r="H306" t="s">
        <v>1528</v>
      </c>
      <c r="I306" t="s">
        <v>1829</v>
      </c>
      <c r="J306">
        <v>2586.58</v>
      </c>
      <c r="K306">
        <v>2</v>
      </c>
      <c r="L306">
        <v>0</v>
      </c>
      <c r="M306">
        <v>-389.82</v>
      </c>
    </row>
    <row r="307" spans="1:13" x14ac:dyDescent="0.3">
      <c r="A307" t="s">
        <v>318</v>
      </c>
      <c r="B307" s="2">
        <v>45374</v>
      </c>
      <c r="C307" s="2">
        <v>45380</v>
      </c>
      <c r="D307" t="s">
        <v>1079</v>
      </c>
      <c r="E307" t="s">
        <v>1513</v>
      </c>
      <c r="F307" t="s">
        <v>1517</v>
      </c>
      <c r="G307" t="s">
        <v>1520</v>
      </c>
      <c r="H307" t="s">
        <v>1525</v>
      </c>
      <c r="I307" t="s">
        <v>1707</v>
      </c>
      <c r="J307">
        <v>4325.3999999999996</v>
      </c>
      <c r="K307">
        <v>1</v>
      </c>
      <c r="L307">
        <v>0.1</v>
      </c>
      <c r="M307">
        <v>119.36</v>
      </c>
    </row>
    <row r="308" spans="1:13" x14ac:dyDescent="0.3">
      <c r="A308" t="s">
        <v>319</v>
      </c>
      <c r="B308" s="2">
        <v>45481</v>
      </c>
      <c r="C308" s="2">
        <v>45484</v>
      </c>
      <c r="E308" t="s">
        <v>1514</v>
      </c>
      <c r="F308" t="s">
        <v>1518</v>
      </c>
      <c r="G308" t="s">
        <v>1520</v>
      </c>
      <c r="H308" t="s">
        <v>1525</v>
      </c>
      <c r="I308" t="s">
        <v>1830</v>
      </c>
      <c r="J308">
        <v>3442.31</v>
      </c>
      <c r="K308">
        <v>3</v>
      </c>
      <c r="L308">
        <v>0.05</v>
      </c>
      <c r="M308">
        <v>-179.33</v>
      </c>
    </row>
    <row r="309" spans="1:13" x14ac:dyDescent="0.3">
      <c r="A309" t="s">
        <v>320</v>
      </c>
      <c r="B309" s="2">
        <v>45543</v>
      </c>
      <c r="C309" s="2">
        <v>45546</v>
      </c>
      <c r="D309" t="s">
        <v>1080</v>
      </c>
      <c r="E309" t="s">
        <v>1513</v>
      </c>
      <c r="F309" t="s">
        <v>1519</v>
      </c>
      <c r="G309" t="s">
        <v>1522</v>
      </c>
      <c r="H309" t="s">
        <v>1531</v>
      </c>
      <c r="I309" t="s">
        <v>1831</v>
      </c>
      <c r="J309">
        <v>2201.65</v>
      </c>
      <c r="K309">
        <v>7</v>
      </c>
      <c r="L309">
        <v>0.1</v>
      </c>
      <c r="M309">
        <v>146.03</v>
      </c>
    </row>
    <row r="310" spans="1:13" x14ac:dyDescent="0.3">
      <c r="A310" t="s">
        <v>321</v>
      </c>
      <c r="B310" s="2">
        <v>46002</v>
      </c>
      <c r="C310" s="2">
        <v>46010</v>
      </c>
      <c r="D310" t="s">
        <v>1081</v>
      </c>
      <c r="E310" t="s">
        <v>1514</v>
      </c>
      <c r="F310" t="s">
        <v>1516</v>
      </c>
      <c r="G310" t="s">
        <v>1521</v>
      </c>
      <c r="H310" t="s">
        <v>1530</v>
      </c>
      <c r="I310" t="s">
        <v>1832</v>
      </c>
      <c r="J310">
        <v>2989.34</v>
      </c>
      <c r="K310">
        <v>4</v>
      </c>
      <c r="L310">
        <v>0.15</v>
      </c>
      <c r="M310">
        <v>-421.99</v>
      </c>
    </row>
    <row r="311" spans="1:13" x14ac:dyDescent="0.3">
      <c r="A311" t="s">
        <v>322</v>
      </c>
      <c r="B311" s="2">
        <v>45635</v>
      </c>
      <c r="C311" s="2">
        <v>45645</v>
      </c>
      <c r="D311" t="s">
        <v>1082</v>
      </c>
      <c r="E311" t="s">
        <v>1515</v>
      </c>
      <c r="G311" t="s">
        <v>1521</v>
      </c>
      <c r="H311" t="s">
        <v>1526</v>
      </c>
      <c r="I311" t="s">
        <v>1833</v>
      </c>
      <c r="J311">
        <v>1930.46</v>
      </c>
      <c r="K311">
        <v>6</v>
      </c>
      <c r="L311">
        <v>0.15</v>
      </c>
      <c r="M311">
        <v>-30.68</v>
      </c>
    </row>
    <row r="312" spans="1:13" x14ac:dyDescent="0.3">
      <c r="A312" t="s">
        <v>323</v>
      </c>
      <c r="B312" s="2">
        <v>45951</v>
      </c>
      <c r="C312" s="2">
        <v>45961</v>
      </c>
      <c r="D312" t="s">
        <v>1083</v>
      </c>
      <c r="E312" t="s">
        <v>1514</v>
      </c>
      <c r="F312" t="s">
        <v>1519</v>
      </c>
      <c r="G312" t="s">
        <v>1521</v>
      </c>
      <c r="H312" t="s">
        <v>1526</v>
      </c>
      <c r="I312" t="s">
        <v>1834</v>
      </c>
      <c r="J312">
        <v>4739.03</v>
      </c>
      <c r="K312">
        <v>4</v>
      </c>
      <c r="L312">
        <v>0.15</v>
      </c>
      <c r="M312">
        <v>-128.9</v>
      </c>
    </row>
    <row r="313" spans="1:13" x14ac:dyDescent="0.3">
      <c r="A313" t="s">
        <v>324</v>
      </c>
      <c r="B313" s="2">
        <v>45723</v>
      </c>
      <c r="C313" s="2">
        <v>45731</v>
      </c>
      <c r="D313" t="s">
        <v>1084</v>
      </c>
      <c r="E313" t="s">
        <v>1514</v>
      </c>
      <c r="F313" t="s">
        <v>1519</v>
      </c>
      <c r="G313" t="s">
        <v>1521</v>
      </c>
      <c r="H313" t="s">
        <v>1528</v>
      </c>
      <c r="I313" t="s">
        <v>1835</v>
      </c>
      <c r="J313">
        <v>4840.43</v>
      </c>
      <c r="K313">
        <v>4</v>
      </c>
      <c r="L313">
        <v>0.1</v>
      </c>
      <c r="M313">
        <v>33.06</v>
      </c>
    </row>
    <row r="314" spans="1:13" x14ac:dyDescent="0.3">
      <c r="A314" t="s">
        <v>325</v>
      </c>
      <c r="B314" s="2">
        <v>46031</v>
      </c>
      <c r="C314" s="2">
        <v>46035</v>
      </c>
      <c r="D314" t="s">
        <v>1085</v>
      </c>
      <c r="E314" t="s">
        <v>1515</v>
      </c>
      <c r="F314" t="s">
        <v>1516</v>
      </c>
      <c r="G314" t="s">
        <v>1522</v>
      </c>
      <c r="H314" t="s">
        <v>1527</v>
      </c>
      <c r="I314" t="s">
        <v>1836</v>
      </c>
      <c r="J314">
        <v>2981.52</v>
      </c>
      <c r="K314">
        <v>9</v>
      </c>
      <c r="L314">
        <v>0.05</v>
      </c>
      <c r="M314">
        <v>521.59</v>
      </c>
    </row>
    <row r="315" spans="1:13" x14ac:dyDescent="0.3">
      <c r="A315" t="s">
        <v>326</v>
      </c>
      <c r="B315" s="2">
        <v>46056</v>
      </c>
      <c r="C315" s="2">
        <v>46060</v>
      </c>
      <c r="D315" t="s">
        <v>1086</v>
      </c>
      <c r="E315" t="s">
        <v>1514</v>
      </c>
      <c r="F315" t="s">
        <v>1518</v>
      </c>
      <c r="G315" t="s">
        <v>1520</v>
      </c>
      <c r="H315" t="s">
        <v>1524</v>
      </c>
      <c r="I315" t="s">
        <v>1837</v>
      </c>
      <c r="J315">
        <v>2220.35</v>
      </c>
      <c r="K315">
        <v>5</v>
      </c>
      <c r="M315">
        <v>-359.61</v>
      </c>
    </row>
    <row r="316" spans="1:13" x14ac:dyDescent="0.3">
      <c r="A316" t="s">
        <v>327</v>
      </c>
      <c r="B316" s="2">
        <v>45928</v>
      </c>
      <c r="C316" s="2">
        <v>45933</v>
      </c>
      <c r="D316" t="s">
        <v>1087</v>
      </c>
      <c r="E316" t="s">
        <v>1514</v>
      </c>
      <c r="F316" t="s">
        <v>1516</v>
      </c>
      <c r="G316" t="s">
        <v>1522</v>
      </c>
      <c r="H316" t="s">
        <v>1527</v>
      </c>
      <c r="I316" t="s">
        <v>1838</v>
      </c>
      <c r="J316">
        <v>1248</v>
      </c>
      <c r="K316">
        <v>3</v>
      </c>
      <c r="M316">
        <v>40.840000000000003</v>
      </c>
    </row>
    <row r="317" spans="1:13" x14ac:dyDescent="0.3">
      <c r="A317" t="s">
        <v>328</v>
      </c>
      <c r="B317" s="2">
        <v>45529</v>
      </c>
      <c r="C317" s="2">
        <v>45537</v>
      </c>
      <c r="D317" t="s">
        <v>1088</v>
      </c>
      <c r="E317" t="s">
        <v>1515</v>
      </c>
      <c r="F317" t="s">
        <v>1518</v>
      </c>
      <c r="G317" t="s">
        <v>1521</v>
      </c>
      <c r="H317" t="s">
        <v>1528</v>
      </c>
      <c r="I317" t="s">
        <v>1839</v>
      </c>
      <c r="J317">
        <v>2932.11</v>
      </c>
      <c r="K317">
        <v>9</v>
      </c>
      <c r="L317">
        <v>0.2</v>
      </c>
      <c r="M317">
        <v>902.86</v>
      </c>
    </row>
    <row r="318" spans="1:13" x14ac:dyDescent="0.3">
      <c r="A318" t="s">
        <v>329</v>
      </c>
      <c r="B318" s="2">
        <v>45842</v>
      </c>
      <c r="C318" s="2">
        <v>45848</v>
      </c>
      <c r="D318" t="s">
        <v>1089</v>
      </c>
      <c r="E318" t="s">
        <v>1513</v>
      </c>
      <c r="F318" t="s">
        <v>1516</v>
      </c>
      <c r="G318" t="s">
        <v>1520</v>
      </c>
      <c r="H318" t="s">
        <v>1523</v>
      </c>
      <c r="I318" t="s">
        <v>1840</v>
      </c>
      <c r="J318">
        <v>3523.09</v>
      </c>
      <c r="K318">
        <v>9</v>
      </c>
      <c r="L318">
        <v>0.2</v>
      </c>
      <c r="M318">
        <v>531.98</v>
      </c>
    </row>
    <row r="319" spans="1:13" x14ac:dyDescent="0.3">
      <c r="A319" t="s">
        <v>330</v>
      </c>
      <c r="B319" s="2">
        <v>45619</v>
      </c>
      <c r="C319" s="2">
        <v>45625</v>
      </c>
      <c r="D319" t="s">
        <v>1090</v>
      </c>
      <c r="E319" t="s">
        <v>1515</v>
      </c>
      <c r="F319" t="s">
        <v>1518</v>
      </c>
      <c r="G319" t="s">
        <v>1522</v>
      </c>
      <c r="H319" t="s">
        <v>1527</v>
      </c>
      <c r="I319" t="s">
        <v>1841</v>
      </c>
      <c r="J319">
        <v>873.38</v>
      </c>
      <c r="K319">
        <v>10</v>
      </c>
      <c r="L319">
        <v>0</v>
      </c>
      <c r="M319">
        <v>95.87</v>
      </c>
    </row>
    <row r="320" spans="1:13" x14ac:dyDescent="0.3">
      <c r="A320" t="s">
        <v>331</v>
      </c>
      <c r="B320" s="2">
        <v>45990</v>
      </c>
      <c r="C320" s="2">
        <v>45992</v>
      </c>
      <c r="D320" t="s">
        <v>1091</v>
      </c>
      <c r="E320" t="s">
        <v>1515</v>
      </c>
      <c r="F320" t="s">
        <v>1517</v>
      </c>
      <c r="G320" t="s">
        <v>1521</v>
      </c>
      <c r="H320" t="s">
        <v>1526</v>
      </c>
      <c r="I320" t="s">
        <v>1842</v>
      </c>
      <c r="J320">
        <v>102.21</v>
      </c>
      <c r="K320">
        <v>5</v>
      </c>
      <c r="L320">
        <v>0.05</v>
      </c>
      <c r="M320">
        <v>8.27</v>
      </c>
    </row>
    <row r="321" spans="1:13" x14ac:dyDescent="0.3">
      <c r="A321" t="s">
        <v>332</v>
      </c>
      <c r="B321" s="2">
        <v>45890</v>
      </c>
      <c r="C321" s="2">
        <v>45897</v>
      </c>
      <c r="D321" t="s">
        <v>1092</v>
      </c>
      <c r="E321" t="s">
        <v>1514</v>
      </c>
      <c r="F321" t="s">
        <v>1516</v>
      </c>
      <c r="G321" t="s">
        <v>1521</v>
      </c>
      <c r="H321" t="s">
        <v>1526</v>
      </c>
      <c r="I321" t="s">
        <v>1843</v>
      </c>
      <c r="J321">
        <v>2342.16</v>
      </c>
      <c r="K321">
        <v>10</v>
      </c>
      <c r="M321">
        <v>176.26</v>
      </c>
    </row>
    <row r="322" spans="1:13" x14ac:dyDescent="0.3">
      <c r="A322" t="s">
        <v>333</v>
      </c>
      <c r="B322" s="2">
        <v>46104</v>
      </c>
      <c r="C322" s="2">
        <v>46109</v>
      </c>
      <c r="D322" t="s">
        <v>1093</v>
      </c>
      <c r="E322" t="s">
        <v>1515</v>
      </c>
      <c r="F322" t="s">
        <v>1517</v>
      </c>
      <c r="G322" t="s">
        <v>1521</v>
      </c>
      <c r="H322" t="s">
        <v>1530</v>
      </c>
      <c r="I322" t="s">
        <v>1844</v>
      </c>
      <c r="J322">
        <v>2109.08</v>
      </c>
      <c r="K322">
        <v>2</v>
      </c>
      <c r="L322">
        <v>0</v>
      </c>
      <c r="M322">
        <v>542.51</v>
      </c>
    </row>
    <row r="323" spans="1:13" x14ac:dyDescent="0.3">
      <c r="A323" t="s">
        <v>334</v>
      </c>
      <c r="B323" s="2">
        <v>45425</v>
      </c>
      <c r="C323" s="2">
        <v>45431</v>
      </c>
      <c r="D323" t="s">
        <v>1094</v>
      </c>
      <c r="E323" t="s">
        <v>1514</v>
      </c>
      <c r="F323" t="s">
        <v>1516</v>
      </c>
      <c r="G323" t="s">
        <v>1521</v>
      </c>
      <c r="H323" t="s">
        <v>1526</v>
      </c>
      <c r="I323" t="s">
        <v>1845</v>
      </c>
      <c r="J323">
        <v>2303.9</v>
      </c>
      <c r="K323">
        <v>4</v>
      </c>
      <c r="L323">
        <v>0.2</v>
      </c>
      <c r="M323">
        <v>151.16</v>
      </c>
    </row>
    <row r="324" spans="1:13" x14ac:dyDescent="0.3">
      <c r="A324" t="s">
        <v>335</v>
      </c>
      <c r="B324" s="2">
        <v>45461</v>
      </c>
      <c r="C324" s="2">
        <v>45469</v>
      </c>
      <c r="D324" t="s">
        <v>1095</v>
      </c>
      <c r="E324" t="s">
        <v>1513</v>
      </c>
      <c r="F324" t="s">
        <v>1516</v>
      </c>
      <c r="G324" t="s">
        <v>1521</v>
      </c>
      <c r="H324" t="s">
        <v>1528</v>
      </c>
      <c r="I324" t="s">
        <v>1846</v>
      </c>
      <c r="J324">
        <v>1628.6</v>
      </c>
      <c r="K324">
        <v>5</v>
      </c>
      <c r="L324">
        <v>0</v>
      </c>
      <c r="M324">
        <v>399.99</v>
      </c>
    </row>
    <row r="325" spans="1:13" x14ac:dyDescent="0.3">
      <c r="A325" t="s">
        <v>336</v>
      </c>
      <c r="B325" s="2">
        <v>45507</v>
      </c>
      <c r="C325" s="2">
        <v>45509</v>
      </c>
      <c r="D325" t="s">
        <v>1096</v>
      </c>
      <c r="E325" t="s">
        <v>1513</v>
      </c>
      <c r="F325" t="s">
        <v>1517</v>
      </c>
      <c r="G325" t="s">
        <v>1521</v>
      </c>
      <c r="H325" t="s">
        <v>1528</v>
      </c>
      <c r="I325" t="s">
        <v>1847</v>
      </c>
      <c r="J325">
        <v>3401.84</v>
      </c>
      <c r="K325">
        <v>3</v>
      </c>
      <c r="M325">
        <v>-224</v>
      </c>
    </row>
    <row r="326" spans="1:13" x14ac:dyDescent="0.3">
      <c r="A326" t="s">
        <v>337</v>
      </c>
      <c r="B326" s="2">
        <v>45623</v>
      </c>
      <c r="C326" s="2">
        <v>45630</v>
      </c>
      <c r="D326" t="s">
        <v>1097</v>
      </c>
      <c r="E326" t="s">
        <v>1513</v>
      </c>
      <c r="F326" t="s">
        <v>1518</v>
      </c>
      <c r="G326" t="s">
        <v>1521</v>
      </c>
      <c r="H326" t="s">
        <v>1528</v>
      </c>
      <c r="I326" t="s">
        <v>1848</v>
      </c>
      <c r="J326">
        <v>4794.3900000000003</v>
      </c>
      <c r="K326">
        <v>4</v>
      </c>
      <c r="L326">
        <v>0.15</v>
      </c>
      <c r="M326">
        <v>701.75</v>
      </c>
    </row>
    <row r="327" spans="1:13" x14ac:dyDescent="0.3">
      <c r="A327" t="s">
        <v>338</v>
      </c>
      <c r="B327" s="2">
        <v>46070</v>
      </c>
      <c r="C327" s="2">
        <v>46080</v>
      </c>
      <c r="D327" t="s">
        <v>1098</v>
      </c>
      <c r="E327" t="s">
        <v>1513</v>
      </c>
      <c r="F327" t="s">
        <v>1517</v>
      </c>
      <c r="G327" t="s">
        <v>1521</v>
      </c>
      <c r="H327" t="s">
        <v>1530</v>
      </c>
      <c r="I327" t="s">
        <v>1849</v>
      </c>
      <c r="J327">
        <v>4421.33</v>
      </c>
      <c r="K327">
        <v>8</v>
      </c>
      <c r="L327">
        <v>0.2</v>
      </c>
      <c r="M327">
        <v>160.29</v>
      </c>
    </row>
    <row r="328" spans="1:13" x14ac:dyDescent="0.3">
      <c r="A328" t="s">
        <v>339</v>
      </c>
      <c r="B328" s="2">
        <v>45073</v>
      </c>
      <c r="C328" s="2">
        <v>45075</v>
      </c>
      <c r="D328" t="s">
        <v>1099</v>
      </c>
      <c r="E328" t="s">
        <v>1513</v>
      </c>
      <c r="F328" t="s">
        <v>1518</v>
      </c>
      <c r="G328" t="s">
        <v>1522</v>
      </c>
      <c r="H328" t="s">
        <v>1529</v>
      </c>
      <c r="I328" t="s">
        <v>1850</v>
      </c>
      <c r="J328">
        <v>2907.87</v>
      </c>
      <c r="K328">
        <v>9</v>
      </c>
      <c r="L328">
        <v>0.05</v>
      </c>
      <c r="M328">
        <v>3.45</v>
      </c>
    </row>
    <row r="329" spans="1:13" x14ac:dyDescent="0.3">
      <c r="A329" t="s">
        <v>340</v>
      </c>
      <c r="B329" s="2">
        <v>45245</v>
      </c>
      <c r="C329" s="2">
        <v>45253</v>
      </c>
      <c r="D329" t="s">
        <v>1100</v>
      </c>
      <c r="E329" t="s">
        <v>1514</v>
      </c>
      <c r="F329" t="s">
        <v>1516</v>
      </c>
      <c r="G329" t="s">
        <v>1522</v>
      </c>
      <c r="H329" t="s">
        <v>1529</v>
      </c>
      <c r="I329" t="s">
        <v>1851</v>
      </c>
      <c r="J329">
        <v>2662.19</v>
      </c>
      <c r="K329">
        <v>6</v>
      </c>
      <c r="L329">
        <v>0.2</v>
      </c>
      <c r="M329">
        <v>36.61</v>
      </c>
    </row>
    <row r="330" spans="1:13" x14ac:dyDescent="0.3">
      <c r="A330" t="s">
        <v>341</v>
      </c>
      <c r="B330" s="2">
        <v>45764</v>
      </c>
      <c r="C330" s="2">
        <v>45772</v>
      </c>
      <c r="D330" t="s">
        <v>1101</v>
      </c>
      <c r="E330" t="s">
        <v>1515</v>
      </c>
      <c r="F330" t="s">
        <v>1517</v>
      </c>
      <c r="G330" t="s">
        <v>1521</v>
      </c>
      <c r="H330" t="s">
        <v>1526</v>
      </c>
      <c r="I330" t="s">
        <v>1852</v>
      </c>
      <c r="J330">
        <v>3105.95</v>
      </c>
      <c r="K330">
        <v>5</v>
      </c>
      <c r="L330">
        <v>0.2</v>
      </c>
      <c r="M330">
        <v>386.98</v>
      </c>
    </row>
    <row r="331" spans="1:13" x14ac:dyDescent="0.3">
      <c r="A331" t="s">
        <v>342</v>
      </c>
      <c r="B331" s="2">
        <v>45952</v>
      </c>
      <c r="C331" s="2">
        <v>45956</v>
      </c>
      <c r="D331" t="s">
        <v>1102</v>
      </c>
      <c r="E331" t="s">
        <v>1515</v>
      </c>
      <c r="F331" t="s">
        <v>1518</v>
      </c>
      <c r="G331" t="s">
        <v>1521</v>
      </c>
      <c r="H331" t="s">
        <v>1530</v>
      </c>
      <c r="I331" t="s">
        <v>1853</v>
      </c>
      <c r="J331">
        <v>1561.63</v>
      </c>
      <c r="K331">
        <v>3</v>
      </c>
      <c r="L331">
        <v>0.1</v>
      </c>
      <c r="M331">
        <v>283.26</v>
      </c>
    </row>
    <row r="332" spans="1:13" x14ac:dyDescent="0.3">
      <c r="A332" t="s">
        <v>343</v>
      </c>
      <c r="B332" s="2">
        <v>45677</v>
      </c>
      <c r="C332" s="2">
        <v>45680</v>
      </c>
      <c r="D332" t="s">
        <v>1103</v>
      </c>
      <c r="E332" t="s">
        <v>1515</v>
      </c>
      <c r="F332" t="s">
        <v>1517</v>
      </c>
      <c r="G332" t="s">
        <v>1521</v>
      </c>
      <c r="H332" t="s">
        <v>1528</v>
      </c>
      <c r="I332" t="s">
        <v>1854</v>
      </c>
      <c r="J332">
        <v>2895.29</v>
      </c>
      <c r="K332">
        <v>7</v>
      </c>
      <c r="L332">
        <v>0.05</v>
      </c>
      <c r="M332">
        <v>195.92</v>
      </c>
    </row>
    <row r="333" spans="1:13" x14ac:dyDescent="0.3">
      <c r="A333" t="s">
        <v>344</v>
      </c>
      <c r="B333" s="2">
        <v>45184</v>
      </c>
      <c r="C333" s="2">
        <v>45192</v>
      </c>
      <c r="D333" t="s">
        <v>1104</v>
      </c>
      <c r="E333" t="s">
        <v>1515</v>
      </c>
      <c r="F333" t="s">
        <v>1516</v>
      </c>
      <c r="G333" t="s">
        <v>1520</v>
      </c>
      <c r="H333" t="s">
        <v>1523</v>
      </c>
      <c r="I333" t="s">
        <v>1855</v>
      </c>
      <c r="J333">
        <v>1479.73</v>
      </c>
      <c r="K333">
        <v>3</v>
      </c>
      <c r="L333">
        <v>0.1</v>
      </c>
      <c r="M333">
        <v>389.3</v>
      </c>
    </row>
    <row r="334" spans="1:13" x14ac:dyDescent="0.3">
      <c r="A334" t="s">
        <v>345</v>
      </c>
      <c r="B334" s="2">
        <v>46129</v>
      </c>
      <c r="C334" s="2">
        <v>46137</v>
      </c>
      <c r="D334" t="s">
        <v>1105</v>
      </c>
      <c r="E334" t="s">
        <v>1514</v>
      </c>
      <c r="F334" t="s">
        <v>1518</v>
      </c>
      <c r="G334" t="s">
        <v>1521</v>
      </c>
      <c r="H334" t="s">
        <v>1530</v>
      </c>
      <c r="I334" t="s">
        <v>1856</v>
      </c>
      <c r="J334">
        <v>725.85</v>
      </c>
      <c r="K334">
        <v>7</v>
      </c>
      <c r="L334">
        <v>0.2</v>
      </c>
      <c r="M334">
        <v>56.61</v>
      </c>
    </row>
    <row r="335" spans="1:13" x14ac:dyDescent="0.3">
      <c r="A335" t="s">
        <v>346</v>
      </c>
      <c r="B335" s="2">
        <v>46020</v>
      </c>
      <c r="C335" s="2">
        <v>46027</v>
      </c>
      <c r="D335" t="s">
        <v>1106</v>
      </c>
      <c r="E335" t="s">
        <v>1515</v>
      </c>
      <c r="F335" t="s">
        <v>1516</v>
      </c>
      <c r="G335" t="s">
        <v>1520</v>
      </c>
      <c r="H335" t="s">
        <v>1524</v>
      </c>
      <c r="I335" t="s">
        <v>1857</v>
      </c>
      <c r="J335">
        <v>3565.2</v>
      </c>
      <c r="K335">
        <v>8</v>
      </c>
      <c r="L335">
        <v>0.15</v>
      </c>
      <c r="M335">
        <v>-385.08</v>
      </c>
    </row>
    <row r="336" spans="1:13" x14ac:dyDescent="0.3">
      <c r="A336" t="s">
        <v>347</v>
      </c>
      <c r="B336" s="2">
        <v>45868</v>
      </c>
      <c r="C336" s="2">
        <v>45869</v>
      </c>
      <c r="D336" t="s">
        <v>1107</v>
      </c>
      <c r="E336" t="s">
        <v>1514</v>
      </c>
      <c r="F336" t="s">
        <v>1518</v>
      </c>
      <c r="G336" t="s">
        <v>1522</v>
      </c>
      <c r="H336" t="s">
        <v>1529</v>
      </c>
      <c r="I336" t="s">
        <v>1858</v>
      </c>
      <c r="J336">
        <v>1410.52</v>
      </c>
      <c r="K336">
        <v>9</v>
      </c>
      <c r="L336">
        <v>0.1</v>
      </c>
      <c r="M336">
        <v>-151.61000000000001</v>
      </c>
    </row>
    <row r="337" spans="1:13" x14ac:dyDescent="0.3">
      <c r="A337" t="s">
        <v>348</v>
      </c>
      <c r="B337" s="2">
        <v>45386</v>
      </c>
      <c r="C337" s="2">
        <v>45388</v>
      </c>
      <c r="D337" t="s">
        <v>1108</v>
      </c>
      <c r="E337" t="s">
        <v>1514</v>
      </c>
      <c r="F337" t="s">
        <v>1516</v>
      </c>
      <c r="G337" t="s">
        <v>1520</v>
      </c>
      <c r="H337" t="s">
        <v>1525</v>
      </c>
      <c r="I337" t="s">
        <v>1859</v>
      </c>
      <c r="J337">
        <v>2884.93</v>
      </c>
      <c r="K337">
        <v>5</v>
      </c>
      <c r="L337">
        <v>0.2</v>
      </c>
      <c r="M337">
        <v>729.33</v>
      </c>
    </row>
    <row r="338" spans="1:13" x14ac:dyDescent="0.3">
      <c r="A338" t="s">
        <v>349</v>
      </c>
      <c r="B338" s="2">
        <v>45335</v>
      </c>
      <c r="C338" s="2">
        <v>45344</v>
      </c>
      <c r="E338" t="s">
        <v>1515</v>
      </c>
      <c r="F338" t="s">
        <v>1517</v>
      </c>
      <c r="G338" t="s">
        <v>1520</v>
      </c>
      <c r="H338" t="s">
        <v>1524</v>
      </c>
      <c r="I338" t="s">
        <v>1860</v>
      </c>
      <c r="J338">
        <v>1131.78</v>
      </c>
      <c r="K338">
        <v>7</v>
      </c>
      <c r="L338">
        <v>0</v>
      </c>
      <c r="M338">
        <v>231.78</v>
      </c>
    </row>
    <row r="339" spans="1:13" x14ac:dyDescent="0.3">
      <c r="A339" t="s">
        <v>350</v>
      </c>
      <c r="B339" s="2">
        <v>45597</v>
      </c>
      <c r="C339" s="2">
        <v>45605</v>
      </c>
      <c r="D339" t="s">
        <v>1109</v>
      </c>
      <c r="E339" t="s">
        <v>1513</v>
      </c>
      <c r="F339" t="s">
        <v>1517</v>
      </c>
      <c r="G339" t="s">
        <v>1521</v>
      </c>
      <c r="H339" t="s">
        <v>1530</v>
      </c>
      <c r="I339" t="s">
        <v>1861</v>
      </c>
      <c r="J339">
        <v>1350.94</v>
      </c>
      <c r="K339">
        <v>2</v>
      </c>
      <c r="L339">
        <v>0.15</v>
      </c>
      <c r="M339">
        <v>372.74</v>
      </c>
    </row>
    <row r="340" spans="1:13" x14ac:dyDescent="0.3">
      <c r="A340" t="s">
        <v>351</v>
      </c>
      <c r="B340" s="2">
        <v>45741</v>
      </c>
      <c r="C340" s="2">
        <v>45751</v>
      </c>
      <c r="D340" t="s">
        <v>1110</v>
      </c>
      <c r="E340" t="s">
        <v>1515</v>
      </c>
      <c r="F340" t="s">
        <v>1517</v>
      </c>
      <c r="G340" t="s">
        <v>1522</v>
      </c>
      <c r="H340" t="s">
        <v>1527</v>
      </c>
      <c r="I340" t="s">
        <v>1862</v>
      </c>
      <c r="J340">
        <v>3461.21</v>
      </c>
      <c r="K340">
        <v>10</v>
      </c>
      <c r="M340">
        <v>122.84</v>
      </c>
    </row>
    <row r="341" spans="1:13" x14ac:dyDescent="0.3">
      <c r="A341" t="s">
        <v>352</v>
      </c>
      <c r="B341" s="2">
        <v>46145</v>
      </c>
      <c r="C341" s="2">
        <v>46146</v>
      </c>
      <c r="D341" t="s">
        <v>1111</v>
      </c>
      <c r="E341" t="s">
        <v>1513</v>
      </c>
      <c r="F341" t="s">
        <v>1519</v>
      </c>
      <c r="G341" t="s">
        <v>1522</v>
      </c>
      <c r="H341" t="s">
        <v>1531</v>
      </c>
      <c r="I341" t="s">
        <v>1863</v>
      </c>
      <c r="J341">
        <v>2871.87</v>
      </c>
      <c r="K341">
        <v>9</v>
      </c>
      <c r="L341">
        <v>0.1</v>
      </c>
      <c r="M341">
        <v>368.38</v>
      </c>
    </row>
    <row r="342" spans="1:13" x14ac:dyDescent="0.3">
      <c r="A342" t="s">
        <v>353</v>
      </c>
      <c r="B342" s="2">
        <v>45663</v>
      </c>
      <c r="C342" s="2">
        <v>45668</v>
      </c>
      <c r="D342" t="s">
        <v>1112</v>
      </c>
      <c r="E342" t="s">
        <v>1513</v>
      </c>
      <c r="F342" t="s">
        <v>1518</v>
      </c>
      <c r="G342" t="s">
        <v>1520</v>
      </c>
      <c r="H342" t="s">
        <v>1524</v>
      </c>
      <c r="I342" t="s">
        <v>1864</v>
      </c>
      <c r="J342">
        <v>2885.04</v>
      </c>
      <c r="K342">
        <v>9</v>
      </c>
      <c r="M342">
        <v>716.5</v>
      </c>
    </row>
    <row r="343" spans="1:13" x14ac:dyDescent="0.3">
      <c r="A343" t="s">
        <v>354</v>
      </c>
      <c r="B343" s="2">
        <v>45381</v>
      </c>
      <c r="C343" s="2">
        <v>45384</v>
      </c>
      <c r="D343" t="s">
        <v>1113</v>
      </c>
      <c r="E343" t="s">
        <v>1514</v>
      </c>
      <c r="F343" t="s">
        <v>1517</v>
      </c>
      <c r="G343" t="s">
        <v>1522</v>
      </c>
      <c r="H343" t="s">
        <v>1529</v>
      </c>
      <c r="I343" t="s">
        <v>1865</v>
      </c>
      <c r="J343">
        <v>3522.06</v>
      </c>
      <c r="K343">
        <v>3</v>
      </c>
      <c r="L343">
        <v>0.05</v>
      </c>
      <c r="M343">
        <v>-421.12</v>
      </c>
    </row>
    <row r="344" spans="1:13" x14ac:dyDescent="0.3">
      <c r="A344" t="s">
        <v>355</v>
      </c>
      <c r="B344" s="2">
        <v>45513</v>
      </c>
      <c r="C344" s="2">
        <v>45521</v>
      </c>
      <c r="D344" t="s">
        <v>1114</v>
      </c>
      <c r="E344" t="s">
        <v>1514</v>
      </c>
      <c r="F344" t="s">
        <v>1516</v>
      </c>
      <c r="G344" t="s">
        <v>1520</v>
      </c>
      <c r="H344" t="s">
        <v>1524</v>
      </c>
      <c r="I344" t="s">
        <v>1866</v>
      </c>
      <c r="J344">
        <v>753.75</v>
      </c>
      <c r="K344">
        <v>5</v>
      </c>
      <c r="M344">
        <v>20.97</v>
      </c>
    </row>
    <row r="345" spans="1:13" x14ac:dyDescent="0.3">
      <c r="A345" t="s">
        <v>356</v>
      </c>
      <c r="B345" s="2">
        <v>45100</v>
      </c>
      <c r="C345" s="2">
        <v>45107</v>
      </c>
      <c r="D345" t="s">
        <v>1115</v>
      </c>
      <c r="E345" t="s">
        <v>1514</v>
      </c>
      <c r="F345" t="s">
        <v>1518</v>
      </c>
      <c r="G345" t="s">
        <v>1520</v>
      </c>
      <c r="H345" t="s">
        <v>1523</v>
      </c>
      <c r="I345" t="s">
        <v>1867</v>
      </c>
      <c r="J345">
        <v>2602.29</v>
      </c>
      <c r="K345">
        <v>5</v>
      </c>
      <c r="M345">
        <v>819.68</v>
      </c>
    </row>
    <row r="346" spans="1:13" x14ac:dyDescent="0.3">
      <c r="A346" t="s">
        <v>357</v>
      </c>
      <c r="B346" s="2">
        <v>45785</v>
      </c>
      <c r="C346" s="2">
        <v>45795</v>
      </c>
      <c r="D346" t="s">
        <v>1116</v>
      </c>
      <c r="E346" t="s">
        <v>1515</v>
      </c>
      <c r="F346" t="s">
        <v>1519</v>
      </c>
      <c r="G346" t="s">
        <v>1521</v>
      </c>
      <c r="H346" t="s">
        <v>1526</v>
      </c>
      <c r="I346" t="s">
        <v>1868</v>
      </c>
      <c r="J346">
        <v>62.24</v>
      </c>
      <c r="K346">
        <v>2</v>
      </c>
      <c r="M346">
        <v>20.83</v>
      </c>
    </row>
    <row r="347" spans="1:13" x14ac:dyDescent="0.3">
      <c r="A347" t="s">
        <v>358</v>
      </c>
      <c r="B347" s="2">
        <v>45107</v>
      </c>
      <c r="C347" s="2">
        <v>45114</v>
      </c>
      <c r="D347" t="s">
        <v>1117</v>
      </c>
      <c r="E347" t="s">
        <v>1514</v>
      </c>
      <c r="F347" t="s">
        <v>1519</v>
      </c>
      <c r="G347" t="s">
        <v>1522</v>
      </c>
      <c r="H347" t="s">
        <v>1527</v>
      </c>
      <c r="I347" t="s">
        <v>1869</v>
      </c>
      <c r="J347">
        <v>1128.26</v>
      </c>
      <c r="K347">
        <v>7</v>
      </c>
      <c r="L347">
        <v>0.05</v>
      </c>
      <c r="M347">
        <v>81.34</v>
      </c>
    </row>
    <row r="348" spans="1:13" x14ac:dyDescent="0.3">
      <c r="A348" t="s">
        <v>359</v>
      </c>
      <c r="B348" s="2">
        <v>45992</v>
      </c>
      <c r="C348" s="2">
        <v>46002</v>
      </c>
      <c r="D348" t="s">
        <v>1118</v>
      </c>
      <c r="E348" t="s">
        <v>1513</v>
      </c>
      <c r="F348" t="s">
        <v>1516</v>
      </c>
      <c r="G348" t="s">
        <v>1521</v>
      </c>
      <c r="H348" t="s">
        <v>1528</v>
      </c>
      <c r="I348" t="s">
        <v>1870</v>
      </c>
      <c r="J348">
        <v>696.44</v>
      </c>
      <c r="K348">
        <v>8</v>
      </c>
      <c r="L348">
        <v>0.1</v>
      </c>
      <c r="M348">
        <v>203.21</v>
      </c>
    </row>
    <row r="349" spans="1:13" x14ac:dyDescent="0.3">
      <c r="A349" t="s">
        <v>360</v>
      </c>
      <c r="B349" s="2">
        <v>46163</v>
      </c>
      <c r="C349" s="2">
        <v>46171</v>
      </c>
      <c r="D349" t="s">
        <v>1119</v>
      </c>
      <c r="E349" t="s">
        <v>1514</v>
      </c>
      <c r="F349" t="s">
        <v>1517</v>
      </c>
      <c r="G349" t="s">
        <v>1522</v>
      </c>
      <c r="H349" t="s">
        <v>1527</v>
      </c>
      <c r="I349" t="s">
        <v>1871</v>
      </c>
      <c r="J349">
        <v>130.59</v>
      </c>
      <c r="K349">
        <v>3</v>
      </c>
      <c r="L349">
        <v>0.15</v>
      </c>
      <c r="M349">
        <v>6.67</v>
      </c>
    </row>
    <row r="350" spans="1:13" x14ac:dyDescent="0.3">
      <c r="A350" t="s">
        <v>361</v>
      </c>
      <c r="B350" s="2">
        <v>45397</v>
      </c>
      <c r="C350" s="2">
        <v>45402</v>
      </c>
      <c r="D350" t="s">
        <v>1120</v>
      </c>
      <c r="E350" t="s">
        <v>1514</v>
      </c>
      <c r="F350" t="s">
        <v>1516</v>
      </c>
      <c r="G350" t="s">
        <v>1520</v>
      </c>
      <c r="H350" t="s">
        <v>1523</v>
      </c>
      <c r="I350" t="s">
        <v>1872</v>
      </c>
      <c r="J350">
        <v>836.94</v>
      </c>
      <c r="K350">
        <v>5</v>
      </c>
      <c r="L350">
        <v>0</v>
      </c>
      <c r="M350">
        <v>133.93</v>
      </c>
    </row>
    <row r="351" spans="1:13" x14ac:dyDescent="0.3">
      <c r="A351" t="s">
        <v>362</v>
      </c>
      <c r="B351" s="2">
        <v>45820</v>
      </c>
      <c r="C351" s="2">
        <v>45823</v>
      </c>
      <c r="D351" t="s">
        <v>1121</v>
      </c>
      <c r="E351" t="s">
        <v>1513</v>
      </c>
      <c r="F351" t="s">
        <v>1518</v>
      </c>
      <c r="G351" t="s">
        <v>1521</v>
      </c>
      <c r="H351" t="s">
        <v>1528</v>
      </c>
      <c r="I351" t="s">
        <v>1873</v>
      </c>
      <c r="J351">
        <v>306.35000000000002</v>
      </c>
      <c r="K351">
        <v>5</v>
      </c>
      <c r="M351">
        <v>56.58</v>
      </c>
    </row>
    <row r="352" spans="1:13" x14ac:dyDescent="0.3">
      <c r="A352" t="s">
        <v>363</v>
      </c>
      <c r="B352" s="2">
        <v>45516</v>
      </c>
      <c r="C352" s="2">
        <v>45518</v>
      </c>
      <c r="D352" t="s">
        <v>1122</v>
      </c>
      <c r="E352" t="s">
        <v>1513</v>
      </c>
      <c r="F352" t="s">
        <v>1518</v>
      </c>
      <c r="G352" t="s">
        <v>1520</v>
      </c>
      <c r="H352" t="s">
        <v>1523</v>
      </c>
      <c r="I352" t="s">
        <v>1874</v>
      </c>
      <c r="J352">
        <v>55.38</v>
      </c>
      <c r="K352">
        <v>8</v>
      </c>
      <c r="L352">
        <v>0</v>
      </c>
      <c r="M352">
        <v>-7.03</v>
      </c>
    </row>
    <row r="353" spans="1:13" x14ac:dyDescent="0.3">
      <c r="A353" t="s">
        <v>364</v>
      </c>
      <c r="B353" s="2">
        <v>45529</v>
      </c>
      <c r="C353" s="2">
        <v>45535</v>
      </c>
      <c r="D353" t="s">
        <v>1123</v>
      </c>
      <c r="E353" t="s">
        <v>1513</v>
      </c>
      <c r="F353" t="s">
        <v>1517</v>
      </c>
      <c r="G353" t="s">
        <v>1522</v>
      </c>
      <c r="H353" t="s">
        <v>1531</v>
      </c>
      <c r="I353" t="s">
        <v>1875</v>
      </c>
      <c r="J353">
        <v>4094.69</v>
      </c>
      <c r="K353">
        <v>7</v>
      </c>
      <c r="M353">
        <v>-521.27</v>
      </c>
    </row>
    <row r="354" spans="1:13" x14ac:dyDescent="0.3">
      <c r="A354" t="s">
        <v>365</v>
      </c>
      <c r="B354" s="2">
        <v>45943</v>
      </c>
      <c r="C354" s="2">
        <v>45945</v>
      </c>
      <c r="D354" t="s">
        <v>1124</v>
      </c>
      <c r="E354" t="s">
        <v>1513</v>
      </c>
      <c r="F354" t="s">
        <v>1517</v>
      </c>
      <c r="G354" t="s">
        <v>1521</v>
      </c>
      <c r="H354" t="s">
        <v>1530</v>
      </c>
      <c r="I354" t="s">
        <v>1876</v>
      </c>
      <c r="J354">
        <v>560.85</v>
      </c>
      <c r="K354">
        <v>6</v>
      </c>
      <c r="L354">
        <v>0.1</v>
      </c>
      <c r="M354">
        <v>-69.87</v>
      </c>
    </row>
    <row r="355" spans="1:13" x14ac:dyDescent="0.3">
      <c r="A355" t="s">
        <v>366</v>
      </c>
      <c r="B355" s="2">
        <v>45192</v>
      </c>
      <c r="C355" s="2">
        <v>45202</v>
      </c>
      <c r="D355" t="s">
        <v>1125</v>
      </c>
      <c r="E355" t="s">
        <v>1513</v>
      </c>
      <c r="G355" t="s">
        <v>1522</v>
      </c>
      <c r="H355" t="s">
        <v>1527</v>
      </c>
      <c r="I355" t="s">
        <v>1877</v>
      </c>
      <c r="J355">
        <v>91.95</v>
      </c>
      <c r="K355">
        <v>3</v>
      </c>
      <c r="L355">
        <v>0.15</v>
      </c>
      <c r="M355">
        <v>-0.63</v>
      </c>
    </row>
    <row r="356" spans="1:13" x14ac:dyDescent="0.3">
      <c r="A356" t="s">
        <v>367</v>
      </c>
      <c r="B356" s="2">
        <v>45935</v>
      </c>
      <c r="C356" s="2">
        <v>45943</v>
      </c>
      <c r="D356" t="s">
        <v>1126</v>
      </c>
      <c r="E356" t="s">
        <v>1513</v>
      </c>
      <c r="F356" t="s">
        <v>1518</v>
      </c>
      <c r="G356" t="s">
        <v>1521</v>
      </c>
      <c r="H356" t="s">
        <v>1528</v>
      </c>
      <c r="I356" t="s">
        <v>1878</v>
      </c>
      <c r="J356">
        <v>4306.8100000000004</v>
      </c>
      <c r="K356">
        <v>2</v>
      </c>
      <c r="L356">
        <v>0</v>
      </c>
      <c r="M356">
        <v>-529.71</v>
      </c>
    </row>
    <row r="357" spans="1:13" x14ac:dyDescent="0.3">
      <c r="A357" t="s">
        <v>368</v>
      </c>
      <c r="B357" s="2">
        <v>46097</v>
      </c>
      <c r="C357" s="2">
        <v>46103</v>
      </c>
      <c r="D357" t="s">
        <v>1127</v>
      </c>
      <c r="E357" t="s">
        <v>1513</v>
      </c>
      <c r="F357" t="s">
        <v>1519</v>
      </c>
      <c r="G357" t="s">
        <v>1521</v>
      </c>
      <c r="H357" t="s">
        <v>1526</v>
      </c>
      <c r="I357" t="s">
        <v>1879</v>
      </c>
      <c r="J357">
        <v>3965.83</v>
      </c>
      <c r="K357">
        <v>4</v>
      </c>
      <c r="L357">
        <v>0.1</v>
      </c>
      <c r="M357">
        <v>612.88</v>
      </c>
    </row>
    <row r="358" spans="1:13" x14ac:dyDescent="0.3">
      <c r="A358" t="s">
        <v>369</v>
      </c>
      <c r="B358" s="2">
        <v>45773</v>
      </c>
      <c r="C358" s="2">
        <v>45778</v>
      </c>
      <c r="D358" t="s">
        <v>1128</v>
      </c>
      <c r="E358" t="s">
        <v>1514</v>
      </c>
      <c r="F358" t="s">
        <v>1519</v>
      </c>
      <c r="G358" t="s">
        <v>1520</v>
      </c>
      <c r="H358" t="s">
        <v>1523</v>
      </c>
      <c r="I358" t="s">
        <v>1880</v>
      </c>
      <c r="J358">
        <v>1066.96</v>
      </c>
      <c r="K358">
        <v>10</v>
      </c>
      <c r="L358">
        <v>0.2</v>
      </c>
      <c r="M358">
        <v>-102.69</v>
      </c>
    </row>
    <row r="359" spans="1:13" x14ac:dyDescent="0.3">
      <c r="A359" t="s">
        <v>370</v>
      </c>
      <c r="B359" s="2">
        <v>45168</v>
      </c>
      <c r="C359" s="2">
        <v>45172</v>
      </c>
      <c r="E359" t="s">
        <v>1515</v>
      </c>
      <c r="F359" t="s">
        <v>1516</v>
      </c>
      <c r="G359" t="s">
        <v>1520</v>
      </c>
      <c r="H359" t="s">
        <v>1523</v>
      </c>
      <c r="I359" t="s">
        <v>1881</v>
      </c>
      <c r="J359">
        <v>2499.69</v>
      </c>
      <c r="K359">
        <v>2</v>
      </c>
      <c r="L359">
        <v>0.05</v>
      </c>
      <c r="M359">
        <v>186.9</v>
      </c>
    </row>
    <row r="360" spans="1:13" x14ac:dyDescent="0.3">
      <c r="A360" t="s">
        <v>371</v>
      </c>
      <c r="B360" s="2">
        <v>45191</v>
      </c>
      <c r="C360" s="2">
        <v>45197</v>
      </c>
      <c r="D360" t="s">
        <v>1129</v>
      </c>
      <c r="E360" t="s">
        <v>1515</v>
      </c>
      <c r="F360" t="s">
        <v>1518</v>
      </c>
      <c r="G360" t="s">
        <v>1520</v>
      </c>
      <c r="H360" t="s">
        <v>1523</v>
      </c>
      <c r="I360" t="s">
        <v>1882</v>
      </c>
      <c r="J360">
        <v>4672.93</v>
      </c>
      <c r="K360">
        <v>3</v>
      </c>
      <c r="L360">
        <v>0.15</v>
      </c>
      <c r="M360">
        <v>1277.8</v>
      </c>
    </row>
    <row r="361" spans="1:13" x14ac:dyDescent="0.3">
      <c r="A361" t="s">
        <v>372</v>
      </c>
      <c r="B361" s="2">
        <v>45366</v>
      </c>
      <c r="C361" s="2">
        <v>45369</v>
      </c>
      <c r="D361" t="s">
        <v>1130</v>
      </c>
      <c r="E361" t="s">
        <v>1513</v>
      </c>
      <c r="F361" t="s">
        <v>1519</v>
      </c>
      <c r="G361" t="s">
        <v>1521</v>
      </c>
      <c r="H361" t="s">
        <v>1528</v>
      </c>
      <c r="I361" t="s">
        <v>1846</v>
      </c>
      <c r="J361">
        <v>3825.49</v>
      </c>
      <c r="K361">
        <v>2</v>
      </c>
      <c r="L361">
        <v>0</v>
      </c>
      <c r="M361">
        <v>470.73</v>
      </c>
    </row>
    <row r="362" spans="1:13" x14ac:dyDescent="0.3">
      <c r="A362" t="s">
        <v>373</v>
      </c>
      <c r="B362" s="2">
        <v>45724</v>
      </c>
      <c r="C362" s="2">
        <v>45725</v>
      </c>
      <c r="D362" t="s">
        <v>1131</v>
      </c>
      <c r="E362" t="s">
        <v>1515</v>
      </c>
      <c r="G362" t="s">
        <v>1522</v>
      </c>
      <c r="H362" t="s">
        <v>1531</v>
      </c>
      <c r="I362" t="s">
        <v>1883</v>
      </c>
      <c r="J362">
        <v>4745.97</v>
      </c>
      <c r="K362">
        <v>7</v>
      </c>
      <c r="L362">
        <v>0.2</v>
      </c>
      <c r="M362">
        <v>-201.38</v>
      </c>
    </row>
    <row r="363" spans="1:13" x14ac:dyDescent="0.3">
      <c r="A363" t="s">
        <v>374</v>
      </c>
      <c r="B363" s="2">
        <v>46009</v>
      </c>
      <c r="C363" s="2">
        <v>46016</v>
      </c>
      <c r="D363" t="s">
        <v>1132</v>
      </c>
      <c r="E363" t="s">
        <v>1514</v>
      </c>
      <c r="F363" t="s">
        <v>1516</v>
      </c>
      <c r="G363" t="s">
        <v>1521</v>
      </c>
      <c r="H363" t="s">
        <v>1528</v>
      </c>
      <c r="I363" t="s">
        <v>1884</v>
      </c>
      <c r="J363">
        <v>458.02</v>
      </c>
      <c r="K363">
        <v>9</v>
      </c>
      <c r="L363">
        <v>0.2</v>
      </c>
      <c r="M363">
        <v>63.59</v>
      </c>
    </row>
    <row r="364" spans="1:13" x14ac:dyDescent="0.3">
      <c r="A364" t="s">
        <v>375</v>
      </c>
      <c r="B364" t="s">
        <v>771</v>
      </c>
      <c r="C364" s="2">
        <v>46000</v>
      </c>
      <c r="D364" t="s">
        <v>1133</v>
      </c>
      <c r="E364" t="s">
        <v>1515</v>
      </c>
      <c r="F364" t="s">
        <v>1516</v>
      </c>
      <c r="G364" t="s">
        <v>1521</v>
      </c>
      <c r="H364" t="s">
        <v>1530</v>
      </c>
      <c r="I364" t="s">
        <v>1885</v>
      </c>
      <c r="J364">
        <v>4608.58</v>
      </c>
      <c r="K364">
        <v>3</v>
      </c>
      <c r="L364">
        <v>0.2</v>
      </c>
      <c r="M364">
        <v>-93.5</v>
      </c>
    </row>
    <row r="365" spans="1:13" x14ac:dyDescent="0.3">
      <c r="A365" t="s">
        <v>376</v>
      </c>
      <c r="B365" s="2">
        <v>45869</v>
      </c>
      <c r="C365" s="2">
        <v>45876</v>
      </c>
      <c r="D365" t="s">
        <v>1134</v>
      </c>
      <c r="E365" t="s">
        <v>1514</v>
      </c>
      <c r="F365" t="s">
        <v>1516</v>
      </c>
      <c r="G365" t="s">
        <v>1521</v>
      </c>
      <c r="H365" t="s">
        <v>1528</v>
      </c>
      <c r="I365" t="s">
        <v>1886</v>
      </c>
      <c r="J365">
        <v>3663.29</v>
      </c>
      <c r="K365">
        <v>4</v>
      </c>
      <c r="L365">
        <v>0</v>
      </c>
      <c r="M365">
        <v>-240.08</v>
      </c>
    </row>
    <row r="366" spans="1:13" x14ac:dyDescent="0.3">
      <c r="A366" t="s">
        <v>377</v>
      </c>
      <c r="B366" s="2">
        <v>45321</v>
      </c>
      <c r="C366" s="2">
        <v>45331</v>
      </c>
      <c r="D366" t="s">
        <v>1135</v>
      </c>
      <c r="E366" t="s">
        <v>1513</v>
      </c>
      <c r="F366" t="s">
        <v>1516</v>
      </c>
      <c r="G366" t="s">
        <v>1521</v>
      </c>
      <c r="H366" t="s">
        <v>1528</v>
      </c>
      <c r="I366" t="s">
        <v>1887</v>
      </c>
      <c r="J366">
        <v>322.39</v>
      </c>
      <c r="K366">
        <v>3</v>
      </c>
      <c r="L366">
        <v>0</v>
      </c>
      <c r="M366">
        <v>-62.23</v>
      </c>
    </row>
    <row r="367" spans="1:13" x14ac:dyDescent="0.3">
      <c r="A367" t="s">
        <v>378</v>
      </c>
      <c r="B367" s="2">
        <v>45769</v>
      </c>
      <c r="C367" s="2">
        <v>45775</v>
      </c>
      <c r="D367" t="s">
        <v>1136</v>
      </c>
      <c r="E367" t="s">
        <v>1515</v>
      </c>
      <c r="F367" t="s">
        <v>1519</v>
      </c>
      <c r="G367" t="s">
        <v>1522</v>
      </c>
      <c r="H367" t="s">
        <v>1529</v>
      </c>
      <c r="I367" t="s">
        <v>1888</v>
      </c>
      <c r="J367">
        <v>2638.88</v>
      </c>
      <c r="K367">
        <v>5</v>
      </c>
      <c r="L367">
        <v>0.05</v>
      </c>
      <c r="M367">
        <v>11.95</v>
      </c>
    </row>
    <row r="368" spans="1:13" x14ac:dyDescent="0.3">
      <c r="A368" t="s">
        <v>379</v>
      </c>
      <c r="B368" s="2">
        <v>45722</v>
      </c>
      <c r="C368" s="2">
        <v>45723</v>
      </c>
      <c r="D368" t="s">
        <v>1137</v>
      </c>
      <c r="E368" t="s">
        <v>1514</v>
      </c>
      <c r="F368" t="s">
        <v>1516</v>
      </c>
      <c r="G368" t="s">
        <v>1520</v>
      </c>
      <c r="H368" t="s">
        <v>1523</v>
      </c>
      <c r="I368" t="s">
        <v>1889</v>
      </c>
      <c r="J368">
        <v>1708.3</v>
      </c>
      <c r="K368">
        <v>7</v>
      </c>
      <c r="L368">
        <v>0.1</v>
      </c>
      <c r="M368">
        <v>150.54</v>
      </c>
    </row>
    <row r="369" spans="1:13" x14ac:dyDescent="0.3">
      <c r="A369" t="s">
        <v>380</v>
      </c>
      <c r="B369" s="2">
        <v>45586</v>
      </c>
      <c r="C369" s="2">
        <v>45595</v>
      </c>
      <c r="D369" t="s">
        <v>1138</v>
      </c>
      <c r="E369" t="s">
        <v>1513</v>
      </c>
      <c r="F369" t="s">
        <v>1519</v>
      </c>
      <c r="G369" t="s">
        <v>1521</v>
      </c>
      <c r="H369" t="s">
        <v>1526</v>
      </c>
      <c r="I369" t="s">
        <v>1890</v>
      </c>
      <c r="J369">
        <v>1832.61</v>
      </c>
      <c r="K369">
        <v>8</v>
      </c>
      <c r="L369">
        <v>0.2</v>
      </c>
      <c r="M369">
        <v>-198.32</v>
      </c>
    </row>
    <row r="370" spans="1:13" x14ac:dyDescent="0.3">
      <c r="A370" t="s">
        <v>381</v>
      </c>
      <c r="B370" s="2">
        <v>45183</v>
      </c>
      <c r="C370" s="2">
        <v>45185</v>
      </c>
      <c r="D370" t="s">
        <v>1139</v>
      </c>
      <c r="E370" t="s">
        <v>1513</v>
      </c>
      <c r="F370" t="s">
        <v>1517</v>
      </c>
      <c r="G370" t="s">
        <v>1522</v>
      </c>
      <c r="H370" t="s">
        <v>1527</v>
      </c>
      <c r="I370" t="s">
        <v>1891</v>
      </c>
      <c r="J370">
        <v>1180.5999999999999</v>
      </c>
      <c r="K370">
        <v>9</v>
      </c>
      <c r="L370">
        <v>0</v>
      </c>
      <c r="M370">
        <v>-207.52</v>
      </c>
    </row>
    <row r="371" spans="1:13" x14ac:dyDescent="0.3">
      <c r="A371" t="s">
        <v>382</v>
      </c>
      <c r="B371" s="2">
        <v>45599</v>
      </c>
      <c r="C371" s="2">
        <v>45605</v>
      </c>
      <c r="D371" t="s">
        <v>1140</v>
      </c>
      <c r="E371" t="s">
        <v>1513</v>
      </c>
      <c r="F371" t="s">
        <v>1518</v>
      </c>
      <c r="G371" t="s">
        <v>1522</v>
      </c>
      <c r="H371" t="s">
        <v>1529</v>
      </c>
      <c r="I371" t="s">
        <v>1892</v>
      </c>
      <c r="J371">
        <v>1945.75</v>
      </c>
      <c r="K371">
        <v>3</v>
      </c>
      <c r="L371">
        <v>0.05</v>
      </c>
      <c r="M371">
        <v>607.34</v>
      </c>
    </row>
    <row r="372" spans="1:13" x14ac:dyDescent="0.3">
      <c r="A372" t="s">
        <v>383</v>
      </c>
      <c r="B372" s="2">
        <v>45652</v>
      </c>
      <c r="C372" s="2">
        <v>45656</v>
      </c>
      <c r="D372" t="s">
        <v>1141</v>
      </c>
      <c r="E372" t="s">
        <v>1515</v>
      </c>
      <c r="F372" t="s">
        <v>1519</v>
      </c>
      <c r="G372" t="s">
        <v>1522</v>
      </c>
      <c r="H372" t="s">
        <v>1529</v>
      </c>
      <c r="I372" t="s">
        <v>1893</v>
      </c>
      <c r="J372">
        <v>2110.4699999999998</v>
      </c>
      <c r="K372">
        <v>6</v>
      </c>
      <c r="L372">
        <v>0.1</v>
      </c>
      <c r="M372">
        <v>536.69000000000005</v>
      </c>
    </row>
    <row r="373" spans="1:13" x14ac:dyDescent="0.3">
      <c r="A373" t="s">
        <v>384</v>
      </c>
      <c r="B373" s="2">
        <v>45841</v>
      </c>
      <c r="C373" s="2">
        <v>45842</v>
      </c>
      <c r="D373" t="s">
        <v>1142</v>
      </c>
      <c r="E373" t="s">
        <v>1513</v>
      </c>
      <c r="F373" t="s">
        <v>1518</v>
      </c>
      <c r="G373" t="s">
        <v>1522</v>
      </c>
      <c r="H373" t="s">
        <v>1527</v>
      </c>
      <c r="I373" t="s">
        <v>1894</v>
      </c>
      <c r="J373">
        <v>937.75</v>
      </c>
      <c r="K373">
        <v>9</v>
      </c>
      <c r="L373">
        <v>0</v>
      </c>
      <c r="M373">
        <v>304.52999999999997</v>
      </c>
    </row>
    <row r="374" spans="1:13" x14ac:dyDescent="0.3">
      <c r="A374" t="s">
        <v>385</v>
      </c>
      <c r="B374" s="2">
        <v>45549</v>
      </c>
      <c r="C374" s="2">
        <v>45555</v>
      </c>
      <c r="D374" t="s">
        <v>1143</v>
      </c>
      <c r="E374" t="s">
        <v>1514</v>
      </c>
      <c r="F374" t="s">
        <v>1519</v>
      </c>
      <c r="G374" t="s">
        <v>1521</v>
      </c>
      <c r="H374" t="s">
        <v>1526</v>
      </c>
      <c r="I374" t="s">
        <v>1895</v>
      </c>
      <c r="J374">
        <v>477.61</v>
      </c>
      <c r="K374">
        <v>8</v>
      </c>
      <c r="L374">
        <v>0</v>
      </c>
      <c r="M374">
        <v>1.39</v>
      </c>
    </row>
    <row r="375" spans="1:13" x14ac:dyDescent="0.3">
      <c r="A375" t="s">
        <v>386</v>
      </c>
      <c r="B375" s="2">
        <v>45263</v>
      </c>
      <c r="C375" s="2">
        <v>45267</v>
      </c>
      <c r="D375" t="s">
        <v>1144</v>
      </c>
      <c r="E375" t="s">
        <v>1513</v>
      </c>
      <c r="F375" t="s">
        <v>1517</v>
      </c>
      <c r="G375" t="s">
        <v>1520</v>
      </c>
      <c r="H375" t="s">
        <v>1525</v>
      </c>
      <c r="I375" t="s">
        <v>1896</v>
      </c>
      <c r="J375">
        <v>2346.44</v>
      </c>
      <c r="K375">
        <v>10</v>
      </c>
      <c r="L375">
        <v>0.15</v>
      </c>
      <c r="M375">
        <v>818.4</v>
      </c>
    </row>
    <row r="376" spans="1:13" x14ac:dyDescent="0.3">
      <c r="A376" t="s">
        <v>387</v>
      </c>
      <c r="B376" s="2">
        <v>45924</v>
      </c>
      <c r="C376" s="2">
        <v>45931</v>
      </c>
      <c r="D376" t="s">
        <v>1145</v>
      </c>
      <c r="E376" t="s">
        <v>1515</v>
      </c>
      <c r="F376" t="s">
        <v>1516</v>
      </c>
      <c r="G376" t="s">
        <v>1522</v>
      </c>
      <c r="H376" t="s">
        <v>1531</v>
      </c>
      <c r="I376" t="s">
        <v>1897</v>
      </c>
      <c r="J376">
        <v>168.36</v>
      </c>
      <c r="K376">
        <v>9</v>
      </c>
      <c r="L376">
        <v>0.1</v>
      </c>
      <c r="M376">
        <v>25.21</v>
      </c>
    </row>
    <row r="377" spans="1:13" x14ac:dyDescent="0.3">
      <c r="A377" t="s">
        <v>388</v>
      </c>
      <c r="B377" s="2">
        <v>45745</v>
      </c>
      <c r="C377" s="2">
        <v>45752</v>
      </c>
      <c r="D377" t="s">
        <v>1146</v>
      </c>
      <c r="E377" t="s">
        <v>1513</v>
      </c>
      <c r="F377" t="s">
        <v>1518</v>
      </c>
      <c r="G377" t="s">
        <v>1521</v>
      </c>
      <c r="H377" t="s">
        <v>1530</v>
      </c>
      <c r="I377" t="s">
        <v>1898</v>
      </c>
      <c r="J377">
        <v>4252.58</v>
      </c>
      <c r="K377">
        <v>5</v>
      </c>
      <c r="L377">
        <v>0</v>
      </c>
      <c r="M377">
        <v>-370.58</v>
      </c>
    </row>
    <row r="378" spans="1:13" x14ac:dyDescent="0.3">
      <c r="A378" t="s">
        <v>389</v>
      </c>
      <c r="B378" s="2">
        <v>45858</v>
      </c>
      <c r="C378" s="2">
        <v>45861</v>
      </c>
      <c r="D378" t="s">
        <v>1147</v>
      </c>
      <c r="E378" t="s">
        <v>1515</v>
      </c>
      <c r="F378" t="s">
        <v>1518</v>
      </c>
      <c r="G378" t="s">
        <v>1521</v>
      </c>
      <c r="H378" t="s">
        <v>1530</v>
      </c>
      <c r="I378" t="s">
        <v>1899</v>
      </c>
      <c r="J378">
        <v>3572.68</v>
      </c>
      <c r="K378">
        <v>2</v>
      </c>
      <c r="L378">
        <v>0</v>
      </c>
      <c r="M378">
        <v>1095.74</v>
      </c>
    </row>
    <row r="379" spans="1:13" x14ac:dyDescent="0.3">
      <c r="A379" t="s">
        <v>390</v>
      </c>
      <c r="B379" s="2">
        <v>45459</v>
      </c>
      <c r="C379" s="2">
        <v>45467</v>
      </c>
      <c r="D379" t="s">
        <v>1148</v>
      </c>
      <c r="E379" t="s">
        <v>1513</v>
      </c>
      <c r="F379" t="s">
        <v>1518</v>
      </c>
      <c r="G379" t="s">
        <v>1520</v>
      </c>
      <c r="H379" t="s">
        <v>1524</v>
      </c>
      <c r="I379" t="s">
        <v>1900</v>
      </c>
      <c r="J379">
        <v>4874.05</v>
      </c>
      <c r="K379">
        <v>2</v>
      </c>
      <c r="L379">
        <v>0.2</v>
      </c>
      <c r="M379">
        <v>-718.59</v>
      </c>
    </row>
    <row r="380" spans="1:13" x14ac:dyDescent="0.3">
      <c r="A380" t="s">
        <v>391</v>
      </c>
      <c r="B380" s="2">
        <v>45771</v>
      </c>
      <c r="C380" s="2">
        <v>45781</v>
      </c>
      <c r="D380" t="s">
        <v>1149</v>
      </c>
      <c r="E380" t="s">
        <v>1514</v>
      </c>
      <c r="F380" t="s">
        <v>1518</v>
      </c>
      <c r="G380" t="s">
        <v>1522</v>
      </c>
      <c r="H380" t="s">
        <v>1527</v>
      </c>
      <c r="I380" t="s">
        <v>1901</v>
      </c>
      <c r="J380">
        <v>358.3</v>
      </c>
      <c r="K380">
        <v>3</v>
      </c>
      <c r="L380">
        <v>0.05</v>
      </c>
      <c r="M380">
        <v>-14.18</v>
      </c>
    </row>
    <row r="381" spans="1:13" x14ac:dyDescent="0.3">
      <c r="A381" t="s">
        <v>392</v>
      </c>
      <c r="B381" s="2">
        <v>45608</v>
      </c>
      <c r="C381" s="2">
        <v>45614</v>
      </c>
      <c r="D381" t="s">
        <v>1150</v>
      </c>
      <c r="E381" t="s">
        <v>1513</v>
      </c>
      <c r="F381" t="s">
        <v>1517</v>
      </c>
      <c r="G381" t="s">
        <v>1520</v>
      </c>
      <c r="H381" t="s">
        <v>1525</v>
      </c>
      <c r="I381" t="s">
        <v>1902</v>
      </c>
      <c r="J381">
        <v>1624.39</v>
      </c>
      <c r="K381">
        <v>5</v>
      </c>
      <c r="L381">
        <v>0.05</v>
      </c>
      <c r="M381">
        <v>-258.14999999999998</v>
      </c>
    </row>
    <row r="382" spans="1:13" x14ac:dyDescent="0.3">
      <c r="A382" t="s">
        <v>393</v>
      </c>
      <c r="B382" s="2">
        <v>45562</v>
      </c>
      <c r="C382" s="2">
        <v>45565</v>
      </c>
      <c r="D382" t="s">
        <v>1151</v>
      </c>
      <c r="E382" t="s">
        <v>1513</v>
      </c>
      <c r="F382" t="s">
        <v>1519</v>
      </c>
      <c r="G382" t="s">
        <v>1520</v>
      </c>
      <c r="H382" t="s">
        <v>1523</v>
      </c>
      <c r="I382" t="s">
        <v>1903</v>
      </c>
      <c r="J382">
        <v>573.01</v>
      </c>
      <c r="K382">
        <v>8</v>
      </c>
      <c r="L382">
        <v>0.15</v>
      </c>
      <c r="M382">
        <v>-15.63</v>
      </c>
    </row>
    <row r="383" spans="1:13" x14ac:dyDescent="0.3">
      <c r="A383" t="s">
        <v>394</v>
      </c>
      <c r="B383" s="2">
        <v>45756</v>
      </c>
      <c r="C383" s="2">
        <v>45761</v>
      </c>
      <c r="D383" t="s">
        <v>1152</v>
      </c>
      <c r="E383" t="s">
        <v>1515</v>
      </c>
      <c r="F383" t="s">
        <v>1519</v>
      </c>
      <c r="G383" t="s">
        <v>1522</v>
      </c>
      <c r="H383" t="s">
        <v>1529</v>
      </c>
      <c r="I383" t="s">
        <v>1904</v>
      </c>
      <c r="J383">
        <v>2343.5700000000002</v>
      </c>
      <c r="K383">
        <v>2</v>
      </c>
      <c r="L383">
        <v>0</v>
      </c>
      <c r="M383">
        <v>-265.55</v>
      </c>
    </row>
    <row r="384" spans="1:13" x14ac:dyDescent="0.3">
      <c r="A384" t="s">
        <v>395</v>
      </c>
      <c r="B384" s="2">
        <v>45152</v>
      </c>
      <c r="C384" s="2">
        <v>45162</v>
      </c>
      <c r="D384" t="s">
        <v>1153</v>
      </c>
      <c r="E384" t="s">
        <v>1513</v>
      </c>
      <c r="F384" t="s">
        <v>1519</v>
      </c>
      <c r="G384" t="s">
        <v>1520</v>
      </c>
      <c r="H384" t="s">
        <v>1525</v>
      </c>
      <c r="I384" t="s">
        <v>1905</v>
      </c>
      <c r="J384">
        <v>249.63</v>
      </c>
      <c r="K384">
        <v>6</v>
      </c>
      <c r="L384">
        <v>0.05</v>
      </c>
      <c r="M384">
        <v>-37.4</v>
      </c>
    </row>
    <row r="385" spans="1:13" x14ac:dyDescent="0.3">
      <c r="A385" t="s">
        <v>396</v>
      </c>
      <c r="B385" s="2">
        <v>45914</v>
      </c>
      <c r="C385" s="2">
        <v>45915</v>
      </c>
      <c r="D385" t="s">
        <v>1154</v>
      </c>
      <c r="F385" t="s">
        <v>1518</v>
      </c>
      <c r="G385" t="s">
        <v>1521</v>
      </c>
      <c r="H385" t="s">
        <v>1528</v>
      </c>
      <c r="I385" t="s">
        <v>1661</v>
      </c>
      <c r="J385">
        <v>3402.06</v>
      </c>
      <c r="K385">
        <v>5</v>
      </c>
      <c r="L385">
        <v>0.05</v>
      </c>
      <c r="M385">
        <v>-622.25</v>
      </c>
    </row>
    <row r="386" spans="1:13" x14ac:dyDescent="0.3">
      <c r="A386" t="s">
        <v>397</v>
      </c>
      <c r="B386" s="2">
        <v>45551</v>
      </c>
      <c r="C386" s="2">
        <v>45560</v>
      </c>
      <c r="D386" t="s">
        <v>1155</v>
      </c>
      <c r="E386" t="s">
        <v>1513</v>
      </c>
      <c r="F386" t="s">
        <v>1516</v>
      </c>
      <c r="G386" t="s">
        <v>1520</v>
      </c>
      <c r="H386" t="s">
        <v>1525</v>
      </c>
      <c r="I386" t="s">
        <v>1906</v>
      </c>
      <c r="J386">
        <v>1286.77</v>
      </c>
      <c r="K386">
        <v>8</v>
      </c>
      <c r="L386">
        <v>0</v>
      </c>
      <c r="M386">
        <v>311.58</v>
      </c>
    </row>
    <row r="387" spans="1:13" x14ac:dyDescent="0.3">
      <c r="A387" t="s">
        <v>398</v>
      </c>
      <c r="B387" s="2">
        <v>45217</v>
      </c>
      <c r="C387" s="2">
        <v>45221</v>
      </c>
      <c r="D387" t="s">
        <v>1156</v>
      </c>
      <c r="E387" t="s">
        <v>1515</v>
      </c>
      <c r="F387" t="s">
        <v>1516</v>
      </c>
      <c r="G387" t="s">
        <v>1522</v>
      </c>
      <c r="H387" t="s">
        <v>1531</v>
      </c>
      <c r="I387" t="s">
        <v>1907</v>
      </c>
      <c r="J387">
        <v>697.04</v>
      </c>
      <c r="K387">
        <v>7</v>
      </c>
      <c r="L387">
        <v>0.1</v>
      </c>
      <c r="M387">
        <v>123.69</v>
      </c>
    </row>
    <row r="388" spans="1:13" x14ac:dyDescent="0.3">
      <c r="A388" t="s">
        <v>399</v>
      </c>
      <c r="B388" s="2">
        <v>45436</v>
      </c>
      <c r="C388" s="2">
        <v>45441</v>
      </c>
      <c r="D388" t="s">
        <v>1157</v>
      </c>
      <c r="E388" t="s">
        <v>1513</v>
      </c>
      <c r="F388" t="s">
        <v>1518</v>
      </c>
      <c r="G388" t="s">
        <v>1520</v>
      </c>
      <c r="H388" t="s">
        <v>1525</v>
      </c>
      <c r="I388" t="s">
        <v>1908</v>
      </c>
      <c r="J388">
        <v>4591.2700000000004</v>
      </c>
      <c r="K388">
        <v>2</v>
      </c>
      <c r="L388">
        <v>0</v>
      </c>
      <c r="M388">
        <v>1599.78</v>
      </c>
    </row>
    <row r="389" spans="1:13" x14ac:dyDescent="0.3">
      <c r="A389" t="s">
        <v>400</v>
      </c>
      <c r="B389" s="2">
        <v>45521</v>
      </c>
      <c r="C389" s="2">
        <v>45527</v>
      </c>
      <c r="D389" t="s">
        <v>1158</v>
      </c>
      <c r="E389" t="s">
        <v>1515</v>
      </c>
      <c r="F389" t="s">
        <v>1518</v>
      </c>
      <c r="G389" t="s">
        <v>1522</v>
      </c>
      <c r="H389" t="s">
        <v>1531</v>
      </c>
      <c r="I389" t="s">
        <v>1909</v>
      </c>
      <c r="J389">
        <v>656.51</v>
      </c>
      <c r="K389">
        <v>8</v>
      </c>
      <c r="L389">
        <v>0</v>
      </c>
      <c r="M389">
        <v>-70.64</v>
      </c>
    </row>
    <row r="390" spans="1:13" x14ac:dyDescent="0.3">
      <c r="A390" t="s">
        <v>401</v>
      </c>
      <c r="B390" s="2">
        <v>45152</v>
      </c>
      <c r="C390" s="2">
        <v>45160</v>
      </c>
      <c r="D390" t="s">
        <v>1159</v>
      </c>
      <c r="E390" t="s">
        <v>1513</v>
      </c>
      <c r="F390" t="s">
        <v>1519</v>
      </c>
      <c r="G390" t="s">
        <v>1520</v>
      </c>
      <c r="H390" t="s">
        <v>1524</v>
      </c>
      <c r="I390" t="s">
        <v>1910</v>
      </c>
      <c r="J390">
        <v>195.94</v>
      </c>
      <c r="K390">
        <v>7</v>
      </c>
      <c r="L390">
        <v>0.05</v>
      </c>
      <c r="M390">
        <v>-1.04</v>
      </c>
    </row>
    <row r="391" spans="1:13" x14ac:dyDescent="0.3">
      <c r="A391" t="s">
        <v>402</v>
      </c>
      <c r="B391" s="2">
        <v>45513</v>
      </c>
      <c r="C391" s="2">
        <v>45516</v>
      </c>
      <c r="D391" t="s">
        <v>1160</v>
      </c>
      <c r="E391" t="s">
        <v>1514</v>
      </c>
      <c r="F391" t="s">
        <v>1518</v>
      </c>
      <c r="G391" t="s">
        <v>1521</v>
      </c>
      <c r="H391" t="s">
        <v>1526</v>
      </c>
      <c r="I391" t="s">
        <v>1911</v>
      </c>
      <c r="J391">
        <v>221.51</v>
      </c>
      <c r="K391">
        <v>10</v>
      </c>
      <c r="L391">
        <v>0.2</v>
      </c>
      <c r="M391">
        <v>-14.36</v>
      </c>
    </row>
    <row r="392" spans="1:13" x14ac:dyDescent="0.3">
      <c r="A392" t="s">
        <v>403</v>
      </c>
      <c r="B392" s="2">
        <v>45557</v>
      </c>
      <c r="C392" s="2">
        <v>45565</v>
      </c>
      <c r="D392" t="s">
        <v>1161</v>
      </c>
      <c r="E392" t="s">
        <v>1513</v>
      </c>
      <c r="F392" t="s">
        <v>1517</v>
      </c>
      <c r="G392" t="s">
        <v>1521</v>
      </c>
      <c r="H392" t="s">
        <v>1528</v>
      </c>
      <c r="I392" t="s">
        <v>1912</v>
      </c>
      <c r="J392">
        <v>351.85</v>
      </c>
      <c r="K392">
        <v>5</v>
      </c>
      <c r="L392">
        <v>0.15</v>
      </c>
      <c r="M392">
        <v>-43.81</v>
      </c>
    </row>
    <row r="393" spans="1:13" x14ac:dyDescent="0.3">
      <c r="A393" t="s">
        <v>404</v>
      </c>
      <c r="B393" s="2">
        <v>46036</v>
      </c>
      <c r="C393" s="2">
        <v>46037</v>
      </c>
      <c r="D393" t="s">
        <v>1162</v>
      </c>
      <c r="E393" t="s">
        <v>1514</v>
      </c>
      <c r="F393" t="s">
        <v>1519</v>
      </c>
      <c r="G393" t="s">
        <v>1520</v>
      </c>
      <c r="H393" t="s">
        <v>1525</v>
      </c>
      <c r="I393" t="s">
        <v>1913</v>
      </c>
      <c r="J393">
        <v>4947.55</v>
      </c>
      <c r="K393">
        <v>6</v>
      </c>
      <c r="L393">
        <v>0.15</v>
      </c>
      <c r="M393">
        <v>492.21</v>
      </c>
    </row>
    <row r="394" spans="1:13" x14ac:dyDescent="0.3">
      <c r="A394" t="s">
        <v>405</v>
      </c>
      <c r="B394" s="2">
        <v>45948</v>
      </c>
      <c r="C394" s="2">
        <v>45954</v>
      </c>
      <c r="D394" t="s">
        <v>1163</v>
      </c>
      <c r="E394" t="s">
        <v>1513</v>
      </c>
      <c r="F394" t="s">
        <v>1516</v>
      </c>
      <c r="G394" t="s">
        <v>1520</v>
      </c>
      <c r="H394" t="s">
        <v>1525</v>
      </c>
      <c r="I394" t="s">
        <v>1914</v>
      </c>
      <c r="J394">
        <v>1972.49</v>
      </c>
      <c r="K394">
        <v>3</v>
      </c>
      <c r="L394">
        <v>0</v>
      </c>
      <c r="M394">
        <v>-48.56</v>
      </c>
    </row>
    <row r="395" spans="1:13" x14ac:dyDescent="0.3">
      <c r="A395" t="s">
        <v>406</v>
      </c>
      <c r="B395" s="2">
        <v>45400</v>
      </c>
      <c r="C395" s="2">
        <v>45408</v>
      </c>
      <c r="D395" t="s">
        <v>1164</v>
      </c>
      <c r="E395" t="s">
        <v>1513</v>
      </c>
      <c r="F395" t="s">
        <v>1517</v>
      </c>
      <c r="G395" t="s">
        <v>1521</v>
      </c>
      <c r="H395" t="s">
        <v>1530</v>
      </c>
      <c r="I395" t="s">
        <v>1915</v>
      </c>
      <c r="J395">
        <v>2670.69</v>
      </c>
      <c r="K395">
        <v>10</v>
      </c>
      <c r="L395">
        <v>0.05</v>
      </c>
      <c r="M395">
        <v>896.52</v>
      </c>
    </row>
    <row r="396" spans="1:13" x14ac:dyDescent="0.3">
      <c r="A396" t="s">
        <v>407</v>
      </c>
      <c r="B396" s="2">
        <v>45435</v>
      </c>
      <c r="C396" s="2">
        <v>45440</v>
      </c>
      <c r="D396" t="s">
        <v>1165</v>
      </c>
      <c r="E396" t="s">
        <v>1514</v>
      </c>
      <c r="F396" t="s">
        <v>1519</v>
      </c>
      <c r="G396" t="s">
        <v>1520</v>
      </c>
      <c r="H396" t="s">
        <v>1523</v>
      </c>
      <c r="I396" t="s">
        <v>1916</v>
      </c>
      <c r="J396">
        <v>2691.76</v>
      </c>
      <c r="K396">
        <v>1</v>
      </c>
      <c r="L396">
        <v>0.05</v>
      </c>
      <c r="M396">
        <v>313.94</v>
      </c>
    </row>
    <row r="397" spans="1:13" x14ac:dyDescent="0.3">
      <c r="A397" t="s">
        <v>408</v>
      </c>
      <c r="B397" s="2">
        <v>46052</v>
      </c>
      <c r="C397" s="2">
        <v>46056</v>
      </c>
      <c r="D397" t="s">
        <v>1166</v>
      </c>
      <c r="E397" t="s">
        <v>1515</v>
      </c>
      <c r="F397" t="s">
        <v>1519</v>
      </c>
      <c r="G397" t="s">
        <v>1522</v>
      </c>
      <c r="H397" t="s">
        <v>1531</v>
      </c>
      <c r="I397" t="s">
        <v>1917</v>
      </c>
      <c r="J397">
        <v>2982.97</v>
      </c>
      <c r="K397">
        <v>6</v>
      </c>
      <c r="L397">
        <v>0.2</v>
      </c>
      <c r="M397">
        <v>-550.32000000000005</v>
      </c>
    </row>
    <row r="398" spans="1:13" x14ac:dyDescent="0.3">
      <c r="A398" t="s">
        <v>409</v>
      </c>
      <c r="B398" s="2">
        <v>45329</v>
      </c>
      <c r="C398" s="2">
        <v>45332</v>
      </c>
      <c r="D398" t="s">
        <v>1167</v>
      </c>
      <c r="E398" t="s">
        <v>1513</v>
      </c>
      <c r="F398" t="s">
        <v>1518</v>
      </c>
      <c r="G398" t="s">
        <v>1520</v>
      </c>
      <c r="H398" t="s">
        <v>1525</v>
      </c>
      <c r="I398" t="s">
        <v>1918</v>
      </c>
      <c r="J398">
        <v>2837.39</v>
      </c>
      <c r="K398">
        <v>4</v>
      </c>
      <c r="L398">
        <v>0.15</v>
      </c>
      <c r="M398">
        <v>278.54000000000002</v>
      </c>
    </row>
    <row r="399" spans="1:13" x14ac:dyDescent="0.3">
      <c r="A399" t="s">
        <v>410</v>
      </c>
      <c r="B399" s="2">
        <v>45426</v>
      </c>
      <c r="C399" s="2">
        <v>45427</v>
      </c>
      <c r="D399" t="s">
        <v>1168</v>
      </c>
      <c r="E399" t="s">
        <v>1513</v>
      </c>
      <c r="F399" t="s">
        <v>1519</v>
      </c>
      <c r="G399" t="s">
        <v>1522</v>
      </c>
      <c r="H399" t="s">
        <v>1531</v>
      </c>
      <c r="I399" t="s">
        <v>1919</v>
      </c>
      <c r="J399">
        <v>1201.49</v>
      </c>
      <c r="K399">
        <v>4</v>
      </c>
      <c r="L399">
        <v>0</v>
      </c>
      <c r="M399">
        <v>107.59</v>
      </c>
    </row>
    <row r="400" spans="1:13" x14ac:dyDescent="0.3">
      <c r="A400" t="s">
        <v>411</v>
      </c>
      <c r="B400" s="2">
        <v>46125</v>
      </c>
      <c r="C400" s="2">
        <v>46128</v>
      </c>
      <c r="D400" t="s">
        <v>1169</v>
      </c>
      <c r="E400" t="s">
        <v>1513</v>
      </c>
      <c r="F400" t="s">
        <v>1517</v>
      </c>
      <c r="G400" t="s">
        <v>1520</v>
      </c>
      <c r="H400" t="s">
        <v>1523</v>
      </c>
      <c r="I400" t="s">
        <v>1920</v>
      </c>
      <c r="J400">
        <v>1736.76</v>
      </c>
      <c r="K400">
        <v>3</v>
      </c>
      <c r="L400">
        <v>0.1</v>
      </c>
      <c r="M400">
        <v>-290.45999999999998</v>
      </c>
    </row>
    <row r="401" spans="1:13" x14ac:dyDescent="0.3">
      <c r="A401" t="s">
        <v>412</v>
      </c>
      <c r="B401" s="2">
        <v>45266</v>
      </c>
      <c r="C401" s="2">
        <v>45272</v>
      </c>
      <c r="D401" t="s">
        <v>1139</v>
      </c>
      <c r="E401" t="s">
        <v>1514</v>
      </c>
      <c r="F401" t="s">
        <v>1516</v>
      </c>
      <c r="G401" t="s">
        <v>1522</v>
      </c>
      <c r="H401" t="s">
        <v>1527</v>
      </c>
      <c r="I401" t="s">
        <v>1921</v>
      </c>
      <c r="J401">
        <v>4804.7700000000004</v>
      </c>
      <c r="K401">
        <v>6</v>
      </c>
      <c r="M401">
        <v>1528.19</v>
      </c>
    </row>
    <row r="402" spans="1:13" x14ac:dyDescent="0.3">
      <c r="A402" t="s">
        <v>413</v>
      </c>
      <c r="B402" s="2">
        <v>45757</v>
      </c>
      <c r="C402" s="2">
        <v>45763</v>
      </c>
      <c r="D402" t="s">
        <v>1170</v>
      </c>
      <c r="E402" t="s">
        <v>1515</v>
      </c>
      <c r="F402" t="s">
        <v>1518</v>
      </c>
      <c r="G402" t="s">
        <v>1521</v>
      </c>
      <c r="H402" t="s">
        <v>1526</v>
      </c>
      <c r="I402" t="s">
        <v>1922</v>
      </c>
      <c r="J402">
        <v>725.44</v>
      </c>
      <c r="K402">
        <v>3</v>
      </c>
      <c r="M402">
        <v>233.43</v>
      </c>
    </row>
    <row r="403" spans="1:13" x14ac:dyDescent="0.3">
      <c r="A403" t="s">
        <v>414</v>
      </c>
      <c r="B403" s="2">
        <v>45800</v>
      </c>
      <c r="C403" s="2">
        <v>45803</v>
      </c>
      <c r="D403" t="s">
        <v>1171</v>
      </c>
      <c r="E403" t="s">
        <v>1515</v>
      </c>
      <c r="F403" t="s">
        <v>1519</v>
      </c>
      <c r="G403" t="s">
        <v>1520</v>
      </c>
      <c r="H403" t="s">
        <v>1524</v>
      </c>
      <c r="I403" t="s">
        <v>1923</v>
      </c>
      <c r="J403">
        <v>3550.56</v>
      </c>
      <c r="K403">
        <v>9</v>
      </c>
      <c r="M403">
        <v>1027.1099999999999</v>
      </c>
    </row>
    <row r="404" spans="1:13" x14ac:dyDescent="0.3">
      <c r="A404" t="s">
        <v>415</v>
      </c>
      <c r="B404" s="2">
        <v>45374</v>
      </c>
      <c r="C404" s="2">
        <v>45384</v>
      </c>
      <c r="D404" t="s">
        <v>1172</v>
      </c>
      <c r="E404" t="s">
        <v>1514</v>
      </c>
      <c r="F404" t="s">
        <v>1517</v>
      </c>
      <c r="G404" t="s">
        <v>1522</v>
      </c>
      <c r="H404" t="s">
        <v>1527</v>
      </c>
      <c r="I404" t="s">
        <v>1711</v>
      </c>
      <c r="J404">
        <v>4081.55</v>
      </c>
      <c r="K404">
        <v>7</v>
      </c>
      <c r="L404">
        <v>0.1</v>
      </c>
      <c r="M404">
        <v>831.4</v>
      </c>
    </row>
    <row r="405" spans="1:13" x14ac:dyDescent="0.3">
      <c r="A405" t="s">
        <v>416</v>
      </c>
      <c r="B405" s="2">
        <v>45767</v>
      </c>
      <c r="C405" s="2">
        <v>45768</v>
      </c>
      <c r="D405" t="s">
        <v>1173</v>
      </c>
      <c r="E405" t="s">
        <v>1515</v>
      </c>
      <c r="G405" t="s">
        <v>1522</v>
      </c>
      <c r="H405" t="s">
        <v>1527</v>
      </c>
      <c r="I405" t="s">
        <v>1924</v>
      </c>
      <c r="J405">
        <v>4746.5</v>
      </c>
      <c r="K405">
        <v>10</v>
      </c>
      <c r="L405">
        <v>0.15</v>
      </c>
      <c r="M405">
        <v>1271.6600000000001</v>
      </c>
    </row>
    <row r="406" spans="1:13" x14ac:dyDescent="0.3">
      <c r="A406" t="s">
        <v>417</v>
      </c>
      <c r="B406" s="2">
        <v>45434</v>
      </c>
      <c r="C406" s="2">
        <v>45440</v>
      </c>
      <c r="D406" t="s">
        <v>1174</v>
      </c>
      <c r="E406" t="s">
        <v>1513</v>
      </c>
      <c r="F406" t="s">
        <v>1518</v>
      </c>
      <c r="G406" t="s">
        <v>1522</v>
      </c>
      <c r="H406" t="s">
        <v>1527</v>
      </c>
      <c r="I406" t="s">
        <v>1925</v>
      </c>
      <c r="J406">
        <v>4609.1400000000003</v>
      </c>
      <c r="K406">
        <v>10</v>
      </c>
      <c r="L406">
        <v>0.05</v>
      </c>
      <c r="M406">
        <v>699.69</v>
      </c>
    </row>
    <row r="407" spans="1:13" x14ac:dyDescent="0.3">
      <c r="A407" t="s">
        <v>418</v>
      </c>
      <c r="B407" s="2">
        <v>45150</v>
      </c>
      <c r="C407" s="2">
        <v>45152</v>
      </c>
      <c r="D407" t="s">
        <v>1175</v>
      </c>
      <c r="E407" t="s">
        <v>1513</v>
      </c>
      <c r="F407" t="s">
        <v>1519</v>
      </c>
      <c r="G407" t="s">
        <v>1522</v>
      </c>
      <c r="H407" t="s">
        <v>1529</v>
      </c>
      <c r="I407" t="s">
        <v>1926</v>
      </c>
      <c r="J407">
        <v>1228.08</v>
      </c>
      <c r="K407">
        <v>6</v>
      </c>
      <c r="L407">
        <v>0.05</v>
      </c>
      <c r="M407">
        <v>184.09</v>
      </c>
    </row>
    <row r="408" spans="1:13" x14ac:dyDescent="0.3">
      <c r="A408" t="s">
        <v>419</v>
      </c>
      <c r="B408" s="2">
        <v>45504</v>
      </c>
      <c r="C408" s="2">
        <v>45509</v>
      </c>
      <c r="D408" t="s">
        <v>1176</v>
      </c>
      <c r="E408" t="s">
        <v>1513</v>
      </c>
      <c r="F408" t="s">
        <v>1516</v>
      </c>
      <c r="G408" t="s">
        <v>1521</v>
      </c>
      <c r="H408" t="s">
        <v>1530</v>
      </c>
      <c r="I408" t="s">
        <v>1927</v>
      </c>
      <c r="J408">
        <v>1087.94</v>
      </c>
      <c r="K408">
        <v>2</v>
      </c>
      <c r="L408">
        <v>0.1</v>
      </c>
      <c r="M408">
        <v>-64.010000000000005</v>
      </c>
    </row>
    <row r="409" spans="1:13" x14ac:dyDescent="0.3">
      <c r="A409" t="s">
        <v>420</v>
      </c>
      <c r="B409" s="2">
        <v>45898</v>
      </c>
      <c r="C409" s="2">
        <v>45906</v>
      </c>
      <c r="D409" t="s">
        <v>1177</v>
      </c>
      <c r="F409" t="s">
        <v>1519</v>
      </c>
      <c r="G409" t="s">
        <v>1522</v>
      </c>
      <c r="H409" t="s">
        <v>1529</v>
      </c>
      <c r="I409" t="s">
        <v>1641</v>
      </c>
      <c r="J409">
        <v>3676.29</v>
      </c>
      <c r="K409">
        <v>3</v>
      </c>
      <c r="L409">
        <v>0.15</v>
      </c>
      <c r="M409">
        <v>261.73</v>
      </c>
    </row>
    <row r="410" spans="1:13" x14ac:dyDescent="0.3">
      <c r="A410" t="s">
        <v>421</v>
      </c>
      <c r="B410" t="s">
        <v>772</v>
      </c>
      <c r="C410" s="2">
        <v>46133</v>
      </c>
      <c r="D410" t="s">
        <v>1178</v>
      </c>
      <c r="E410" t="s">
        <v>1513</v>
      </c>
      <c r="F410" t="s">
        <v>1517</v>
      </c>
      <c r="G410" t="s">
        <v>1520</v>
      </c>
      <c r="H410" t="s">
        <v>1524</v>
      </c>
      <c r="I410" t="s">
        <v>1928</v>
      </c>
      <c r="J410">
        <v>4152.59</v>
      </c>
      <c r="K410">
        <v>10</v>
      </c>
      <c r="M410">
        <v>901.25</v>
      </c>
    </row>
    <row r="411" spans="1:13" x14ac:dyDescent="0.3">
      <c r="A411" t="s">
        <v>422</v>
      </c>
      <c r="B411" s="2">
        <v>45848</v>
      </c>
      <c r="C411" s="2">
        <v>45849</v>
      </c>
      <c r="D411" t="s">
        <v>1179</v>
      </c>
      <c r="E411" t="s">
        <v>1513</v>
      </c>
      <c r="F411" t="s">
        <v>1519</v>
      </c>
      <c r="G411" t="s">
        <v>1521</v>
      </c>
      <c r="H411" t="s">
        <v>1530</v>
      </c>
      <c r="I411" t="s">
        <v>1929</v>
      </c>
      <c r="J411">
        <v>1509.8</v>
      </c>
      <c r="K411">
        <v>6</v>
      </c>
      <c r="L411">
        <v>0.1</v>
      </c>
      <c r="M411">
        <v>488.29</v>
      </c>
    </row>
    <row r="412" spans="1:13" x14ac:dyDescent="0.3">
      <c r="A412" t="s">
        <v>423</v>
      </c>
      <c r="B412" s="2">
        <v>46090</v>
      </c>
      <c r="C412" s="2">
        <v>46093</v>
      </c>
      <c r="D412" t="s">
        <v>1180</v>
      </c>
      <c r="E412" t="s">
        <v>1515</v>
      </c>
      <c r="F412" t="s">
        <v>1518</v>
      </c>
      <c r="G412" t="s">
        <v>1522</v>
      </c>
      <c r="H412" t="s">
        <v>1529</v>
      </c>
      <c r="I412" t="s">
        <v>1930</v>
      </c>
      <c r="J412">
        <v>3673.33</v>
      </c>
      <c r="K412">
        <v>9</v>
      </c>
      <c r="L412">
        <v>0</v>
      </c>
      <c r="M412">
        <v>-51.89</v>
      </c>
    </row>
    <row r="413" spans="1:13" x14ac:dyDescent="0.3">
      <c r="A413" t="s">
        <v>424</v>
      </c>
      <c r="B413" s="2">
        <v>45230</v>
      </c>
      <c r="C413" s="2">
        <v>45237</v>
      </c>
      <c r="D413" t="s">
        <v>1181</v>
      </c>
      <c r="E413" t="s">
        <v>1513</v>
      </c>
      <c r="F413" t="s">
        <v>1516</v>
      </c>
      <c r="G413" t="s">
        <v>1520</v>
      </c>
      <c r="H413" t="s">
        <v>1523</v>
      </c>
      <c r="I413" t="s">
        <v>1931</v>
      </c>
      <c r="J413">
        <v>4715.09</v>
      </c>
      <c r="K413">
        <v>3</v>
      </c>
      <c r="L413">
        <v>0.2</v>
      </c>
      <c r="M413">
        <v>1364.38</v>
      </c>
    </row>
    <row r="414" spans="1:13" x14ac:dyDescent="0.3">
      <c r="A414" t="s">
        <v>425</v>
      </c>
      <c r="B414" s="2">
        <v>45588</v>
      </c>
      <c r="C414" s="2">
        <v>45592</v>
      </c>
      <c r="D414" t="s">
        <v>1182</v>
      </c>
      <c r="E414" t="s">
        <v>1515</v>
      </c>
      <c r="F414" t="s">
        <v>1519</v>
      </c>
      <c r="G414" t="s">
        <v>1522</v>
      </c>
      <c r="H414" t="s">
        <v>1529</v>
      </c>
      <c r="I414" t="s">
        <v>1932</v>
      </c>
      <c r="J414">
        <v>4873.2700000000004</v>
      </c>
      <c r="K414">
        <v>7</v>
      </c>
      <c r="M414">
        <v>510.53</v>
      </c>
    </row>
    <row r="415" spans="1:13" x14ac:dyDescent="0.3">
      <c r="A415" t="s">
        <v>426</v>
      </c>
      <c r="B415" s="2">
        <v>45184</v>
      </c>
      <c r="C415" s="2">
        <v>45189</v>
      </c>
      <c r="D415" t="s">
        <v>1183</v>
      </c>
      <c r="E415" t="s">
        <v>1514</v>
      </c>
      <c r="F415" t="s">
        <v>1517</v>
      </c>
      <c r="G415" t="s">
        <v>1520</v>
      </c>
      <c r="H415" t="s">
        <v>1524</v>
      </c>
      <c r="I415" t="s">
        <v>1544</v>
      </c>
      <c r="J415">
        <v>1225.8599999999999</v>
      </c>
      <c r="K415">
        <v>1</v>
      </c>
      <c r="L415">
        <v>0.15</v>
      </c>
      <c r="M415">
        <v>140.33000000000001</v>
      </c>
    </row>
    <row r="416" spans="1:13" x14ac:dyDescent="0.3">
      <c r="A416" t="s">
        <v>427</v>
      </c>
      <c r="B416" s="2">
        <v>45457</v>
      </c>
      <c r="C416" s="2">
        <v>45458</v>
      </c>
      <c r="D416" t="s">
        <v>1184</v>
      </c>
      <c r="E416" t="s">
        <v>1514</v>
      </c>
      <c r="F416" t="s">
        <v>1517</v>
      </c>
      <c r="G416" t="s">
        <v>1522</v>
      </c>
      <c r="H416" t="s">
        <v>1529</v>
      </c>
      <c r="I416" t="s">
        <v>1933</v>
      </c>
      <c r="J416">
        <v>2166.65</v>
      </c>
      <c r="K416">
        <v>5</v>
      </c>
      <c r="M416">
        <v>311.56</v>
      </c>
    </row>
    <row r="417" spans="1:13" x14ac:dyDescent="0.3">
      <c r="A417" t="s">
        <v>428</v>
      </c>
      <c r="B417" s="2">
        <v>45939</v>
      </c>
      <c r="C417" s="2">
        <v>45943</v>
      </c>
      <c r="D417" t="s">
        <v>1185</v>
      </c>
      <c r="E417" t="s">
        <v>1513</v>
      </c>
      <c r="F417" t="s">
        <v>1519</v>
      </c>
      <c r="G417" t="s">
        <v>1522</v>
      </c>
      <c r="H417" t="s">
        <v>1531</v>
      </c>
      <c r="I417" t="s">
        <v>1934</v>
      </c>
      <c r="J417">
        <v>895.62</v>
      </c>
      <c r="K417">
        <v>5</v>
      </c>
      <c r="L417">
        <v>0</v>
      </c>
      <c r="M417">
        <v>54.15</v>
      </c>
    </row>
    <row r="418" spans="1:13" x14ac:dyDescent="0.3">
      <c r="A418" t="s">
        <v>429</v>
      </c>
      <c r="B418" s="2">
        <v>46033</v>
      </c>
      <c r="C418" s="2">
        <v>46041</v>
      </c>
      <c r="D418" t="s">
        <v>1186</v>
      </c>
      <c r="E418" t="s">
        <v>1514</v>
      </c>
      <c r="F418" t="s">
        <v>1517</v>
      </c>
      <c r="G418" t="s">
        <v>1521</v>
      </c>
      <c r="H418" t="s">
        <v>1526</v>
      </c>
      <c r="I418" t="s">
        <v>1935</v>
      </c>
      <c r="J418">
        <v>4479.6400000000003</v>
      </c>
      <c r="K418">
        <v>5</v>
      </c>
      <c r="L418">
        <v>0</v>
      </c>
      <c r="M418">
        <v>685.5</v>
      </c>
    </row>
    <row r="419" spans="1:13" x14ac:dyDescent="0.3">
      <c r="A419" t="s">
        <v>430</v>
      </c>
      <c r="B419" s="2">
        <v>46084</v>
      </c>
      <c r="C419" s="2">
        <v>46090</v>
      </c>
      <c r="D419" t="s">
        <v>1187</v>
      </c>
      <c r="E419" t="s">
        <v>1514</v>
      </c>
      <c r="F419" t="s">
        <v>1517</v>
      </c>
      <c r="G419" t="s">
        <v>1521</v>
      </c>
      <c r="H419" t="s">
        <v>1526</v>
      </c>
      <c r="I419" t="s">
        <v>1936</v>
      </c>
      <c r="J419">
        <v>973.59</v>
      </c>
      <c r="K419">
        <v>1</v>
      </c>
      <c r="L419">
        <v>0.1</v>
      </c>
      <c r="M419">
        <v>40.75</v>
      </c>
    </row>
    <row r="420" spans="1:13" x14ac:dyDescent="0.3">
      <c r="A420" t="s">
        <v>431</v>
      </c>
      <c r="B420" s="2">
        <v>45691</v>
      </c>
      <c r="C420" s="2">
        <v>45692</v>
      </c>
      <c r="D420" t="s">
        <v>1188</v>
      </c>
      <c r="E420" t="s">
        <v>1515</v>
      </c>
      <c r="F420" t="s">
        <v>1518</v>
      </c>
      <c r="G420" t="s">
        <v>1521</v>
      </c>
      <c r="H420" t="s">
        <v>1528</v>
      </c>
      <c r="I420" t="s">
        <v>1937</v>
      </c>
      <c r="J420">
        <v>798.1</v>
      </c>
      <c r="K420">
        <v>2</v>
      </c>
      <c r="L420">
        <v>0</v>
      </c>
      <c r="M420">
        <v>133.66</v>
      </c>
    </row>
    <row r="421" spans="1:13" x14ac:dyDescent="0.3">
      <c r="A421" t="s">
        <v>432</v>
      </c>
      <c r="B421" s="2">
        <v>45141</v>
      </c>
      <c r="C421" s="2">
        <v>45150</v>
      </c>
      <c r="D421" t="s">
        <v>1189</v>
      </c>
      <c r="E421" t="s">
        <v>1515</v>
      </c>
      <c r="F421" t="s">
        <v>1518</v>
      </c>
      <c r="G421" t="s">
        <v>1520</v>
      </c>
      <c r="H421" t="s">
        <v>1523</v>
      </c>
      <c r="I421" t="s">
        <v>1938</v>
      </c>
      <c r="J421">
        <v>351.87</v>
      </c>
      <c r="K421">
        <v>7</v>
      </c>
      <c r="L421">
        <v>0.2</v>
      </c>
      <c r="M421">
        <v>10.64</v>
      </c>
    </row>
    <row r="422" spans="1:13" x14ac:dyDescent="0.3">
      <c r="A422" t="s">
        <v>433</v>
      </c>
      <c r="B422" s="2">
        <v>45234</v>
      </c>
      <c r="C422" s="2">
        <v>45242</v>
      </c>
      <c r="D422" t="s">
        <v>1190</v>
      </c>
      <c r="E422" t="s">
        <v>1515</v>
      </c>
      <c r="G422" t="s">
        <v>1520</v>
      </c>
      <c r="H422" t="s">
        <v>1523</v>
      </c>
      <c r="I422" t="s">
        <v>1939</v>
      </c>
      <c r="J422">
        <v>1529.32</v>
      </c>
      <c r="K422">
        <v>7</v>
      </c>
      <c r="M422">
        <v>-276.64999999999998</v>
      </c>
    </row>
    <row r="423" spans="1:13" x14ac:dyDescent="0.3">
      <c r="A423" t="s">
        <v>434</v>
      </c>
      <c r="B423" s="2">
        <v>45133</v>
      </c>
      <c r="C423" s="2">
        <v>45136</v>
      </c>
      <c r="D423" t="s">
        <v>1191</v>
      </c>
      <c r="E423" t="s">
        <v>1513</v>
      </c>
      <c r="F423" t="s">
        <v>1516</v>
      </c>
      <c r="G423" t="s">
        <v>1522</v>
      </c>
      <c r="H423" t="s">
        <v>1529</v>
      </c>
      <c r="I423" t="s">
        <v>1940</v>
      </c>
      <c r="J423">
        <v>4747.8500000000004</v>
      </c>
      <c r="K423">
        <v>3</v>
      </c>
      <c r="L423">
        <v>0.05</v>
      </c>
      <c r="M423">
        <v>1161.58</v>
      </c>
    </row>
    <row r="424" spans="1:13" x14ac:dyDescent="0.3">
      <c r="A424" t="s">
        <v>435</v>
      </c>
      <c r="B424" s="2">
        <v>45699</v>
      </c>
      <c r="C424" s="2">
        <v>45706</v>
      </c>
      <c r="D424" t="s">
        <v>1192</v>
      </c>
      <c r="E424" t="s">
        <v>1515</v>
      </c>
      <c r="F424" t="s">
        <v>1516</v>
      </c>
      <c r="G424" t="s">
        <v>1521</v>
      </c>
      <c r="H424" t="s">
        <v>1530</v>
      </c>
      <c r="I424" t="s">
        <v>1941</v>
      </c>
      <c r="J424">
        <v>1049.5</v>
      </c>
      <c r="K424">
        <v>3</v>
      </c>
      <c r="L424">
        <v>0.2</v>
      </c>
      <c r="M424">
        <v>-61.04</v>
      </c>
    </row>
    <row r="425" spans="1:13" x14ac:dyDescent="0.3">
      <c r="A425" t="s">
        <v>436</v>
      </c>
      <c r="B425" s="2">
        <v>45289</v>
      </c>
      <c r="C425" s="2">
        <v>45298</v>
      </c>
      <c r="D425" t="s">
        <v>1193</v>
      </c>
      <c r="E425" t="s">
        <v>1513</v>
      </c>
      <c r="F425" t="s">
        <v>1518</v>
      </c>
      <c r="G425" t="s">
        <v>1522</v>
      </c>
      <c r="H425" t="s">
        <v>1529</v>
      </c>
      <c r="I425" t="s">
        <v>1942</v>
      </c>
      <c r="J425">
        <v>2016.91</v>
      </c>
      <c r="K425">
        <v>6</v>
      </c>
      <c r="L425">
        <v>0.1</v>
      </c>
      <c r="M425">
        <v>173.11</v>
      </c>
    </row>
    <row r="426" spans="1:13" x14ac:dyDescent="0.3">
      <c r="A426" t="s">
        <v>437</v>
      </c>
      <c r="B426" s="2">
        <v>45718</v>
      </c>
      <c r="C426" s="2">
        <v>45721</v>
      </c>
      <c r="D426" t="s">
        <v>1194</v>
      </c>
      <c r="E426" t="s">
        <v>1513</v>
      </c>
      <c r="F426" t="s">
        <v>1516</v>
      </c>
      <c r="G426" t="s">
        <v>1522</v>
      </c>
      <c r="H426" t="s">
        <v>1529</v>
      </c>
      <c r="I426" t="s">
        <v>1943</v>
      </c>
      <c r="J426">
        <v>783.59</v>
      </c>
      <c r="K426">
        <v>10</v>
      </c>
      <c r="L426">
        <v>0.2</v>
      </c>
      <c r="M426">
        <v>170.12</v>
      </c>
    </row>
    <row r="427" spans="1:13" x14ac:dyDescent="0.3">
      <c r="A427" t="s">
        <v>438</v>
      </c>
      <c r="B427" t="s">
        <v>773</v>
      </c>
      <c r="C427" s="2">
        <v>45448</v>
      </c>
      <c r="D427" t="s">
        <v>1195</v>
      </c>
      <c r="E427" t="s">
        <v>1515</v>
      </c>
      <c r="F427" t="s">
        <v>1518</v>
      </c>
      <c r="G427" t="s">
        <v>1520</v>
      </c>
      <c r="H427" t="s">
        <v>1523</v>
      </c>
      <c r="I427" t="s">
        <v>1944</v>
      </c>
      <c r="J427">
        <v>4344</v>
      </c>
      <c r="K427">
        <v>6</v>
      </c>
      <c r="L427">
        <v>0.15</v>
      </c>
      <c r="M427">
        <v>-237.72</v>
      </c>
    </row>
    <row r="428" spans="1:13" x14ac:dyDescent="0.3">
      <c r="A428" t="s">
        <v>439</v>
      </c>
      <c r="B428" s="2">
        <v>45974</v>
      </c>
      <c r="C428" s="2">
        <v>45982</v>
      </c>
      <c r="D428" t="s">
        <v>1196</v>
      </c>
      <c r="F428" t="s">
        <v>1518</v>
      </c>
      <c r="G428" t="s">
        <v>1520</v>
      </c>
      <c r="H428" t="s">
        <v>1525</v>
      </c>
      <c r="I428" t="s">
        <v>1945</v>
      </c>
      <c r="J428">
        <v>235.46</v>
      </c>
      <c r="K428">
        <v>5</v>
      </c>
      <c r="L428">
        <v>0.15</v>
      </c>
      <c r="M428">
        <v>-28.46</v>
      </c>
    </row>
    <row r="429" spans="1:13" x14ac:dyDescent="0.3">
      <c r="A429" t="s">
        <v>440</v>
      </c>
      <c r="B429" s="2">
        <v>45118</v>
      </c>
      <c r="C429" s="2">
        <v>45124</v>
      </c>
      <c r="D429" t="s">
        <v>1197</v>
      </c>
      <c r="E429" t="s">
        <v>1514</v>
      </c>
      <c r="F429" t="s">
        <v>1519</v>
      </c>
      <c r="G429" t="s">
        <v>1522</v>
      </c>
      <c r="H429" t="s">
        <v>1529</v>
      </c>
      <c r="I429" t="s">
        <v>1946</v>
      </c>
      <c r="J429">
        <v>3468.04</v>
      </c>
      <c r="K429">
        <v>1</v>
      </c>
      <c r="M429">
        <v>212.83</v>
      </c>
    </row>
    <row r="430" spans="1:13" x14ac:dyDescent="0.3">
      <c r="A430" t="s">
        <v>441</v>
      </c>
      <c r="B430" s="2">
        <v>45199</v>
      </c>
      <c r="C430" s="2">
        <v>45204</v>
      </c>
      <c r="D430" t="s">
        <v>1198</v>
      </c>
      <c r="E430" t="s">
        <v>1513</v>
      </c>
      <c r="F430" t="s">
        <v>1517</v>
      </c>
      <c r="G430" t="s">
        <v>1522</v>
      </c>
      <c r="H430" t="s">
        <v>1529</v>
      </c>
      <c r="I430" t="s">
        <v>1947</v>
      </c>
      <c r="J430">
        <v>1589.2</v>
      </c>
      <c r="K430">
        <v>8</v>
      </c>
      <c r="M430">
        <v>280.76</v>
      </c>
    </row>
    <row r="431" spans="1:13" x14ac:dyDescent="0.3">
      <c r="A431" t="s">
        <v>442</v>
      </c>
      <c r="B431" s="2">
        <v>45498</v>
      </c>
      <c r="C431" s="2">
        <v>45506</v>
      </c>
      <c r="D431" t="s">
        <v>1199</v>
      </c>
      <c r="E431" t="s">
        <v>1515</v>
      </c>
      <c r="F431" t="s">
        <v>1516</v>
      </c>
      <c r="G431" t="s">
        <v>1521</v>
      </c>
      <c r="H431" t="s">
        <v>1528</v>
      </c>
      <c r="I431" t="s">
        <v>1948</v>
      </c>
      <c r="J431">
        <v>3881.45</v>
      </c>
      <c r="K431">
        <v>6</v>
      </c>
      <c r="L431">
        <v>0.1</v>
      </c>
      <c r="M431">
        <v>779.55</v>
      </c>
    </row>
    <row r="432" spans="1:13" x14ac:dyDescent="0.3">
      <c r="A432" t="s">
        <v>443</v>
      </c>
      <c r="B432" s="2">
        <v>46034</v>
      </c>
      <c r="C432" s="2">
        <v>46038</v>
      </c>
      <c r="D432" t="s">
        <v>1200</v>
      </c>
      <c r="E432" t="s">
        <v>1515</v>
      </c>
      <c r="F432" t="s">
        <v>1519</v>
      </c>
      <c r="G432" t="s">
        <v>1522</v>
      </c>
      <c r="H432" t="s">
        <v>1529</v>
      </c>
      <c r="I432" t="s">
        <v>1949</v>
      </c>
      <c r="J432">
        <v>4571.49</v>
      </c>
      <c r="K432">
        <v>7</v>
      </c>
      <c r="M432">
        <v>303.79000000000002</v>
      </c>
    </row>
    <row r="433" spans="1:13" x14ac:dyDescent="0.3">
      <c r="A433" t="s">
        <v>444</v>
      </c>
      <c r="B433" s="2">
        <v>45749</v>
      </c>
      <c r="C433" s="2">
        <v>45752</v>
      </c>
      <c r="D433" t="s">
        <v>1201</v>
      </c>
      <c r="E433" t="s">
        <v>1515</v>
      </c>
      <c r="F433" t="s">
        <v>1516</v>
      </c>
      <c r="G433" t="s">
        <v>1522</v>
      </c>
      <c r="H433" t="s">
        <v>1527</v>
      </c>
      <c r="I433" t="s">
        <v>1950</v>
      </c>
      <c r="J433">
        <v>374.8</v>
      </c>
      <c r="K433">
        <v>9</v>
      </c>
      <c r="L433">
        <v>0.15</v>
      </c>
      <c r="M433">
        <v>-47</v>
      </c>
    </row>
    <row r="434" spans="1:13" x14ac:dyDescent="0.3">
      <c r="A434" t="s">
        <v>445</v>
      </c>
      <c r="B434" s="2">
        <v>45604</v>
      </c>
      <c r="C434" s="2">
        <v>45608</v>
      </c>
      <c r="D434" t="s">
        <v>1202</v>
      </c>
      <c r="E434" t="s">
        <v>1514</v>
      </c>
      <c r="F434" t="s">
        <v>1517</v>
      </c>
      <c r="G434" t="s">
        <v>1522</v>
      </c>
      <c r="H434" t="s">
        <v>1531</v>
      </c>
      <c r="I434" t="s">
        <v>1951</v>
      </c>
      <c r="J434">
        <v>4193.03</v>
      </c>
      <c r="K434">
        <v>4</v>
      </c>
      <c r="L434">
        <v>0</v>
      </c>
      <c r="M434">
        <v>214.04</v>
      </c>
    </row>
    <row r="435" spans="1:13" x14ac:dyDescent="0.3">
      <c r="A435" t="s">
        <v>446</v>
      </c>
      <c r="B435" s="2">
        <v>45380</v>
      </c>
      <c r="C435" s="2">
        <v>45388</v>
      </c>
      <c r="D435" t="s">
        <v>1203</v>
      </c>
      <c r="E435" t="s">
        <v>1514</v>
      </c>
      <c r="F435" t="s">
        <v>1518</v>
      </c>
      <c r="G435" t="s">
        <v>1521</v>
      </c>
      <c r="H435" t="s">
        <v>1526</v>
      </c>
      <c r="I435" t="s">
        <v>1952</v>
      </c>
      <c r="J435">
        <v>2550.38</v>
      </c>
      <c r="K435">
        <v>2</v>
      </c>
      <c r="M435">
        <v>-467.2</v>
      </c>
    </row>
    <row r="436" spans="1:13" x14ac:dyDescent="0.3">
      <c r="A436" t="s">
        <v>447</v>
      </c>
      <c r="B436" s="2">
        <v>46117</v>
      </c>
      <c r="C436" s="2">
        <v>46120</v>
      </c>
      <c r="D436" t="s">
        <v>1204</v>
      </c>
      <c r="F436" t="s">
        <v>1517</v>
      </c>
      <c r="G436" t="s">
        <v>1520</v>
      </c>
      <c r="H436" t="s">
        <v>1524</v>
      </c>
      <c r="I436" t="s">
        <v>1953</v>
      </c>
      <c r="J436">
        <v>4804.58</v>
      </c>
      <c r="K436">
        <v>8</v>
      </c>
      <c r="L436">
        <v>0.2</v>
      </c>
      <c r="M436">
        <v>495.99</v>
      </c>
    </row>
    <row r="437" spans="1:13" x14ac:dyDescent="0.3">
      <c r="A437" t="s">
        <v>448</v>
      </c>
      <c r="B437" s="2">
        <v>46061</v>
      </c>
      <c r="C437" s="2">
        <v>46063</v>
      </c>
      <c r="D437" t="s">
        <v>1205</v>
      </c>
      <c r="E437" t="s">
        <v>1515</v>
      </c>
      <c r="F437" t="s">
        <v>1517</v>
      </c>
      <c r="G437" t="s">
        <v>1521</v>
      </c>
      <c r="H437" t="s">
        <v>1528</v>
      </c>
      <c r="I437" t="s">
        <v>1954</v>
      </c>
      <c r="J437">
        <v>1461.09</v>
      </c>
      <c r="K437">
        <v>7</v>
      </c>
      <c r="L437">
        <v>0</v>
      </c>
      <c r="M437">
        <v>-161.31</v>
      </c>
    </row>
    <row r="438" spans="1:13" x14ac:dyDescent="0.3">
      <c r="A438" t="s">
        <v>449</v>
      </c>
      <c r="B438" s="2">
        <v>45130</v>
      </c>
      <c r="C438" s="2">
        <v>45134</v>
      </c>
      <c r="D438" t="s">
        <v>1206</v>
      </c>
      <c r="E438" t="s">
        <v>1513</v>
      </c>
      <c r="F438" t="s">
        <v>1516</v>
      </c>
      <c r="G438" t="s">
        <v>1522</v>
      </c>
      <c r="H438" t="s">
        <v>1527</v>
      </c>
      <c r="I438" t="s">
        <v>1955</v>
      </c>
      <c r="J438">
        <v>3404.59</v>
      </c>
      <c r="K438">
        <v>5</v>
      </c>
      <c r="M438">
        <v>85.89</v>
      </c>
    </row>
    <row r="439" spans="1:13" x14ac:dyDescent="0.3">
      <c r="A439" t="s">
        <v>450</v>
      </c>
      <c r="B439" s="2">
        <v>45901</v>
      </c>
      <c r="C439" s="2">
        <v>45904</v>
      </c>
      <c r="D439" t="s">
        <v>1207</v>
      </c>
      <c r="E439" t="s">
        <v>1514</v>
      </c>
      <c r="F439" t="s">
        <v>1519</v>
      </c>
      <c r="G439" t="s">
        <v>1521</v>
      </c>
      <c r="H439" t="s">
        <v>1530</v>
      </c>
      <c r="I439" t="s">
        <v>1956</v>
      </c>
      <c r="J439">
        <v>3025.65</v>
      </c>
      <c r="K439">
        <v>1</v>
      </c>
      <c r="L439">
        <v>0.05</v>
      </c>
      <c r="M439">
        <v>-185.13</v>
      </c>
    </row>
    <row r="440" spans="1:13" x14ac:dyDescent="0.3">
      <c r="A440" t="s">
        <v>451</v>
      </c>
      <c r="B440" s="2">
        <v>45306</v>
      </c>
      <c r="C440" s="2">
        <v>45312</v>
      </c>
      <c r="D440" t="s">
        <v>1208</v>
      </c>
      <c r="E440" t="s">
        <v>1515</v>
      </c>
      <c r="F440" t="s">
        <v>1518</v>
      </c>
      <c r="G440" t="s">
        <v>1521</v>
      </c>
      <c r="H440" t="s">
        <v>1526</v>
      </c>
      <c r="I440" t="s">
        <v>1957</v>
      </c>
      <c r="J440">
        <v>2322.04</v>
      </c>
      <c r="K440">
        <v>4</v>
      </c>
      <c r="L440">
        <v>0.15</v>
      </c>
      <c r="M440">
        <v>-78.53</v>
      </c>
    </row>
    <row r="441" spans="1:13" x14ac:dyDescent="0.3">
      <c r="A441" t="s">
        <v>452</v>
      </c>
      <c r="B441" s="2">
        <v>45270</v>
      </c>
      <c r="C441" s="2">
        <v>45271</v>
      </c>
      <c r="D441" t="s">
        <v>1209</v>
      </c>
      <c r="E441" t="s">
        <v>1515</v>
      </c>
      <c r="G441" t="s">
        <v>1520</v>
      </c>
      <c r="H441" t="s">
        <v>1523</v>
      </c>
      <c r="I441" t="s">
        <v>1958</v>
      </c>
      <c r="J441">
        <v>2581.9899999999998</v>
      </c>
      <c r="K441">
        <v>6</v>
      </c>
      <c r="L441">
        <v>0.2</v>
      </c>
      <c r="M441">
        <v>402.89</v>
      </c>
    </row>
    <row r="442" spans="1:13" x14ac:dyDescent="0.3">
      <c r="A442" t="s">
        <v>453</v>
      </c>
      <c r="B442" s="2">
        <v>46069</v>
      </c>
      <c r="C442" s="2">
        <v>46071</v>
      </c>
      <c r="D442" t="s">
        <v>1210</v>
      </c>
      <c r="E442" t="s">
        <v>1514</v>
      </c>
      <c r="F442" t="s">
        <v>1519</v>
      </c>
      <c r="G442" t="s">
        <v>1521</v>
      </c>
      <c r="H442" t="s">
        <v>1528</v>
      </c>
      <c r="I442" t="s">
        <v>1959</v>
      </c>
      <c r="J442">
        <v>2434.61</v>
      </c>
      <c r="K442">
        <v>6</v>
      </c>
      <c r="L442">
        <v>0.1</v>
      </c>
      <c r="M442">
        <v>370.86</v>
      </c>
    </row>
    <row r="443" spans="1:13" x14ac:dyDescent="0.3">
      <c r="A443" t="s">
        <v>454</v>
      </c>
      <c r="B443" s="2">
        <v>45885</v>
      </c>
      <c r="C443" s="2">
        <v>45890</v>
      </c>
      <c r="D443" t="s">
        <v>1211</v>
      </c>
      <c r="E443" t="s">
        <v>1515</v>
      </c>
      <c r="F443" t="s">
        <v>1518</v>
      </c>
      <c r="G443" t="s">
        <v>1520</v>
      </c>
      <c r="H443" t="s">
        <v>1525</v>
      </c>
      <c r="I443" t="s">
        <v>1683</v>
      </c>
      <c r="J443">
        <v>982.38</v>
      </c>
      <c r="K443">
        <v>9</v>
      </c>
      <c r="L443">
        <v>0.05</v>
      </c>
      <c r="M443">
        <v>289.63</v>
      </c>
    </row>
    <row r="444" spans="1:13" x14ac:dyDescent="0.3">
      <c r="A444" t="s">
        <v>455</v>
      </c>
      <c r="B444" s="2">
        <v>45686</v>
      </c>
      <c r="C444" s="2">
        <v>45689</v>
      </c>
      <c r="D444" t="s">
        <v>1212</v>
      </c>
      <c r="E444" t="s">
        <v>1514</v>
      </c>
      <c r="F444" t="s">
        <v>1518</v>
      </c>
      <c r="G444" t="s">
        <v>1520</v>
      </c>
      <c r="H444" t="s">
        <v>1524</v>
      </c>
      <c r="I444" t="s">
        <v>1960</v>
      </c>
      <c r="J444">
        <v>3620.35</v>
      </c>
      <c r="K444">
        <v>8</v>
      </c>
      <c r="L444">
        <v>0.1</v>
      </c>
      <c r="M444">
        <v>-207.5</v>
      </c>
    </row>
    <row r="445" spans="1:13" x14ac:dyDescent="0.3">
      <c r="A445" t="s">
        <v>456</v>
      </c>
      <c r="B445" s="2">
        <v>45236</v>
      </c>
      <c r="C445" s="2">
        <v>45237</v>
      </c>
      <c r="D445" t="s">
        <v>1213</v>
      </c>
      <c r="E445" t="s">
        <v>1515</v>
      </c>
      <c r="F445" t="s">
        <v>1517</v>
      </c>
      <c r="G445" t="s">
        <v>1521</v>
      </c>
      <c r="H445" t="s">
        <v>1528</v>
      </c>
      <c r="I445" t="s">
        <v>1961</v>
      </c>
      <c r="J445">
        <v>2935.97</v>
      </c>
      <c r="K445">
        <v>10</v>
      </c>
      <c r="L445">
        <v>0.05</v>
      </c>
      <c r="M445">
        <v>-33.049999999999997</v>
      </c>
    </row>
    <row r="446" spans="1:13" x14ac:dyDescent="0.3">
      <c r="A446" t="s">
        <v>457</v>
      </c>
      <c r="B446" s="2">
        <v>45991</v>
      </c>
      <c r="C446" s="2">
        <v>45999</v>
      </c>
      <c r="D446" t="s">
        <v>1214</v>
      </c>
      <c r="E446" t="s">
        <v>1513</v>
      </c>
      <c r="F446" t="s">
        <v>1517</v>
      </c>
      <c r="G446" t="s">
        <v>1520</v>
      </c>
      <c r="H446" t="s">
        <v>1525</v>
      </c>
      <c r="I446" t="s">
        <v>1962</v>
      </c>
      <c r="J446">
        <v>4537.3100000000004</v>
      </c>
      <c r="K446">
        <v>6</v>
      </c>
      <c r="L446">
        <v>0.2</v>
      </c>
      <c r="M446">
        <v>-158.32</v>
      </c>
    </row>
    <row r="447" spans="1:13" x14ac:dyDescent="0.3">
      <c r="A447" t="s">
        <v>458</v>
      </c>
      <c r="B447" s="2">
        <v>45446</v>
      </c>
      <c r="C447" s="2">
        <v>45454</v>
      </c>
      <c r="D447" t="s">
        <v>1215</v>
      </c>
      <c r="E447" t="s">
        <v>1513</v>
      </c>
      <c r="F447" t="s">
        <v>1519</v>
      </c>
      <c r="G447" t="s">
        <v>1521</v>
      </c>
      <c r="H447" t="s">
        <v>1530</v>
      </c>
      <c r="I447" t="s">
        <v>1963</v>
      </c>
      <c r="J447">
        <v>683.32</v>
      </c>
      <c r="K447">
        <v>5</v>
      </c>
      <c r="M447">
        <v>167.13</v>
      </c>
    </row>
    <row r="448" spans="1:13" x14ac:dyDescent="0.3">
      <c r="A448" t="s">
        <v>459</v>
      </c>
      <c r="B448" s="2">
        <v>45173</v>
      </c>
      <c r="C448" s="2">
        <v>45177</v>
      </c>
      <c r="D448" t="s">
        <v>1216</v>
      </c>
      <c r="E448" t="s">
        <v>1514</v>
      </c>
      <c r="F448" t="s">
        <v>1519</v>
      </c>
      <c r="G448" t="s">
        <v>1520</v>
      </c>
      <c r="H448" t="s">
        <v>1523</v>
      </c>
      <c r="I448" t="s">
        <v>1964</v>
      </c>
      <c r="J448">
        <v>1808.65</v>
      </c>
      <c r="K448">
        <v>5</v>
      </c>
      <c r="L448">
        <v>0.15</v>
      </c>
      <c r="M448">
        <v>422.23</v>
      </c>
    </row>
    <row r="449" spans="1:13" x14ac:dyDescent="0.3">
      <c r="A449" t="s">
        <v>460</v>
      </c>
      <c r="B449" s="2">
        <v>45468</v>
      </c>
      <c r="C449" s="2">
        <v>45473</v>
      </c>
      <c r="D449" t="s">
        <v>1217</v>
      </c>
      <c r="E449" t="s">
        <v>1515</v>
      </c>
      <c r="F449" t="s">
        <v>1516</v>
      </c>
      <c r="G449" t="s">
        <v>1521</v>
      </c>
      <c r="H449" t="s">
        <v>1528</v>
      </c>
      <c r="I449" t="s">
        <v>1954</v>
      </c>
      <c r="J449">
        <v>2345.62</v>
      </c>
      <c r="K449">
        <v>2</v>
      </c>
      <c r="L449">
        <v>0.15</v>
      </c>
      <c r="M449">
        <v>-399.88</v>
      </c>
    </row>
    <row r="450" spans="1:13" x14ac:dyDescent="0.3">
      <c r="A450" t="s">
        <v>461</v>
      </c>
      <c r="B450" s="2">
        <v>45396</v>
      </c>
      <c r="C450" s="2">
        <v>45405</v>
      </c>
      <c r="D450" t="s">
        <v>1218</v>
      </c>
      <c r="E450" t="s">
        <v>1513</v>
      </c>
      <c r="F450" t="s">
        <v>1517</v>
      </c>
      <c r="G450" t="s">
        <v>1521</v>
      </c>
      <c r="H450" t="s">
        <v>1530</v>
      </c>
      <c r="I450" t="s">
        <v>1965</v>
      </c>
      <c r="J450">
        <v>643.09</v>
      </c>
      <c r="K450">
        <v>7</v>
      </c>
      <c r="L450">
        <v>0.2</v>
      </c>
      <c r="M450">
        <v>-23.09</v>
      </c>
    </row>
    <row r="451" spans="1:13" x14ac:dyDescent="0.3">
      <c r="A451" t="s">
        <v>462</v>
      </c>
      <c r="B451" s="2">
        <v>45692</v>
      </c>
      <c r="C451" s="2">
        <v>45698</v>
      </c>
      <c r="D451" t="s">
        <v>1219</v>
      </c>
      <c r="E451" t="s">
        <v>1515</v>
      </c>
      <c r="F451" t="s">
        <v>1517</v>
      </c>
      <c r="G451" t="s">
        <v>1522</v>
      </c>
      <c r="H451" t="s">
        <v>1531</v>
      </c>
      <c r="I451" t="s">
        <v>1966</v>
      </c>
      <c r="J451">
        <v>2075.5</v>
      </c>
      <c r="K451">
        <v>10</v>
      </c>
      <c r="L451">
        <v>0.15</v>
      </c>
      <c r="M451">
        <v>-251.61</v>
      </c>
    </row>
    <row r="452" spans="1:13" x14ac:dyDescent="0.3">
      <c r="A452" t="s">
        <v>463</v>
      </c>
      <c r="B452" s="2">
        <v>45228</v>
      </c>
      <c r="C452" s="2">
        <v>45234</v>
      </c>
      <c r="D452" t="s">
        <v>1220</v>
      </c>
      <c r="E452" t="s">
        <v>1513</v>
      </c>
      <c r="F452" t="s">
        <v>1518</v>
      </c>
      <c r="G452" t="s">
        <v>1522</v>
      </c>
      <c r="H452" t="s">
        <v>1529</v>
      </c>
      <c r="I452" t="s">
        <v>1967</v>
      </c>
      <c r="J452">
        <v>3173.61</v>
      </c>
      <c r="K452">
        <v>3</v>
      </c>
      <c r="L452">
        <v>0.1</v>
      </c>
      <c r="M452">
        <v>472.79</v>
      </c>
    </row>
    <row r="453" spans="1:13" x14ac:dyDescent="0.3">
      <c r="A453" t="s">
        <v>464</v>
      </c>
      <c r="B453" s="2">
        <v>45696</v>
      </c>
      <c r="C453" s="2">
        <v>45699</v>
      </c>
      <c r="D453" t="s">
        <v>1221</v>
      </c>
      <c r="E453" t="s">
        <v>1513</v>
      </c>
      <c r="F453" t="s">
        <v>1517</v>
      </c>
      <c r="G453" t="s">
        <v>1521</v>
      </c>
      <c r="H453" t="s">
        <v>1530</v>
      </c>
      <c r="I453" t="s">
        <v>1968</v>
      </c>
      <c r="J453">
        <v>2902.58</v>
      </c>
      <c r="K453">
        <v>3</v>
      </c>
      <c r="L453">
        <v>0.15</v>
      </c>
      <c r="M453">
        <v>673.01</v>
      </c>
    </row>
    <row r="454" spans="1:13" x14ac:dyDescent="0.3">
      <c r="A454" t="s">
        <v>465</v>
      </c>
      <c r="B454" s="2">
        <v>45499</v>
      </c>
      <c r="C454" s="2">
        <v>45506</v>
      </c>
      <c r="D454" t="s">
        <v>1222</v>
      </c>
      <c r="E454" t="s">
        <v>1515</v>
      </c>
      <c r="F454" t="s">
        <v>1517</v>
      </c>
      <c r="G454" t="s">
        <v>1520</v>
      </c>
      <c r="H454" t="s">
        <v>1524</v>
      </c>
      <c r="I454" t="s">
        <v>1969</v>
      </c>
      <c r="J454">
        <v>2046.8</v>
      </c>
      <c r="K454">
        <v>8</v>
      </c>
      <c r="L454">
        <v>0.15</v>
      </c>
      <c r="M454">
        <v>-404.1</v>
      </c>
    </row>
    <row r="455" spans="1:13" x14ac:dyDescent="0.3">
      <c r="A455" t="s">
        <v>466</v>
      </c>
      <c r="B455" s="2">
        <v>46129</v>
      </c>
      <c r="C455" s="2">
        <v>46130</v>
      </c>
      <c r="D455" t="s">
        <v>1223</v>
      </c>
      <c r="E455" t="s">
        <v>1513</v>
      </c>
      <c r="F455" t="s">
        <v>1517</v>
      </c>
      <c r="G455" t="s">
        <v>1520</v>
      </c>
      <c r="H455" t="s">
        <v>1524</v>
      </c>
      <c r="I455" t="s">
        <v>1970</v>
      </c>
      <c r="J455">
        <v>4465.43</v>
      </c>
      <c r="K455">
        <v>9</v>
      </c>
      <c r="L455">
        <v>0.05</v>
      </c>
      <c r="M455">
        <v>-849.08</v>
      </c>
    </row>
    <row r="456" spans="1:13" x14ac:dyDescent="0.3">
      <c r="A456" t="s">
        <v>467</v>
      </c>
      <c r="B456" s="2">
        <v>45968</v>
      </c>
      <c r="C456" s="2">
        <v>45974</v>
      </c>
      <c r="D456" t="s">
        <v>1224</v>
      </c>
      <c r="E456" t="s">
        <v>1514</v>
      </c>
      <c r="G456" t="s">
        <v>1522</v>
      </c>
      <c r="H456" t="s">
        <v>1527</v>
      </c>
      <c r="I456" t="s">
        <v>1971</v>
      </c>
      <c r="J456">
        <v>1594.86</v>
      </c>
      <c r="K456">
        <v>2</v>
      </c>
      <c r="L456">
        <v>0.15</v>
      </c>
      <c r="M456">
        <v>122.54</v>
      </c>
    </row>
    <row r="457" spans="1:13" x14ac:dyDescent="0.3">
      <c r="A457" t="s">
        <v>468</v>
      </c>
      <c r="B457" s="2">
        <v>45159</v>
      </c>
      <c r="C457" s="2">
        <v>45164</v>
      </c>
      <c r="D457" t="s">
        <v>1225</v>
      </c>
      <c r="E457" t="s">
        <v>1515</v>
      </c>
      <c r="F457" t="s">
        <v>1519</v>
      </c>
      <c r="G457" t="s">
        <v>1522</v>
      </c>
      <c r="H457" t="s">
        <v>1531</v>
      </c>
      <c r="I457" t="s">
        <v>1972</v>
      </c>
      <c r="J457">
        <v>4744.8900000000003</v>
      </c>
      <c r="K457">
        <v>8</v>
      </c>
      <c r="M457">
        <v>408.81</v>
      </c>
    </row>
    <row r="458" spans="1:13" x14ac:dyDescent="0.3">
      <c r="A458" t="s">
        <v>469</v>
      </c>
      <c r="B458" s="2">
        <v>45752</v>
      </c>
      <c r="C458" s="2">
        <v>45755</v>
      </c>
      <c r="D458" t="s">
        <v>1226</v>
      </c>
      <c r="E458" t="s">
        <v>1513</v>
      </c>
      <c r="F458" t="s">
        <v>1518</v>
      </c>
      <c r="G458" t="s">
        <v>1521</v>
      </c>
      <c r="H458" t="s">
        <v>1528</v>
      </c>
      <c r="I458" t="s">
        <v>1973</v>
      </c>
      <c r="J458">
        <v>1746.53</v>
      </c>
      <c r="K458">
        <v>8</v>
      </c>
      <c r="L458">
        <v>0.1</v>
      </c>
      <c r="M458">
        <v>371.25</v>
      </c>
    </row>
    <row r="459" spans="1:13" x14ac:dyDescent="0.3">
      <c r="A459" t="s">
        <v>470</v>
      </c>
      <c r="B459" s="2">
        <v>45573</v>
      </c>
      <c r="C459" s="2">
        <v>45577</v>
      </c>
      <c r="D459" t="s">
        <v>1227</v>
      </c>
      <c r="E459" t="s">
        <v>1515</v>
      </c>
      <c r="F459" t="s">
        <v>1517</v>
      </c>
      <c r="G459" t="s">
        <v>1522</v>
      </c>
      <c r="H459" t="s">
        <v>1531</v>
      </c>
      <c r="I459" t="s">
        <v>1974</v>
      </c>
      <c r="J459">
        <v>3649.49</v>
      </c>
      <c r="K459">
        <v>3</v>
      </c>
      <c r="L459">
        <v>0.05</v>
      </c>
      <c r="M459">
        <v>743.55</v>
      </c>
    </row>
    <row r="460" spans="1:13" x14ac:dyDescent="0.3">
      <c r="A460" t="s">
        <v>471</v>
      </c>
      <c r="B460" s="2">
        <v>45393</v>
      </c>
      <c r="C460" s="2">
        <v>45394</v>
      </c>
      <c r="D460" t="s">
        <v>1228</v>
      </c>
      <c r="E460" t="s">
        <v>1515</v>
      </c>
      <c r="F460" t="s">
        <v>1516</v>
      </c>
      <c r="G460" t="s">
        <v>1522</v>
      </c>
      <c r="H460" t="s">
        <v>1529</v>
      </c>
      <c r="I460" t="s">
        <v>1717</v>
      </c>
      <c r="J460">
        <v>1907.2</v>
      </c>
      <c r="K460">
        <v>5</v>
      </c>
      <c r="L460">
        <v>0.2</v>
      </c>
      <c r="M460">
        <v>272.2</v>
      </c>
    </row>
    <row r="461" spans="1:13" x14ac:dyDescent="0.3">
      <c r="A461" t="s">
        <v>472</v>
      </c>
      <c r="B461" s="2">
        <v>45974</v>
      </c>
      <c r="C461" s="2">
        <v>45975</v>
      </c>
      <c r="D461" t="s">
        <v>1229</v>
      </c>
      <c r="E461" t="s">
        <v>1513</v>
      </c>
      <c r="F461" t="s">
        <v>1519</v>
      </c>
      <c r="G461" t="s">
        <v>1520</v>
      </c>
      <c r="H461" t="s">
        <v>1523</v>
      </c>
      <c r="I461" t="s">
        <v>1975</v>
      </c>
      <c r="J461">
        <v>288.76</v>
      </c>
      <c r="K461">
        <v>2</v>
      </c>
      <c r="L461">
        <v>0.15</v>
      </c>
      <c r="M461">
        <v>12.81</v>
      </c>
    </row>
    <row r="462" spans="1:13" x14ac:dyDescent="0.3">
      <c r="A462" t="s">
        <v>473</v>
      </c>
      <c r="B462" s="2">
        <v>45759</v>
      </c>
      <c r="C462" s="2">
        <v>45762</v>
      </c>
      <c r="D462" t="s">
        <v>1230</v>
      </c>
      <c r="E462" t="s">
        <v>1513</v>
      </c>
      <c r="F462" t="s">
        <v>1519</v>
      </c>
      <c r="G462" t="s">
        <v>1521</v>
      </c>
      <c r="H462" t="s">
        <v>1528</v>
      </c>
      <c r="I462" t="s">
        <v>1976</v>
      </c>
      <c r="J462">
        <v>1067.2</v>
      </c>
      <c r="K462">
        <v>1</v>
      </c>
      <c r="L462">
        <v>0.1</v>
      </c>
      <c r="M462">
        <v>33.590000000000003</v>
      </c>
    </row>
    <row r="463" spans="1:13" x14ac:dyDescent="0.3">
      <c r="A463" t="s">
        <v>474</v>
      </c>
      <c r="B463" s="2">
        <v>45812</v>
      </c>
      <c r="C463" s="2">
        <v>45815</v>
      </c>
      <c r="D463" t="s">
        <v>1231</v>
      </c>
      <c r="E463" t="s">
        <v>1513</v>
      </c>
      <c r="F463" t="s">
        <v>1519</v>
      </c>
      <c r="G463" t="s">
        <v>1520</v>
      </c>
      <c r="H463" t="s">
        <v>1525</v>
      </c>
      <c r="I463" t="s">
        <v>1977</v>
      </c>
      <c r="J463">
        <v>2123.19</v>
      </c>
      <c r="K463">
        <v>2</v>
      </c>
      <c r="L463">
        <v>0.2</v>
      </c>
      <c r="M463">
        <v>414.7</v>
      </c>
    </row>
    <row r="464" spans="1:13" x14ac:dyDescent="0.3">
      <c r="A464" t="s">
        <v>475</v>
      </c>
      <c r="B464" s="2">
        <v>46165</v>
      </c>
      <c r="C464" s="2">
        <v>46173</v>
      </c>
      <c r="D464" t="s">
        <v>1232</v>
      </c>
      <c r="E464" t="s">
        <v>1513</v>
      </c>
      <c r="F464" t="s">
        <v>1519</v>
      </c>
      <c r="G464" t="s">
        <v>1522</v>
      </c>
      <c r="H464" t="s">
        <v>1531</v>
      </c>
      <c r="I464" t="s">
        <v>1978</v>
      </c>
      <c r="J464">
        <v>1033.3</v>
      </c>
      <c r="K464">
        <v>4</v>
      </c>
      <c r="L464">
        <v>0.1</v>
      </c>
      <c r="M464">
        <v>265.89</v>
      </c>
    </row>
    <row r="465" spans="1:13" x14ac:dyDescent="0.3">
      <c r="A465" t="s">
        <v>476</v>
      </c>
      <c r="B465" s="2">
        <v>45469</v>
      </c>
      <c r="C465" s="2">
        <v>45474</v>
      </c>
      <c r="D465" t="s">
        <v>1233</v>
      </c>
      <c r="E465" t="s">
        <v>1515</v>
      </c>
      <c r="F465" t="s">
        <v>1518</v>
      </c>
      <c r="G465" t="s">
        <v>1520</v>
      </c>
      <c r="H465" t="s">
        <v>1524</v>
      </c>
      <c r="I465" t="s">
        <v>1979</v>
      </c>
      <c r="J465">
        <v>843.85</v>
      </c>
      <c r="K465">
        <v>9</v>
      </c>
      <c r="L465">
        <v>0.15</v>
      </c>
      <c r="M465">
        <v>253.74</v>
      </c>
    </row>
    <row r="466" spans="1:13" x14ac:dyDescent="0.3">
      <c r="A466" t="s">
        <v>477</v>
      </c>
      <c r="B466" s="2">
        <v>45405</v>
      </c>
      <c r="C466" s="2">
        <v>45406</v>
      </c>
      <c r="D466" t="s">
        <v>1234</v>
      </c>
      <c r="E466" t="s">
        <v>1515</v>
      </c>
      <c r="F466" t="s">
        <v>1518</v>
      </c>
      <c r="G466" t="s">
        <v>1521</v>
      </c>
      <c r="H466" t="s">
        <v>1530</v>
      </c>
      <c r="I466" t="s">
        <v>1980</v>
      </c>
      <c r="J466">
        <v>113.11</v>
      </c>
      <c r="K466">
        <v>2</v>
      </c>
      <c r="L466">
        <v>0</v>
      </c>
      <c r="M466">
        <v>29.34</v>
      </c>
    </row>
    <row r="467" spans="1:13" x14ac:dyDescent="0.3">
      <c r="A467" t="s">
        <v>478</v>
      </c>
      <c r="B467" s="2">
        <v>45644</v>
      </c>
      <c r="C467" s="2">
        <v>45653</v>
      </c>
      <c r="D467" t="s">
        <v>1235</v>
      </c>
      <c r="E467" t="s">
        <v>1514</v>
      </c>
      <c r="F467" t="s">
        <v>1519</v>
      </c>
      <c r="G467" t="s">
        <v>1522</v>
      </c>
      <c r="H467" t="s">
        <v>1531</v>
      </c>
      <c r="I467" t="s">
        <v>1981</v>
      </c>
      <c r="J467">
        <v>421.49</v>
      </c>
      <c r="K467">
        <v>2</v>
      </c>
      <c r="L467">
        <v>0.1</v>
      </c>
      <c r="M467">
        <v>65.069999999999993</v>
      </c>
    </row>
    <row r="468" spans="1:13" x14ac:dyDescent="0.3">
      <c r="A468" t="s">
        <v>479</v>
      </c>
      <c r="B468" s="2">
        <v>46039</v>
      </c>
      <c r="C468" s="2">
        <v>46040</v>
      </c>
      <c r="D468" t="s">
        <v>1236</v>
      </c>
      <c r="E468" t="s">
        <v>1514</v>
      </c>
      <c r="F468" t="s">
        <v>1519</v>
      </c>
      <c r="G468" t="s">
        <v>1521</v>
      </c>
      <c r="H468" t="s">
        <v>1526</v>
      </c>
      <c r="I468" t="s">
        <v>1982</v>
      </c>
      <c r="J468">
        <v>544.04999999999995</v>
      </c>
      <c r="K468">
        <v>3</v>
      </c>
      <c r="L468">
        <v>0</v>
      </c>
      <c r="M468">
        <v>146.21</v>
      </c>
    </row>
    <row r="469" spans="1:13" x14ac:dyDescent="0.3">
      <c r="A469" t="s">
        <v>480</v>
      </c>
      <c r="B469" s="2">
        <v>45652</v>
      </c>
      <c r="C469" s="2">
        <v>45654</v>
      </c>
      <c r="D469" t="s">
        <v>1237</v>
      </c>
      <c r="E469" t="s">
        <v>1515</v>
      </c>
      <c r="F469" t="s">
        <v>1517</v>
      </c>
      <c r="G469" t="s">
        <v>1521</v>
      </c>
      <c r="H469" t="s">
        <v>1528</v>
      </c>
      <c r="I469" t="s">
        <v>1983</v>
      </c>
      <c r="J469">
        <v>520.24</v>
      </c>
      <c r="K469">
        <v>1</v>
      </c>
      <c r="L469">
        <v>0</v>
      </c>
      <c r="M469">
        <v>139.74</v>
      </c>
    </row>
    <row r="470" spans="1:13" x14ac:dyDescent="0.3">
      <c r="A470" t="s">
        <v>481</v>
      </c>
      <c r="B470" s="2">
        <v>45257</v>
      </c>
      <c r="C470" s="2">
        <v>45265</v>
      </c>
      <c r="D470" t="s">
        <v>1238</v>
      </c>
      <c r="E470" t="s">
        <v>1514</v>
      </c>
      <c r="F470" t="s">
        <v>1517</v>
      </c>
      <c r="G470" t="s">
        <v>1521</v>
      </c>
      <c r="H470" t="s">
        <v>1526</v>
      </c>
      <c r="I470" t="s">
        <v>1984</v>
      </c>
      <c r="J470">
        <v>4777.6899999999996</v>
      </c>
      <c r="K470">
        <v>5</v>
      </c>
      <c r="M470">
        <v>-711.29</v>
      </c>
    </row>
    <row r="471" spans="1:13" x14ac:dyDescent="0.3">
      <c r="A471" t="s">
        <v>482</v>
      </c>
      <c r="B471" s="2">
        <v>45111</v>
      </c>
      <c r="C471" s="2">
        <v>45118</v>
      </c>
      <c r="D471" t="s">
        <v>1239</v>
      </c>
      <c r="E471" t="s">
        <v>1514</v>
      </c>
      <c r="F471" t="s">
        <v>1518</v>
      </c>
      <c r="G471" t="s">
        <v>1522</v>
      </c>
      <c r="H471" t="s">
        <v>1529</v>
      </c>
      <c r="I471" t="s">
        <v>1985</v>
      </c>
      <c r="J471">
        <v>4813.43</v>
      </c>
      <c r="K471">
        <v>5</v>
      </c>
      <c r="L471">
        <v>0.15</v>
      </c>
      <c r="M471">
        <v>863.75</v>
      </c>
    </row>
    <row r="472" spans="1:13" x14ac:dyDescent="0.3">
      <c r="A472" t="s">
        <v>483</v>
      </c>
      <c r="B472" s="2">
        <v>45327</v>
      </c>
      <c r="C472" s="2">
        <v>45329</v>
      </c>
      <c r="D472" t="s">
        <v>1239</v>
      </c>
      <c r="E472" t="s">
        <v>1515</v>
      </c>
      <c r="F472" t="s">
        <v>1518</v>
      </c>
      <c r="G472" t="s">
        <v>1520</v>
      </c>
      <c r="H472" t="s">
        <v>1523</v>
      </c>
      <c r="I472" t="s">
        <v>1986</v>
      </c>
      <c r="J472">
        <v>705.93</v>
      </c>
      <c r="K472">
        <v>1</v>
      </c>
      <c r="L472">
        <v>0.05</v>
      </c>
      <c r="M472">
        <v>-100.92</v>
      </c>
    </row>
    <row r="473" spans="1:13" x14ac:dyDescent="0.3">
      <c r="A473" t="s">
        <v>484</v>
      </c>
      <c r="B473" s="2">
        <v>45890</v>
      </c>
      <c r="C473" s="2">
        <v>45898</v>
      </c>
      <c r="D473" t="s">
        <v>1240</v>
      </c>
      <c r="E473" t="s">
        <v>1515</v>
      </c>
      <c r="F473" t="s">
        <v>1517</v>
      </c>
      <c r="G473" t="s">
        <v>1520</v>
      </c>
      <c r="H473" t="s">
        <v>1525</v>
      </c>
      <c r="I473" t="s">
        <v>1987</v>
      </c>
      <c r="J473">
        <v>947.24</v>
      </c>
      <c r="K473">
        <v>7</v>
      </c>
      <c r="L473">
        <v>0.1</v>
      </c>
      <c r="M473">
        <v>129.06</v>
      </c>
    </row>
    <row r="474" spans="1:13" x14ac:dyDescent="0.3">
      <c r="A474" t="s">
        <v>485</v>
      </c>
      <c r="B474" t="s">
        <v>774</v>
      </c>
      <c r="C474" s="2">
        <v>46039</v>
      </c>
      <c r="D474" t="s">
        <v>1241</v>
      </c>
      <c r="E474" t="s">
        <v>1515</v>
      </c>
      <c r="F474" t="s">
        <v>1519</v>
      </c>
      <c r="G474" t="s">
        <v>1521</v>
      </c>
      <c r="H474" t="s">
        <v>1526</v>
      </c>
      <c r="I474" t="s">
        <v>1988</v>
      </c>
      <c r="J474">
        <v>4443.59</v>
      </c>
      <c r="K474">
        <v>8</v>
      </c>
      <c r="L474">
        <v>0</v>
      </c>
      <c r="M474">
        <v>-733.93</v>
      </c>
    </row>
    <row r="475" spans="1:13" x14ac:dyDescent="0.3">
      <c r="A475" t="s">
        <v>486</v>
      </c>
      <c r="B475" s="2">
        <v>46160</v>
      </c>
      <c r="C475" s="2">
        <v>46169</v>
      </c>
      <c r="D475" t="s">
        <v>1242</v>
      </c>
      <c r="E475" t="s">
        <v>1515</v>
      </c>
      <c r="F475" t="s">
        <v>1519</v>
      </c>
      <c r="G475" t="s">
        <v>1522</v>
      </c>
      <c r="H475" t="s">
        <v>1527</v>
      </c>
      <c r="I475" t="s">
        <v>1989</v>
      </c>
      <c r="J475">
        <v>3849.27</v>
      </c>
      <c r="K475">
        <v>10</v>
      </c>
      <c r="M475">
        <v>426.33</v>
      </c>
    </row>
    <row r="476" spans="1:13" x14ac:dyDescent="0.3">
      <c r="A476" t="s">
        <v>487</v>
      </c>
      <c r="B476" s="2">
        <v>45222</v>
      </c>
      <c r="C476" s="2">
        <v>45232</v>
      </c>
      <c r="D476" t="s">
        <v>1243</v>
      </c>
      <c r="F476" t="s">
        <v>1518</v>
      </c>
      <c r="G476" t="s">
        <v>1520</v>
      </c>
      <c r="H476" t="s">
        <v>1525</v>
      </c>
      <c r="I476" t="s">
        <v>1990</v>
      </c>
      <c r="J476">
        <v>521.45000000000005</v>
      </c>
      <c r="K476">
        <v>4</v>
      </c>
      <c r="L476">
        <v>0.15</v>
      </c>
      <c r="M476">
        <v>-5.13</v>
      </c>
    </row>
    <row r="477" spans="1:13" x14ac:dyDescent="0.3">
      <c r="A477" t="s">
        <v>488</v>
      </c>
      <c r="B477" s="2">
        <v>45627</v>
      </c>
      <c r="C477" s="2">
        <v>45637</v>
      </c>
      <c r="D477" t="s">
        <v>1244</v>
      </c>
      <c r="E477" t="s">
        <v>1514</v>
      </c>
      <c r="F477" t="s">
        <v>1517</v>
      </c>
      <c r="G477" t="s">
        <v>1522</v>
      </c>
      <c r="H477" t="s">
        <v>1527</v>
      </c>
      <c r="I477" t="s">
        <v>1991</v>
      </c>
      <c r="J477">
        <v>320.10000000000002</v>
      </c>
      <c r="K477">
        <v>3</v>
      </c>
      <c r="L477">
        <v>0.2</v>
      </c>
      <c r="M477">
        <v>85.42</v>
      </c>
    </row>
    <row r="478" spans="1:13" x14ac:dyDescent="0.3">
      <c r="A478" t="s">
        <v>489</v>
      </c>
      <c r="B478" s="2">
        <v>45348</v>
      </c>
      <c r="C478" s="2">
        <v>45354</v>
      </c>
      <c r="D478" t="s">
        <v>1245</v>
      </c>
      <c r="E478" t="s">
        <v>1515</v>
      </c>
      <c r="F478" t="s">
        <v>1518</v>
      </c>
      <c r="G478" t="s">
        <v>1522</v>
      </c>
      <c r="H478" t="s">
        <v>1529</v>
      </c>
      <c r="I478" t="s">
        <v>1992</v>
      </c>
      <c r="J478">
        <v>1242.4100000000001</v>
      </c>
      <c r="K478">
        <v>5</v>
      </c>
      <c r="L478">
        <v>0</v>
      </c>
      <c r="M478">
        <v>97.92</v>
      </c>
    </row>
    <row r="479" spans="1:13" x14ac:dyDescent="0.3">
      <c r="A479" t="s">
        <v>490</v>
      </c>
      <c r="B479" s="2">
        <v>45822</v>
      </c>
      <c r="C479" s="2">
        <v>45824</v>
      </c>
      <c r="D479" t="s">
        <v>1246</v>
      </c>
      <c r="E479" t="s">
        <v>1514</v>
      </c>
      <c r="F479" t="s">
        <v>1518</v>
      </c>
      <c r="G479" t="s">
        <v>1521</v>
      </c>
      <c r="H479" t="s">
        <v>1530</v>
      </c>
      <c r="I479" t="s">
        <v>1993</v>
      </c>
      <c r="J479">
        <v>2322.52</v>
      </c>
      <c r="K479">
        <v>10</v>
      </c>
      <c r="L479">
        <v>0.15</v>
      </c>
      <c r="M479">
        <v>-352.07</v>
      </c>
    </row>
    <row r="480" spans="1:13" x14ac:dyDescent="0.3">
      <c r="A480" t="s">
        <v>491</v>
      </c>
      <c r="B480" s="2">
        <v>45358</v>
      </c>
      <c r="C480" s="2">
        <v>45366</v>
      </c>
      <c r="D480" t="s">
        <v>1247</v>
      </c>
      <c r="E480" t="s">
        <v>1513</v>
      </c>
      <c r="F480" t="s">
        <v>1516</v>
      </c>
      <c r="G480" t="s">
        <v>1521</v>
      </c>
      <c r="H480" t="s">
        <v>1530</v>
      </c>
      <c r="I480" t="s">
        <v>1994</v>
      </c>
      <c r="J480">
        <v>3738.93</v>
      </c>
      <c r="K480">
        <v>1</v>
      </c>
      <c r="L480">
        <v>0</v>
      </c>
      <c r="M480">
        <v>81.849999999999994</v>
      </c>
    </row>
    <row r="481" spans="1:13" x14ac:dyDescent="0.3">
      <c r="A481" t="s">
        <v>492</v>
      </c>
      <c r="B481" s="2">
        <v>46013</v>
      </c>
      <c r="C481" s="2">
        <v>46023</v>
      </c>
      <c r="D481" t="s">
        <v>1248</v>
      </c>
      <c r="E481" t="s">
        <v>1515</v>
      </c>
      <c r="F481" t="s">
        <v>1518</v>
      </c>
      <c r="G481" t="s">
        <v>1522</v>
      </c>
      <c r="H481" t="s">
        <v>1527</v>
      </c>
      <c r="I481" t="s">
        <v>1995</v>
      </c>
      <c r="J481">
        <v>3205.81</v>
      </c>
      <c r="K481">
        <v>9</v>
      </c>
      <c r="L481">
        <v>0.2</v>
      </c>
      <c r="M481">
        <v>-276.44</v>
      </c>
    </row>
    <row r="482" spans="1:13" x14ac:dyDescent="0.3">
      <c r="A482" t="s">
        <v>493</v>
      </c>
      <c r="B482" s="2">
        <v>46124</v>
      </c>
      <c r="C482" s="2">
        <v>46125</v>
      </c>
      <c r="D482" t="s">
        <v>1249</v>
      </c>
      <c r="E482" t="s">
        <v>1515</v>
      </c>
      <c r="F482" t="s">
        <v>1518</v>
      </c>
      <c r="G482" t="s">
        <v>1521</v>
      </c>
      <c r="H482" t="s">
        <v>1526</v>
      </c>
      <c r="I482" t="s">
        <v>1996</v>
      </c>
      <c r="J482">
        <v>4092.11</v>
      </c>
      <c r="K482">
        <v>8</v>
      </c>
      <c r="L482">
        <v>0.1</v>
      </c>
      <c r="M482">
        <v>442.29</v>
      </c>
    </row>
    <row r="483" spans="1:13" x14ac:dyDescent="0.3">
      <c r="A483" t="s">
        <v>494</v>
      </c>
      <c r="B483" s="2">
        <v>45984</v>
      </c>
      <c r="C483" s="2">
        <v>45990</v>
      </c>
      <c r="D483" t="s">
        <v>1250</v>
      </c>
      <c r="E483" t="s">
        <v>1513</v>
      </c>
      <c r="F483" t="s">
        <v>1516</v>
      </c>
      <c r="G483" t="s">
        <v>1520</v>
      </c>
      <c r="H483" t="s">
        <v>1525</v>
      </c>
      <c r="I483" t="s">
        <v>1997</v>
      </c>
      <c r="J483">
        <v>3593.77</v>
      </c>
      <c r="K483">
        <v>2</v>
      </c>
      <c r="L483">
        <v>0</v>
      </c>
      <c r="M483">
        <v>782.1</v>
      </c>
    </row>
    <row r="484" spans="1:13" x14ac:dyDescent="0.3">
      <c r="A484" t="s">
        <v>495</v>
      </c>
      <c r="B484" s="2">
        <v>45829</v>
      </c>
      <c r="C484" s="2">
        <v>45834</v>
      </c>
      <c r="D484" t="s">
        <v>1251</v>
      </c>
      <c r="E484" t="s">
        <v>1513</v>
      </c>
      <c r="F484" t="s">
        <v>1518</v>
      </c>
      <c r="G484" t="s">
        <v>1521</v>
      </c>
      <c r="H484" t="s">
        <v>1526</v>
      </c>
      <c r="I484" t="s">
        <v>1998</v>
      </c>
      <c r="J484">
        <v>2761.07</v>
      </c>
      <c r="K484">
        <v>6</v>
      </c>
      <c r="M484">
        <v>-390.75</v>
      </c>
    </row>
    <row r="485" spans="1:13" x14ac:dyDescent="0.3">
      <c r="A485" t="s">
        <v>496</v>
      </c>
      <c r="B485" s="2">
        <v>45127</v>
      </c>
      <c r="C485" s="2">
        <v>45134</v>
      </c>
      <c r="D485" t="s">
        <v>1252</v>
      </c>
      <c r="E485" t="s">
        <v>1514</v>
      </c>
      <c r="F485" t="s">
        <v>1517</v>
      </c>
      <c r="G485" t="s">
        <v>1522</v>
      </c>
      <c r="H485" t="s">
        <v>1527</v>
      </c>
      <c r="I485" t="s">
        <v>1999</v>
      </c>
      <c r="J485">
        <v>579.46</v>
      </c>
      <c r="K485">
        <v>10</v>
      </c>
      <c r="L485">
        <v>0.05</v>
      </c>
      <c r="M485">
        <v>-56.12</v>
      </c>
    </row>
    <row r="486" spans="1:13" x14ac:dyDescent="0.3">
      <c r="A486" t="s">
        <v>497</v>
      </c>
      <c r="B486" s="2">
        <v>45750</v>
      </c>
      <c r="C486" s="2">
        <v>45756</v>
      </c>
      <c r="D486" t="s">
        <v>1253</v>
      </c>
      <c r="E486" t="s">
        <v>1515</v>
      </c>
      <c r="F486" t="s">
        <v>1516</v>
      </c>
      <c r="G486" t="s">
        <v>1521</v>
      </c>
      <c r="H486" t="s">
        <v>1530</v>
      </c>
      <c r="I486" t="s">
        <v>2000</v>
      </c>
      <c r="J486">
        <v>583.44000000000005</v>
      </c>
      <c r="K486">
        <v>7</v>
      </c>
      <c r="L486">
        <v>0</v>
      </c>
      <c r="M486">
        <v>180.66</v>
      </c>
    </row>
    <row r="487" spans="1:13" x14ac:dyDescent="0.3">
      <c r="A487" t="s">
        <v>498</v>
      </c>
      <c r="B487" s="2">
        <v>45073</v>
      </c>
      <c r="C487" s="2">
        <v>45083</v>
      </c>
      <c r="D487" t="s">
        <v>1254</v>
      </c>
      <c r="E487" t="s">
        <v>1515</v>
      </c>
      <c r="F487" t="s">
        <v>1516</v>
      </c>
      <c r="G487" t="s">
        <v>1521</v>
      </c>
      <c r="H487" t="s">
        <v>1526</v>
      </c>
      <c r="I487" t="s">
        <v>2001</v>
      </c>
      <c r="J487">
        <v>4783.1400000000003</v>
      </c>
      <c r="K487">
        <v>3</v>
      </c>
      <c r="L487">
        <v>0.15</v>
      </c>
      <c r="M487">
        <v>-945.22</v>
      </c>
    </row>
    <row r="488" spans="1:13" x14ac:dyDescent="0.3">
      <c r="A488" t="s">
        <v>499</v>
      </c>
      <c r="B488" s="2">
        <v>45569</v>
      </c>
      <c r="C488" s="2">
        <v>45579</v>
      </c>
      <c r="D488" t="s">
        <v>1255</v>
      </c>
      <c r="E488" t="s">
        <v>1513</v>
      </c>
      <c r="F488" t="s">
        <v>1517</v>
      </c>
      <c r="G488" t="s">
        <v>1520</v>
      </c>
      <c r="H488" t="s">
        <v>1524</v>
      </c>
      <c r="I488" t="s">
        <v>2002</v>
      </c>
      <c r="J488">
        <v>2440.5100000000002</v>
      </c>
      <c r="K488">
        <v>9</v>
      </c>
      <c r="L488">
        <v>0.05</v>
      </c>
      <c r="M488">
        <v>440.51</v>
      </c>
    </row>
    <row r="489" spans="1:13" x14ac:dyDescent="0.3">
      <c r="A489" t="s">
        <v>500</v>
      </c>
      <c r="B489" s="2">
        <v>45992</v>
      </c>
      <c r="C489" s="2">
        <v>46002</v>
      </c>
      <c r="D489" t="s">
        <v>1256</v>
      </c>
      <c r="E489" t="s">
        <v>1514</v>
      </c>
      <c r="F489" t="s">
        <v>1517</v>
      </c>
      <c r="G489" t="s">
        <v>1522</v>
      </c>
      <c r="H489" t="s">
        <v>1529</v>
      </c>
      <c r="I489" t="s">
        <v>2003</v>
      </c>
      <c r="J489">
        <v>3050.5</v>
      </c>
      <c r="K489">
        <v>6</v>
      </c>
      <c r="L489">
        <v>0.2</v>
      </c>
      <c r="M489">
        <v>868.68</v>
      </c>
    </row>
    <row r="490" spans="1:13" x14ac:dyDescent="0.3">
      <c r="A490" t="s">
        <v>501</v>
      </c>
      <c r="B490" s="2">
        <v>45932</v>
      </c>
      <c r="C490" s="2">
        <v>45938</v>
      </c>
      <c r="D490" t="s">
        <v>1257</v>
      </c>
      <c r="E490" t="s">
        <v>1515</v>
      </c>
      <c r="F490" t="s">
        <v>1519</v>
      </c>
      <c r="G490" t="s">
        <v>1521</v>
      </c>
      <c r="H490" t="s">
        <v>1526</v>
      </c>
      <c r="I490" t="s">
        <v>2004</v>
      </c>
      <c r="J490">
        <v>4853.93</v>
      </c>
      <c r="K490">
        <v>8</v>
      </c>
      <c r="L490">
        <v>0.05</v>
      </c>
      <c r="M490">
        <v>-601.89</v>
      </c>
    </row>
    <row r="491" spans="1:13" x14ac:dyDescent="0.3">
      <c r="A491" t="s">
        <v>502</v>
      </c>
      <c r="B491" s="2">
        <v>46054</v>
      </c>
      <c r="C491" s="2">
        <v>46060</v>
      </c>
      <c r="D491" t="s">
        <v>1258</v>
      </c>
      <c r="E491" t="s">
        <v>1513</v>
      </c>
      <c r="F491" t="s">
        <v>1519</v>
      </c>
      <c r="G491" t="s">
        <v>1520</v>
      </c>
      <c r="H491" t="s">
        <v>1525</v>
      </c>
      <c r="I491" t="s">
        <v>2005</v>
      </c>
      <c r="J491">
        <v>3573.78</v>
      </c>
      <c r="K491">
        <v>9</v>
      </c>
      <c r="M491">
        <v>-287.55</v>
      </c>
    </row>
    <row r="492" spans="1:13" x14ac:dyDescent="0.3">
      <c r="A492" t="s">
        <v>503</v>
      </c>
      <c r="B492" s="2">
        <v>45402</v>
      </c>
      <c r="C492" s="2">
        <v>45405</v>
      </c>
      <c r="D492" t="s">
        <v>1259</v>
      </c>
      <c r="E492" t="s">
        <v>1515</v>
      </c>
      <c r="F492" t="s">
        <v>1519</v>
      </c>
      <c r="G492" t="s">
        <v>1520</v>
      </c>
      <c r="H492" t="s">
        <v>1524</v>
      </c>
      <c r="I492" t="s">
        <v>2006</v>
      </c>
      <c r="J492">
        <v>4907.6099999999997</v>
      </c>
      <c r="K492">
        <v>3</v>
      </c>
      <c r="L492">
        <v>0.2</v>
      </c>
      <c r="M492">
        <v>482.76</v>
      </c>
    </row>
    <row r="493" spans="1:13" x14ac:dyDescent="0.3">
      <c r="A493" t="s">
        <v>504</v>
      </c>
      <c r="B493" s="2">
        <v>45452</v>
      </c>
      <c r="C493" s="2">
        <v>45458</v>
      </c>
      <c r="D493" t="s">
        <v>1260</v>
      </c>
      <c r="E493" t="s">
        <v>1515</v>
      </c>
      <c r="F493" t="s">
        <v>1518</v>
      </c>
      <c r="G493" t="s">
        <v>1520</v>
      </c>
      <c r="H493" t="s">
        <v>1523</v>
      </c>
      <c r="I493" t="s">
        <v>2007</v>
      </c>
      <c r="J493">
        <v>2833.29</v>
      </c>
      <c r="K493">
        <v>10</v>
      </c>
      <c r="L493">
        <v>0.2</v>
      </c>
      <c r="M493">
        <v>902.32</v>
      </c>
    </row>
    <row r="494" spans="1:13" x14ac:dyDescent="0.3">
      <c r="A494" t="s">
        <v>505</v>
      </c>
      <c r="B494" s="2">
        <v>45109</v>
      </c>
      <c r="C494" s="2">
        <v>45118</v>
      </c>
      <c r="D494" t="s">
        <v>1261</v>
      </c>
      <c r="E494" t="s">
        <v>1513</v>
      </c>
      <c r="G494" t="s">
        <v>1520</v>
      </c>
      <c r="H494" t="s">
        <v>1525</v>
      </c>
      <c r="I494" t="s">
        <v>2008</v>
      </c>
      <c r="J494">
        <v>1465.34</v>
      </c>
      <c r="K494">
        <v>7</v>
      </c>
      <c r="L494">
        <v>0</v>
      </c>
      <c r="M494">
        <v>128.22</v>
      </c>
    </row>
    <row r="495" spans="1:13" x14ac:dyDescent="0.3">
      <c r="A495" t="s">
        <v>506</v>
      </c>
      <c r="B495" s="2">
        <v>45894</v>
      </c>
      <c r="C495" s="2">
        <v>45895</v>
      </c>
      <c r="D495" t="s">
        <v>1262</v>
      </c>
      <c r="E495" t="s">
        <v>1513</v>
      </c>
      <c r="F495" t="s">
        <v>1516</v>
      </c>
      <c r="G495" t="s">
        <v>1522</v>
      </c>
      <c r="H495" t="s">
        <v>1531</v>
      </c>
      <c r="I495" t="s">
        <v>2009</v>
      </c>
      <c r="J495">
        <v>1039.52</v>
      </c>
      <c r="K495">
        <v>3</v>
      </c>
      <c r="L495">
        <v>0.1</v>
      </c>
      <c r="M495">
        <v>182.81</v>
      </c>
    </row>
    <row r="496" spans="1:13" x14ac:dyDescent="0.3">
      <c r="A496" t="s">
        <v>507</v>
      </c>
      <c r="B496" s="2">
        <v>46003</v>
      </c>
      <c r="C496" s="2">
        <v>46007</v>
      </c>
      <c r="D496" t="s">
        <v>1263</v>
      </c>
      <c r="E496" t="s">
        <v>1513</v>
      </c>
      <c r="F496" t="s">
        <v>1517</v>
      </c>
      <c r="G496" t="s">
        <v>1520</v>
      </c>
      <c r="H496" t="s">
        <v>1524</v>
      </c>
      <c r="I496" t="s">
        <v>2010</v>
      </c>
      <c r="J496">
        <v>3780.29</v>
      </c>
      <c r="K496">
        <v>1</v>
      </c>
      <c r="L496">
        <v>0.1</v>
      </c>
      <c r="M496">
        <v>936.43</v>
      </c>
    </row>
    <row r="497" spans="1:13" x14ac:dyDescent="0.3">
      <c r="A497" t="s">
        <v>508</v>
      </c>
      <c r="B497" s="2">
        <v>45155</v>
      </c>
      <c r="C497" s="2">
        <v>45164</v>
      </c>
      <c r="D497" t="s">
        <v>1264</v>
      </c>
      <c r="E497" t="s">
        <v>1515</v>
      </c>
      <c r="F497" t="s">
        <v>1516</v>
      </c>
      <c r="G497" t="s">
        <v>1520</v>
      </c>
      <c r="H497" t="s">
        <v>1525</v>
      </c>
      <c r="I497" t="s">
        <v>2011</v>
      </c>
      <c r="J497">
        <v>1974.99</v>
      </c>
      <c r="K497">
        <v>9</v>
      </c>
      <c r="M497">
        <v>-82.55</v>
      </c>
    </row>
    <row r="498" spans="1:13" x14ac:dyDescent="0.3">
      <c r="A498" t="s">
        <v>509</v>
      </c>
      <c r="B498" s="2">
        <v>45201</v>
      </c>
      <c r="C498" s="2">
        <v>45208</v>
      </c>
      <c r="D498" t="s">
        <v>1265</v>
      </c>
      <c r="E498" t="s">
        <v>1515</v>
      </c>
      <c r="F498" t="s">
        <v>1519</v>
      </c>
      <c r="G498" t="s">
        <v>1521</v>
      </c>
      <c r="H498" t="s">
        <v>1526</v>
      </c>
      <c r="I498" t="s">
        <v>2012</v>
      </c>
      <c r="J498">
        <v>4785.67</v>
      </c>
      <c r="K498">
        <v>6</v>
      </c>
      <c r="L498">
        <v>0.2</v>
      </c>
      <c r="M498">
        <v>-815.52</v>
      </c>
    </row>
    <row r="499" spans="1:13" x14ac:dyDescent="0.3">
      <c r="A499" t="s">
        <v>510</v>
      </c>
      <c r="B499" s="2">
        <v>45841</v>
      </c>
      <c r="C499" s="2">
        <v>45849</v>
      </c>
      <c r="D499" t="s">
        <v>1266</v>
      </c>
      <c r="E499" t="s">
        <v>1515</v>
      </c>
      <c r="F499" t="s">
        <v>1517</v>
      </c>
      <c r="G499" t="s">
        <v>1522</v>
      </c>
      <c r="H499" t="s">
        <v>1527</v>
      </c>
      <c r="I499" t="s">
        <v>2013</v>
      </c>
      <c r="J499">
        <v>4158.42</v>
      </c>
      <c r="K499">
        <v>6</v>
      </c>
      <c r="L499">
        <v>0.2</v>
      </c>
      <c r="M499">
        <v>418.5</v>
      </c>
    </row>
    <row r="500" spans="1:13" x14ac:dyDescent="0.3">
      <c r="A500" t="s">
        <v>511</v>
      </c>
      <c r="B500" s="2">
        <v>45405</v>
      </c>
      <c r="C500" s="2">
        <v>45410</v>
      </c>
      <c r="D500" t="s">
        <v>1267</v>
      </c>
      <c r="E500" t="s">
        <v>1515</v>
      </c>
      <c r="F500" t="s">
        <v>1516</v>
      </c>
      <c r="G500" t="s">
        <v>1520</v>
      </c>
      <c r="H500" t="s">
        <v>1523</v>
      </c>
      <c r="I500" t="s">
        <v>2014</v>
      </c>
      <c r="J500">
        <v>2271.63</v>
      </c>
      <c r="K500">
        <v>2</v>
      </c>
      <c r="L500">
        <v>0.05</v>
      </c>
      <c r="M500">
        <v>748.19</v>
      </c>
    </row>
    <row r="501" spans="1:13" x14ac:dyDescent="0.3">
      <c r="A501" t="s">
        <v>512</v>
      </c>
      <c r="B501" s="2">
        <v>45154</v>
      </c>
      <c r="C501" s="2">
        <v>45161</v>
      </c>
      <c r="D501" t="s">
        <v>1268</v>
      </c>
      <c r="E501" t="s">
        <v>1514</v>
      </c>
      <c r="F501" t="s">
        <v>1516</v>
      </c>
      <c r="G501" t="s">
        <v>1521</v>
      </c>
      <c r="H501" t="s">
        <v>1530</v>
      </c>
      <c r="I501" t="s">
        <v>1590</v>
      </c>
      <c r="J501">
        <v>1431.61</v>
      </c>
      <c r="K501">
        <v>5</v>
      </c>
      <c r="L501">
        <v>0.05</v>
      </c>
      <c r="M501">
        <v>-159.61000000000001</v>
      </c>
    </row>
    <row r="502" spans="1:13" x14ac:dyDescent="0.3">
      <c r="A502" t="s">
        <v>513</v>
      </c>
      <c r="B502" s="2">
        <v>45854</v>
      </c>
      <c r="C502" s="2">
        <v>45857</v>
      </c>
      <c r="D502" t="s">
        <v>1269</v>
      </c>
      <c r="E502" t="s">
        <v>1515</v>
      </c>
      <c r="F502" t="s">
        <v>1519</v>
      </c>
      <c r="G502" t="s">
        <v>1521</v>
      </c>
      <c r="H502" t="s">
        <v>1526</v>
      </c>
      <c r="I502" t="s">
        <v>2015</v>
      </c>
      <c r="J502">
        <v>247.71</v>
      </c>
      <c r="K502">
        <v>6</v>
      </c>
      <c r="L502">
        <v>0.2</v>
      </c>
      <c r="M502">
        <v>-42.61</v>
      </c>
    </row>
    <row r="503" spans="1:13" x14ac:dyDescent="0.3">
      <c r="A503" t="s">
        <v>514</v>
      </c>
      <c r="B503" s="2">
        <v>45259</v>
      </c>
      <c r="C503" s="2">
        <v>45268</v>
      </c>
      <c r="D503" t="s">
        <v>1270</v>
      </c>
      <c r="E503" t="s">
        <v>1513</v>
      </c>
      <c r="F503" t="s">
        <v>1516</v>
      </c>
      <c r="G503" t="s">
        <v>1521</v>
      </c>
      <c r="H503" t="s">
        <v>1528</v>
      </c>
      <c r="I503" t="s">
        <v>2016</v>
      </c>
      <c r="J503">
        <v>1822.52</v>
      </c>
      <c r="K503">
        <v>6</v>
      </c>
      <c r="L503">
        <v>0.2</v>
      </c>
      <c r="M503">
        <v>-144.02000000000001</v>
      </c>
    </row>
    <row r="504" spans="1:13" x14ac:dyDescent="0.3">
      <c r="A504" t="s">
        <v>515</v>
      </c>
      <c r="B504" s="2">
        <v>45308</v>
      </c>
      <c r="C504" s="2">
        <v>45315</v>
      </c>
      <c r="D504" t="s">
        <v>1271</v>
      </c>
      <c r="E504" t="s">
        <v>1513</v>
      </c>
      <c r="F504" t="s">
        <v>1519</v>
      </c>
      <c r="G504" t="s">
        <v>1520</v>
      </c>
      <c r="H504" t="s">
        <v>1523</v>
      </c>
      <c r="I504" t="s">
        <v>2017</v>
      </c>
      <c r="J504">
        <v>2738.25</v>
      </c>
      <c r="K504">
        <v>7</v>
      </c>
      <c r="L504">
        <v>0</v>
      </c>
      <c r="M504">
        <v>-21.44</v>
      </c>
    </row>
    <row r="505" spans="1:13" x14ac:dyDescent="0.3">
      <c r="A505" t="s">
        <v>516</v>
      </c>
      <c r="B505" s="2">
        <v>45310</v>
      </c>
      <c r="C505" s="2">
        <v>45315</v>
      </c>
      <c r="D505" t="s">
        <v>1272</v>
      </c>
      <c r="E505" t="s">
        <v>1515</v>
      </c>
      <c r="F505" t="s">
        <v>1516</v>
      </c>
      <c r="G505" t="s">
        <v>1521</v>
      </c>
      <c r="H505" t="s">
        <v>1526</v>
      </c>
      <c r="I505" t="s">
        <v>2018</v>
      </c>
      <c r="J505">
        <v>1131.3</v>
      </c>
      <c r="K505">
        <v>10</v>
      </c>
      <c r="L505">
        <v>0.2</v>
      </c>
      <c r="M505">
        <v>69.2</v>
      </c>
    </row>
    <row r="506" spans="1:13" x14ac:dyDescent="0.3">
      <c r="A506" t="s">
        <v>517</v>
      </c>
      <c r="B506" s="2">
        <v>46009</v>
      </c>
      <c r="C506" s="2">
        <v>46015</v>
      </c>
      <c r="D506" t="s">
        <v>1273</v>
      </c>
      <c r="E506" t="s">
        <v>1513</v>
      </c>
      <c r="F506" t="s">
        <v>1519</v>
      </c>
      <c r="G506" t="s">
        <v>1522</v>
      </c>
      <c r="H506" t="s">
        <v>1527</v>
      </c>
      <c r="I506" t="s">
        <v>2019</v>
      </c>
      <c r="J506">
        <v>2256.0500000000002</v>
      </c>
      <c r="K506">
        <v>10</v>
      </c>
      <c r="L506">
        <v>0.2</v>
      </c>
      <c r="M506">
        <v>-148.66</v>
      </c>
    </row>
    <row r="507" spans="1:13" x14ac:dyDescent="0.3">
      <c r="A507" t="s">
        <v>518</v>
      </c>
      <c r="B507" s="2">
        <v>45220</v>
      </c>
      <c r="C507" s="2">
        <v>45227</v>
      </c>
      <c r="D507" t="s">
        <v>1274</v>
      </c>
      <c r="E507" t="s">
        <v>1514</v>
      </c>
      <c r="F507" t="s">
        <v>1518</v>
      </c>
      <c r="G507" t="s">
        <v>1521</v>
      </c>
      <c r="H507" t="s">
        <v>1530</v>
      </c>
      <c r="I507" t="s">
        <v>2020</v>
      </c>
      <c r="J507">
        <v>1320.12</v>
      </c>
      <c r="K507">
        <v>5</v>
      </c>
      <c r="L507">
        <v>0</v>
      </c>
      <c r="M507">
        <v>397.67</v>
      </c>
    </row>
    <row r="508" spans="1:13" x14ac:dyDescent="0.3">
      <c r="A508" t="s">
        <v>519</v>
      </c>
      <c r="B508" s="2">
        <v>45766</v>
      </c>
      <c r="C508" s="2">
        <v>45771</v>
      </c>
      <c r="E508" t="s">
        <v>1513</v>
      </c>
      <c r="F508" t="s">
        <v>1517</v>
      </c>
      <c r="G508" t="s">
        <v>1521</v>
      </c>
      <c r="H508" t="s">
        <v>1530</v>
      </c>
      <c r="I508" t="s">
        <v>2021</v>
      </c>
      <c r="J508">
        <v>4496.49</v>
      </c>
      <c r="K508">
        <v>4</v>
      </c>
      <c r="L508">
        <v>0.1</v>
      </c>
      <c r="M508">
        <v>371.6</v>
      </c>
    </row>
    <row r="509" spans="1:13" x14ac:dyDescent="0.3">
      <c r="A509" t="s">
        <v>520</v>
      </c>
      <c r="B509" s="2">
        <v>45515</v>
      </c>
      <c r="C509" s="2">
        <v>45516</v>
      </c>
      <c r="D509" t="s">
        <v>1275</v>
      </c>
      <c r="E509" t="s">
        <v>1513</v>
      </c>
      <c r="F509" t="s">
        <v>1518</v>
      </c>
      <c r="G509" t="s">
        <v>1520</v>
      </c>
      <c r="H509" t="s">
        <v>1525</v>
      </c>
      <c r="I509" t="s">
        <v>2022</v>
      </c>
      <c r="J509">
        <v>3153.32</v>
      </c>
      <c r="K509">
        <v>4</v>
      </c>
      <c r="M509">
        <v>461.12</v>
      </c>
    </row>
    <row r="510" spans="1:13" x14ac:dyDescent="0.3">
      <c r="A510" t="s">
        <v>521</v>
      </c>
      <c r="B510" s="2">
        <v>45195</v>
      </c>
      <c r="C510" s="2">
        <v>45204</v>
      </c>
      <c r="D510" t="s">
        <v>1276</v>
      </c>
      <c r="E510" t="s">
        <v>1513</v>
      </c>
      <c r="F510" t="s">
        <v>1517</v>
      </c>
      <c r="G510" t="s">
        <v>1522</v>
      </c>
      <c r="H510" t="s">
        <v>1531</v>
      </c>
      <c r="I510" t="s">
        <v>2023</v>
      </c>
      <c r="J510">
        <v>4152.3100000000004</v>
      </c>
      <c r="K510">
        <v>7</v>
      </c>
      <c r="M510">
        <v>1034.82</v>
      </c>
    </row>
    <row r="511" spans="1:13" x14ac:dyDescent="0.3">
      <c r="A511" t="s">
        <v>522</v>
      </c>
      <c r="B511" s="2">
        <v>45368</v>
      </c>
      <c r="C511" s="2">
        <v>45374</v>
      </c>
      <c r="D511" t="s">
        <v>1277</v>
      </c>
      <c r="E511" t="s">
        <v>1514</v>
      </c>
      <c r="F511" t="s">
        <v>1516</v>
      </c>
      <c r="G511" t="s">
        <v>1522</v>
      </c>
      <c r="H511" t="s">
        <v>1529</v>
      </c>
      <c r="I511" t="s">
        <v>2024</v>
      </c>
      <c r="J511">
        <v>237.54</v>
      </c>
      <c r="K511">
        <v>2</v>
      </c>
      <c r="L511">
        <v>0</v>
      </c>
      <c r="M511">
        <v>-24.25</v>
      </c>
    </row>
    <row r="512" spans="1:13" x14ac:dyDescent="0.3">
      <c r="A512" t="s">
        <v>523</v>
      </c>
      <c r="B512" s="2">
        <v>45297</v>
      </c>
      <c r="C512" s="2">
        <v>45302</v>
      </c>
      <c r="D512" t="s">
        <v>1278</v>
      </c>
      <c r="E512" t="s">
        <v>1514</v>
      </c>
      <c r="F512" t="s">
        <v>1516</v>
      </c>
      <c r="G512" t="s">
        <v>1520</v>
      </c>
      <c r="H512" t="s">
        <v>1523</v>
      </c>
      <c r="I512" t="s">
        <v>2025</v>
      </c>
      <c r="J512">
        <v>2067.7800000000002</v>
      </c>
      <c r="K512">
        <v>8</v>
      </c>
      <c r="M512">
        <v>46.41</v>
      </c>
    </row>
    <row r="513" spans="1:13" x14ac:dyDescent="0.3">
      <c r="A513" t="s">
        <v>524</v>
      </c>
      <c r="B513" s="2">
        <v>46087</v>
      </c>
      <c r="C513" s="2">
        <v>46089</v>
      </c>
      <c r="D513" t="s">
        <v>1279</v>
      </c>
      <c r="E513" t="s">
        <v>1515</v>
      </c>
      <c r="F513" t="s">
        <v>1516</v>
      </c>
      <c r="G513" t="s">
        <v>1521</v>
      </c>
      <c r="H513" t="s">
        <v>1528</v>
      </c>
      <c r="I513" t="s">
        <v>2026</v>
      </c>
      <c r="J513">
        <v>2697.43</v>
      </c>
      <c r="K513">
        <v>10</v>
      </c>
      <c r="L513">
        <v>0</v>
      </c>
      <c r="M513">
        <v>582.04999999999995</v>
      </c>
    </row>
    <row r="514" spans="1:13" x14ac:dyDescent="0.3">
      <c r="A514" t="s">
        <v>525</v>
      </c>
      <c r="B514" t="s">
        <v>775</v>
      </c>
      <c r="C514" s="2">
        <v>46091</v>
      </c>
      <c r="D514" t="s">
        <v>1280</v>
      </c>
      <c r="E514" t="s">
        <v>1514</v>
      </c>
      <c r="F514" t="s">
        <v>1516</v>
      </c>
      <c r="G514" t="s">
        <v>1520</v>
      </c>
      <c r="H514" t="s">
        <v>1523</v>
      </c>
      <c r="I514" t="s">
        <v>2027</v>
      </c>
      <c r="J514">
        <v>4643.84</v>
      </c>
      <c r="K514">
        <v>2</v>
      </c>
      <c r="L514">
        <v>0.1</v>
      </c>
      <c r="M514">
        <v>1081.04</v>
      </c>
    </row>
    <row r="515" spans="1:13" x14ac:dyDescent="0.3">
      <c r="A515" t="s">
        <v>526</v>
      </c>
      <c r="B515" s="2">
        <v>45950</v>
      </c>
      <c r="C515" s="2">
        <v>45957</v>
      </c>
      <c r="D515" t="s">
        <v>1281</v>
      </c>
      <c r="E515" t="s">
        <v>1513</v>
      </c>
      <c r="F515" t="s">
        <v>1517</v>
      </c>
      <c r="G515" t="s">
        <v>1521</v>
      </c>
      <c r="H515" t="s">
        <v>1526</v>
      </c>
      <c r="I515" t="s">
        <v>2028</v>
      </c>
      <c r="J515">
        <v>2005.81</v>
      </c>
      <c r="K515">
        <v>1</v>
      </c>
      <c r="L515">
        <v>0.15</v>
      </c>
      <c r="M515">
        <v>-228.71</v>
      </c>
    </row>
    <row r="516" spans="1:13" x14ac:dyDescent="0.3">
      <c r="A516" t="s">
        <v>527</v>
      </c>
      <c r="B516" s="2">
        <v>46107</v>
      </c>
      <c r="C516" s="2">
        <v>46116</v>
      </c>
      <c r="D516" t="s">
        <v>1282</v>
      </c>
      <c r="F516" t="s">
        <v>1519</v>
      </c>
      <c r="G516" t="s">
        <v>1520</v>
      </c>
      <c r="H516" t="s">
        <v>1524</v>
      </c>
      <c r="I516" t="s">
        <v>1599</v>
      </c>
      <c r="J516">
        <v>1510.14</v>
      </c>
      <c r="K516">
        <v>3</v>
      </c>
      <c r="L516">
        <v>0.1</v>
      </c>
      <c r="M516">
        <v>260.51</v>
      </c>
    </row>
    <row r="517" spans="1:13" x14ac:dyDescent="0.3">
      <c r="A517" t="s">
        <v>528</v>
      </c>
      <c r="B517" t="s">
        <v>776</v>
      </c>
      <c r="C517" s="2">
        <v>45702</v>
      </c>
      <c r="D517" t="s">
        <v>1283</v>
      </c>
      <c r="E517" t="s">
        <v>1514</v>
      </c>
      <c r="F517" t="s">
        <v>1516</v>
      </c>
      <c r="G517" t="s">
        <v>1522</v>
      </c>
      <c r="H517" t="s">
        <v>1527</v>
      </c>
      <c r="I517" t="s">
        <v>2029</v>
      </c>
      <c r="J517">
        <v>749.8</v>
      </c>
      <c r="K517">
        <v>1</v>
      </c>
      <c r="L517">
        <v>0</v>
      </c>
      <c r="M517">
        <v>86.22</v>
      </c>
    </row>
    <row r="518" spans="1:13" x14ac:dyDescent="0.3">
      <c r="A518" t="s">
        <v>529</v>
      </c>
      <c r="B518" s="2">
        <v>46159</v>
      </c>
      <c r="C518" s="2">
        <v>46165</v>
      </c>
      <c r="D518" t="s">
        <v>1284</v>
      </c>
      <c r="E518" t="s">
        <v>1513</v>
      </c>
      <c r="F518" t="s">
        <v>1519</v>
      </c>
      <c r="G518" t="s">
        <v>1521</v>
      </c>
      <c r="H518" t="s">
        <v>1530</v>
      </c>
      <c r="I518" t="s">
        <v>2030</v>
      </c>
      <c r="J518">
        <v>1098.0999999999999</v>
      </c>
      <c r="K518">
        <v>9</v>
      </c>
      <c r="L518">
        <v>0.05</v>
      </c>
      <c r="M518">
        <v>-122.41</v>
      </c>
    </row>
    <row r="519" spans="1:13" x14ac:dyDescent="0.3">
      <c r="A519" t="s">
        <v>530</v>
      </c>
      <c r="B519" s="2">
        <v>45920</v>
      </c>
      <c r="C519" s="2">
        <v>45923</v>
      </c>
      <c r="D519" t="s">
        <v>1285</v>
      </c>
      <c r="E519" t="s">
        <v>1515</v>
      </c>
      <c r="F519" t="s">
        <v>1518</v>
      </c>
      <c r="G519" t="s">
        <v>1522</v>
      </c>
      <c r="H519" t="s">
        <v>1531</v>
      </c>
      <c r="I519" t="s">
        <v>2031</v>
      </c>
      <c r="J519">
        <v>3371.34</v>
      </c>
      <c r="K519">
        <v>10</v>
      </c>
      <c r="L519">
        <v>0</v>
      </c>
      <c r="M519">
        <v>904.41</v>
      </c>
    </row>
    <row r="520" spans="1:13" x14ac:dyDescent="0.3">
      <c r="A520" t="s">
        <v>531</v>
      </c>
      <c r="B520" s="2">
        <v>45217</v>
      </c>
      <c r="C520" s="2">
        <v>45219</v>
      </c>
      <c r="D520" t="s">
        <v>1286</v>
      </c>
      <c r="E520" t="s">
        <v>1515</v>
      </c>
      <c r="F520" t="s">
        <v>1518</v>
      </c>
      <c r="G520" t="s">
        <v>1520</v>
      </c>
      <c r="H520" t="s">
        <v>1525</v>
      </c>
      <c r="I520" t="s">
        <v>2032</v>
      </c>
      <c r="J520">
        <v>1488.73</v>
      </c>
      <c r="K520">
        <v>2</v>
      </c>
      <c r="L520">
        <v>0.1</v>
      </c>
      <c r="M520">
        <v>-217.34</v>
      </c>
    </row>
    <row r="521" spans="1:13" x14ac:dyDescent="0.3">
      <c r="A521" t="s">
        <v>532</v>
      </c>
      <c r="B521" s="2">
        <v>45749</v>
      </c>
      <c r="C521" s="2">
        <v>45752</v>
      </c>
      <c r="D521" t="s">
        <v>1287</v>
      </c>
      <c r="E521" t="s">
        <v>1513</v>
      </c>
      <c r="F521" t="s">
        <v>1517</v>
      </c>
      <c r="G521" t="s">
        <v>1521</v>
      </c>
      <c r="H521" t="s">
        <v>1526</v>
      </c>
      <c r="I521" t="s">
        <v>2033</v>
      </c>
      <c r="J521">
        <v>3372.91</v>
      </c>
      <c r="K521">
        <v>4</v>
      </c>
      <c r="L521">
        <v>0</v>
      </c>
      <c r="M521">
        <v>-145.62</v>
      </c>
    </row>
    <row r="522" spans="1:13" x14ac:dyDescent="0.3">
      <c r="A522" t="s">
        <v>533</v>
      </c>
      <c r="B522" s="2">
        <v>45882</v>
      </c>
      <c r="C522" s="2">
        <v>45890</v>
      </c>
      <c r="D522" t="s">
        <v>1288</v>
      </c>
      <c r="E522" t="s">
        <v>1515</v>
      </c>
      <c r="G522" t="s">
        <v>1521</v>
      </c>
      <c r="H522" t="s">
        <v>1526</v>
      </c>
      <c r="I522" t="s">
        <v>2034</v>
      </c>
      <c r="J522">
        <v>1675.31</v>
      </c>
      <c r="K522">
        <v>5</v>
      </c>
      <c r="M522">
        <v>203.2</v>
      </c>
    </row>
    <row r="523" spans="1:13" x14ac:dyDescent="0.3">
      <c r="A523" t="s">
        <v>534</v>
      </c>
      <c r="B523" s="2">
        <v>46137</v>
      </c>
      <c r="C523" s="2">
        <v>46140</v>
      </c>
      <c r="D523" t="s">
        <v>1289</v>
      </c>
      <c r="E523" t="s">
        <v>1515</v>
      </c>
      <c r="F523" t="s">
        <v>1518</v>
      </c>
      <c r="G523" t="s">
        <v>1521</v>
      </c>
      <c r="H523" t="s">
        <v>1526</v>
      </c>
      <c r="I523" t="s">
        <v>2035</v>
      </c>
      <c r="J523">
        <v>73.92</v>
      </c>
      <c r="K523">
        <v>4</v>
      </c>
      <c r="L523">
        <v>0.05</v>
      </c>
      <c r="M523">
        <v>14.17</v>
      </c>
    </row>
    <row r="524" spans="1:13" x14ac:dyDescent="0.3">
      <c r="A524" t="s">
        <v>535</v>
      </c>
      <c r="B524" s="2">
        <v>45733</v>
      </c>
      <c r="C524" s="2">
        <v>45736</v>
      </c>
      <c r="D524" t="s">
        <v>1290</v>
      </c>
      <c r="E524" t="s">
        <v>1514</v>
      </c>
      <c r="F524" t="s">
        <v>1519</v>
      </c>
      <c r="G524" t="s">
        <v>1521</v>
      </c>
      <c r="H524" t="s">
        <v>1526</v>
      </c>
      <c r="I524" t="s">
        <v>2028</v>
      </c>
      <c r="J524">
        <v>3413.92</v>
      </c>
      <c r="K524">
        <v>6</v>
      </c>
      <c r="L524">
        <v>0.15</v>
      </c>
      <c r="M524">
        <v>186.29</v>
      </c>
    </row>
    <row r="525" spans="1:13" x14ac:dyDescent="0.3">
      <c r="A525" t="s">
        <v>536</v>
      </c>
      <c r="B525" s="2">
        <v>45470</v>
      </c>
      <c r="C525" s="2">
        <v>45472</v>
      </c>
      <c r="D525" t="s">
        <v>1291</v>
      </c>
      <c r="E525" t="s">
        <v>1513</v>
      </c>
      <c r="F525" t="s">
        <v>1517</v>
      </c>
      <c r="G525" t="s">
        <v>1521</v>
      </c>
      <c r="H525" t="s">
        <v>1528</v>
      </c>
      <c r="I525" t="s">
        <v>2036</v>
      </c>
      <c r="J525">
        <v>920.06</v>
      </c>
      <c r="K525">
        <v>10</v>
      </c>
      <c r="L525">
        <v>0</v>
      </c>
      <c r="M525">
        <v>241.96</v>
      </c>
    </row>
    <row r="526" spans="1:13" x14ac:dyDescent="0.3">
      <c r="A526" t="s">
        <v>537</v>
      </c>
      <c r="B526" s="2">
        <v>45633</v>
      </c>
      <c r="C526" s="2">
        <v>45635</v>
      </c>
      <c r="D526" t="s">
        <v>1292</v>
      </c>
      <c r="E526" t="s">
        <v>1515</v>
      </c>
      <c r="F526" t="s">
        <v>1518</v>
      </c>
      <c r="G526" t="s">
        <v>1521</v>
      </c>
      <c r="H526" t="s">
        <v>1528</v>
      </c>
      <c r="I526" t="s">
        <v>2037</v>
      </c>
      <c r="J526">
        <v>3650.76</v>
      </c>
      <c r="K526">
        <v>1</v>
      </c>
      <c r="L526">
        <v>0.2</v>
      </c>
      <c r="M526">
        <v>538.1</v>
      </c>
    </row>
    <row r="527" spans="1:13" x14ac:dyDescent="0.3">
      <c r="A527" t="s">
        <v>538</v>
      </c>
      <c r="B527" s="2">
        <v>45401</v>
      </c>
      <c r="C527" s="2">
        <v>45402</v>
      </c>
      <c r="D527" t="s">
        <v>1293</v>
      </c>
      <c r="E527" t="s">
        <v>1513</v>
      </c>
      <c r="F527" t="s">
        <v>1519</v>
      </c>
      <c r="G527" t="s">
        <v>1520</v>
      </c>
      <c r="H527" t="s">
        <v>1523</v>
      </c>
      <c r="I527" t="s">
        <v>2038</v>
      </c>
      <c r="J527">
        <v>2780.39</v>
      </c>
      <c r="K527">
        <v>9</v>
      </c>
      <c r="L527">
        <v>0.2</v>
      </c>
      <c r="M527">
        <v>165.87</v>
      </c>
    </row>
    <row r="528" spans="1:13" x14ac:dyDescent="0.3">
      <c r="A528" t="s">
        <v>539</v>
      </c>
      <c r="B528" s="2">
        <v>45702</v>
      </c>
      <c r="C528" s="2">
        <v>45712</v>
      </c>
      <c r="D528" t="s">
        <v>1294</v>
      </c>
      <c r="E528" t="s">
        <v>1515</v>
      </c>
      <c r="F528" t="s">
        <v>1516</v>
      </c>
      <c r="G528" t="s">
        <v>1521</v>
      </c>
      <c r="H528" t="s">
        <v>1530</v>
      </c>
      <c r="I528" t="s">
        <v>2039</v>
      </c>
      <c r="J528">
        <v>3679.47</v>
      </c>
      <c r="K528">
        <v>5</v>
      </c>
      <c r="L528">
        <v>0.05</v>
      </c>
      <c r="M528">
        <v>204.53</v>
      </c>
    </row>
    <row r="529" spans="1:13" x14ac:dyDescent="0.3">
      <c r="A529" t="s">
        <v>540</v>
      </c>
      <c r="B529" s="2">
        <v>45296</v>
      </c>
      <c r="C529" s="2">
        <v>45305</v>
      </c>
      <c r="D529" t="s">
        <v>1295</v>
      </c>
      <c r="E529" t="s">
        <v>1515</v>
      </c>
      <c r="F529" t="s">
        <v>1517</v>
      </c>
      <c r="G529" t="s">
        <v>1521</v>
      </c>
      <c r="H529" t="s">
        <v>1526</v>
      </c>
      <c r="I529" t="s">
        <v>2040</v>
      </c>
      <c r="J529">
        <v>102.43</v>
      </c>
      <c r="K529">
        <v>4</v>
      </c>
      <c r="L529">
        <v>0.2</v>
      </c>
      <c r="M529">
        <v>18.059999999999999</v>
      </c>
    </row>
    <row r="530" spans="1:13" x14ac:dyDescent="0.3">
      <c r="A530" t="s">
        <v>541</v>
      </c>
      <c r="B530" s="2">
        <v>45579</v>
      </c>
      <c r="C530" s="2">
        <v>45582</v>
      </c>
      <c r="E530" t="s">
        <v>1513</v>
      </c>
      <c r="F530" t="s">
        <v>1518</v>
      </c>
      <c r="G530" t="s">
        <v>1521</v>
      </c>
      <c r="H530" t="s">
        <v>1530</v>
      </c>
      <c r="I530" t="s">
        <v>2041</v>
      </c>
      <c r="J530">
        <v>2853.47</v>
      </c>
      <c r="K530">
        <v>10</v>
      </c>
      <c r="M530">
        <v>798.14</v>
      </c>
    </row>
    <row r="531" spans="1:13" x14ac:dyDescent="0.3">
      <c r="A531" t="s">
        <v>542</v>
      </c>
      <c r="B531" s="2">
        <v>46031</v>
      </c>
      <c r="C531" s="2">
        <v>46035</v>
      </c>
      <c r="D531" t="s">
        <v>1296</v>
      </c>
      <c r="E531" t="s">
        <v>1513</v>
      </c>
      <c r="F531" t="s">
        <v>1516</v>
      </c>
      <c r="G531" t="s">
        <v>1521</v>
      </c>
      <c r="H531" t="s">
        <v>1530</v>
      </c>
      <c r="I531" t="s">
        <v>2042</v>
      </c>
      <c r="J531">
        <v>3819.29</v>
      </c>
      <c r="K531">
        <v>4</v>
      </c>
      <c r="L531">
        <v>0</v>
      </c>
      <c r="M531">
        <v>-208.55</v>
      </c>
    </row>
    <row r="532" spans="1:13" x14ac:dyDescent="0.3">
      <c r="A532" t="s">
        <v>543</v>
      </c>
      <c r="B532" s="2">
        <v>45790</v>
      </c>
      <c r="C532" s="2">
        <v>45799</v>
      </c>
      <c r="D532" t="s">
        <v>1297</v>
      </c>
      <c r="E532" t="s">
        <v>1514</v>
      </c>
      <c r="F532" t="s">
        <v>1516</v>
      </c>
      <c r="G532" t="s">
        <v>1520</v>
      </c>
      <c r="H532" t="s">
        <v>1523</v>
      </c>
      <c r="I532" t="s">
        <v>2043</v>
      </c>
      <c r="J532">
        <v>4543.24</v>
      </c>
      <c r="K532">
        <v>6</v>
      </c>
      <c r="L532">
        <v>0.15</v>
      </c>
      <c r="M532">
        <v>264.97000000000003</v>
      </c>
    </row>
    <row r="533" spans="1:13" x14ac:dyDescent="0.3">
      <c r="A533" t="s">
        <v>544</v>
      </c>
      <c r="B533" s="2">
        <v>45792</v>
      </c>
      <c r="C533" s="2">
        <v>45798</v>
      </c>
      <c r="D533" t="s">
        <v>1298</v>
      </c>
      <c r="E533" t="s">
        <v>1515</v>
      </c>
      <c r="F533" t="s">
        <v>1519</v>
      </c>
      <c r="G533" t="s">
        <v>1522</v>
      </c>
      <c r="H533" t="s">
        <v>1527</v>
      </c>
      <c r="I533" t="s">
        <v>2044</v>
      </c>
      <c r="J533">
        <v>560.96</v>
      </c>
      <c r="K533">
        <v>9</v>
      </c>
      <c r="M533">
        <v>143.78</v>
      </c>
    </row>
    <row r="534" spans="1:13" x14ac:dyDescent="0.3">
      <c r="A534" t="s">
        <v>545</v>
      </c>
      <c r="B534" s="2">
        <v>45256</v>
      </c>
      <c r="C534" s="2">
        <v>45266</v>
      </c>
      <c r="D534" t="s">
        <v>1299</v>
      </c>
      <c r="E534" t="s">
        <v>1513</v>
      </c>
      <c r="F534" t="s">
        <v>1519</v>
      </c>
      <c r="G534" t="s">
        <v>1520</v>
      </c>
      <c r="H534" t="s">
        <v>1525</v>
      </c>
      <c r="I534" t="s">
        <v>2045</v>
      </c>
      <c r="J534">
        <v>910.56</v>
      </c>
      <c r="K534">
        <v>7</v>
      </c>
      <c r="L534">
        <v>0.1</v>
      </c>
      <c r="M534">
        <v>112.2</v>
      </c>
    </row>
    <row r="535" spans="1:13" x14ac:dyDescent="0.3">
      <c r="A535" t="s">
        <v>546</v>
      </c>
      <c r="B535" s="2">
        <v>45258</v>
      </c>
      <c r="C535" s="2">
        <v>45267</v>
      </c>
      <c r="D535" t="s">
        <v>1300</v>
      </c>
      <c r="E535" t="s">
        <v>1515</v>
      </c>
      <c r="F535" t="s">
        <v>1516</v>
      </c>
      <c r="G535" t="s">
        <v>1521</v>
      </c>
      <c r="H535" t="s">
        <v>1530</v>
      </c>
      <c r="I535" t="s">
        <v>2046</v>
      </c>
      <c r="J535">
        <v>2058.92</v>
      </c>
      <c r="K535">
        <v>6</v>
      </c>
      <c r="L535">
        <v>0.15</v>
      </c>
      <c r="M535">
        <v>485.83</v>
      </c>
    </row>
    <row r="536" spans="1:13" x14ac:dyDescent="0.3">
      <c r="A536" t="s">
        <v>547</v>
      </c>
      <c r="B536" s="2">
        <v>45775</v>
      </c>
      <c r="C536" s="2">
        <v>45783</v>
      </c>
      <c r="D536" t="s">
        <v>1301</v>
      </c>
      <c r="E536" t="s">
        <v>1513</v>
      </c>
      <c r="F536" t="s">
        <v>1517</v>
      </c>
      <c r="G536" t="s">
        <v>1520</v>
      </c>
      <c r="H536" t="s">
        <v>1523</v>
      </c>
      <c r="I536" t="s">
        <v>2047</v>
      </c>
      <c r="J536">
        <v>869.75</v>
      </c>
      <c r="K536">
        <v>2</v>
      </c>
      <c r="L536">
        <v>0.2</v>
      </c>
      <c r="M536">
        <v>133.87</v>
      </c>
    </row>
    <row r="537" spans="1:13" x14ac:dyDescent="0.3">
      <c r="A537" t="s">
        <v>548</v>
      </c>
      <c r="B537" s="2">
        <v>45165</v>
      </c>
      <c r="C537" s="2">
        <v>45171</v>
      </c>
      <c r="D537" t="s">
        <v>1302</v>
      </c>
      <c r="E537" t="s">
        <v>1514</v>
      </c>
      <c r="F537" t="s">
        <v>1516</v>
      </c>
      <c r="G537" t="s">
        <v>1522</v>
      </c>
      <c r="H537" t="s">
        <v>1531</v>
      </c>
      <c r="I537" t="s">
        <v>2048</v>
      </c>
      <c r="J537">
        <v>3030</v>
      </c>
      <c r="K537">
        <v>2</v>
      </c>
      <c r="M537">
        <v>-222.13</v>
      </c>
    </row>
    <row r="538" spans="1:13" x14ac:dyDescent="0.3">
      <c r="A538" t="s">
        <v>549</v>
      </c>
      <c r="B538" s="2">
        <v>45920</v>
      </c>
      <c r="C538" s="2">
        <v>45928</v>
      </c>
      <c r="D538" t="s">
        <v>1303</v>
      </c>
      <c r="E538" t="s">
        <v>1514</v>
      </c>
      <c r="F538" t="s">
        <v>1516</v>
      </c>
      <c r="G538" t="s">
        <v>1521</v>
      </c>
      <c r="H538" t="s">
        <v>1528</v>
      </c>
      <c r="I538" t="s">
        <v>2049</v>
      </c>
      <c r="J538">
        <v>2421.15</v>
      </c>
      <c r="K538">
        <v>10</v>
      </c>
      <c r="L538">
        <v>0.05</v>
      </c>
      <c r="M538">
        <v>377.68</v>
      </c>
    </row>
    <row r="539" spans="1:13" x14ac:dyDescent="0.3">
      <c r="A539" t="s">
        <v>550</v>
      </c>
      <c r="B539" s="2">
        <v>45673</v>
      </c>
      <c r="C539" s="2">
        <v>45676</v>
      </c>
      <c r="D539" t="s">
        <v>1304</v>
      </c>
      <c r="E539" t="s">
        <v>1513</v>
      </c>
      <c r="F539" t="s">
        <v>1517</v>
      </c>
      <c r="G539" t="s">
        <v>1522</v>
      </c>
      <c r="H539" t="s">
        <v>1531</v>
      </c>
      <c r="I539" t="s">
        <v>2050</v>
      </c>
      <c r="J539">
        <v>2888.76</v>
      </c>
      <c r="K539">
        <v>3</v>
      </c>
      <c r="L539">
        <v>0.05</v>
      </c>
      <c r="M539">
        <v>422.47</v>
      </c>
    </row>
    <row r="540" spans="1:13" x14ac:dyDescent="0.3">
      <c r="A540" t="s">
        <v>551</v>
      </c>
      <c r="B540" s="2">
        <v>45278</v>
      </c>
      <c r="C540" s="2">
        <v>45283</v>
      </c>
      <c r="D540" t="s">
        <v>1305</v>
      </c>
      <c r="E540" t="s">
        <v>1515</v>
      </c>
      <c r="F540" t="s">
        <v>1516</v>
      </c>
      <c r="G540" t="s">
        <v>1522</v>
      </c>
      <c r="H540" t="s">
        <v>1531</v>
      </c>
      <c r="I540" t="s">
        <v>2051</v>
      </c>
      <c r="J540">
        <v>4616.1099999999997</v>
      </c>
      <c r="K540">
        <v>9</v>
      </c>
      <c r="L540">
        <v>0.15</v>
      </c>
      <c r="M540">
        <v>598.46</v>
      </c>
    </row>
    <row r="541" spans="1:13" x14ac:dyDescent="0.3">
      <c r="A541" t="s">
        <v>552</v>
      </c>
      <c r="B541" s="2">
        <v>45447</v>
      </c>
      <c r="C541" s="2">
        <v>45452</v>
      </c>
      <c r="D541" t="s">
        <v>1306</v>
      </c>
      <c r="E541" t="s">
        <v>1514</v>
      </c>
      <c r="F541" t="s">
        <v>1518</v>
      </c>
      <c r="G541" t="s">
        <v>1520</v>
      </c>
      <c r="H541" t="s">
        <v>1525</v>
      </c>
      <c r="I541" t="s">
        <v>2052</v>
      </c>
      <c r="J541">
        <v>4738.91</v>
      </c>
      <c r="K541">
        <v>4</v>
      </c>
      <c r="L541">
        <v>0.15</v>
      </c>
      <c r="M541">
        <v>633.07000000000005</v>
      </c>
    </row>
    <row r="542" spans="1:13" x14ac:dyDescent="0.3">
      <c r="A542" t="s">
        <v>553</v>
      </c>
      <c r="B542" s="2">
        <v>45385</v>
      </c>
      <c r="C542" s="2">
        <v>45392</v>
      </c>
      <c r="D542" t="s">
        <v>1307</v>
      </c>
      <c r="E542" t="s">
        <v>1515</v>
      </c>
      <c r="F542" t="s">
        <v>1519</v>
      </c>
      <c r="G542" t="s">
        <v>1522</v>
      </c>
      <c r="H542" t="s">
        <v>1531</v>
      </c>
      <c r="I542" t="s">
        <v>2053</v>
      </c>
      <c r="J542">
        <v>3024.15</v>
      </c>
      <c r="K542">
        <v>10</v>
      </c>
      <c r="L542">
        <v>0.05</v>
      </c>
      <c r="M542">
        <v>431.75</v>
      </c>
    </row>
    <row r="543" spans="1:13" x14ac:dyDescent="0.3">
      <c r="A543" t="s">
        <v>554</v>
      </c>
      <c r="B543" s="2">
        <v>45266</v>
      </c>
      <c r="C543" s="2">
        <v>45272</v>
      </c>
      <c r="D543" t="s">
        <v>1308</v>
      </c>
      <c r="E543" t="s">
        <v>1514</v>
      </c>
      <c r="F543" t="s">
        <v>1518</v>
      </c>
      <c r="G543" t="s">
        <v>1522</v>
      </c>
      <c r="H543" t="s">
        <v>1527</v>
      </c>
      <c r="I543" t="s">
        <v>2054</v>
      </c>
      <c r="J543">
        <v>4615.6400000000003</v>
      </c>
      <c r="K543">
        <v>10</v>
      </c>
      <c r="L543">
        <v>0.2</v>
      </c>
      <c r="M543">
        <v>-748.36</v>
      </c>
    </row>
    <row r="544" spans="1:13" x14ac:dyDescent="0.3">
      <c r="A544" t="s">
        <v>555</v>
      </c>
      <c r="B544" s="2">
        <v>45478</v>
      </c>
      <c r="C544" s="2">
        <v>45479</v>
      </c>
      <c r="D544" t="s">
        <v>1309</v>
      </c>
      <c r="E544" t="s">
        <v>1513</v>
      </c>
      <c r="F544" t="s">
        <v>1516</v>
      </c>
      <c r="G544" t="s">
        <v>1522</v>
      </c>
      <c r="H544" t="s">
        <v>1531</v>
      </c>
      <c r="I544" t="s">
        <v>2055</v>
      </c>
      <c r="J544">
        <v>1051.6300000000001</v>
      </c>
      <c r="K544">
        <v>9</v>
      </c>
      <c r="M544">
        <v>32.479999999999997</v>
      </c>
    </row>
    <row r="545" spans="1:13" x14ac:dyDescent="0.3">
      <c r="A545" t="s">
        <v>556</v>
      </c>
      <c r="B545" s="2">
        <v>45199</v>
      </c>
      <c r="C545" s="2">
        <v>45209</v>
      </c>
      <c r="D545" t="s">
        <v>1310</v>
      </c>
      <c r="E545" t="s">
        <v>1513</v>
      </c>
      <c r="F545" t="s">
        <v>1518</v>
      </c>
      <c r="G545" t="s">
        <v>1522</v>
      </c>
      <c r="H545" t="s">
        <v>1529</v>
      </c>
      <c r="I545" t="s">
        <v>2056</v>
      </c>
      <c r="J545">
        <v>3019.08</v>
      </c>
      <c r="K545">
        <v>9</v>
      </c>
      <c r="L545">
        <v>0.2</v>
      </c>
      <c r="M545">
        <v>645.51</v>
      </c>
    </row>
    <row r="546" spans="1:13" x14ac:dyDescent="0.3">
      <c r="A546" t="s">
        <v>557</v>
      </c>
      <c r="B546" s="2">
        <v>45573</v>
      </c>
      <c r="C546" s="2">
        <v>45583</v>
      </c>
      <c r="D546" t="s">
        <v>1311</v>
      </c>
      <c r="E546" t="s">
        <v>1515</v>
      </c>
      <c r="F546" t="s">
        <v>1518</v>
      </c>
      <c r="G546" t="s">
        <v>1520</v>
      </c>
      <c r="H546" t="s">
        <v>1523</v>
      </c>
      <c r="I546" t="s">
        <v>2057</v>
      </c>
      <c r="J546">
        <v>2719.47</v>
      </c>
      <c r="K546">
        <v>1</v>
      </c>
      <c r="M546">
        <v>427.17</v>
      </c>
    </row>
    <row r="547" spans="1:13" x14ac:dyDescent="0.3">
      <c r="A547" t="s">
        <v>558</v>
      </c>
      <c r="B547" s="2">
        <v>45421</v>
      </c>
      <c r="C547" s="2">
        <v>45430</v>
      </c>
      <c r="D547" t="s">
        <v>1312</v>
      </c>
      <c r="E547" t="s">
        <v>1515</v>
      </c>
      <c r="F547" t="s">
        <v>1516</v>
      </c>
      <c r="G547" t="s">
        <v>1521</v>
      </c>
      <c r="H547" t="s">
        <v>1530</v>
      </c>
      <c r="I547" t="s">
        <v>2058</v>
      </c>
      <c r="J547">
        <v>2173.33</v>
      </c>
      <c r="K547">
        <v>8</v>
      </c>
      <c r="L547">
        <v>0.15</v>
      </c>
      <c r="M547">
        <v>-15.68</v>
      </c>
    </row>
    <row r="548" spans="1:13" x14ac:dyDescent="0.3">
      <c r="A548" t="s">
        <v>559</v>
      </c>
      <c r="B548" s="2">
        <v>45595</v>
      </c>
      <c r="C548" s="2">
        <v>45600</v>
      </c>
      <c r="D548" t="s">
        <v>1313</v>
      </c>
      <c r="E548" t="s">
        <v>1515</v>
      </c>
      <c r="F548" t="s">
        <v>1518</v>
      </c>
      <c r="G548" t="s">
        <v>1521</v>
      </c>
      <c r="H548" t="s">
        <v>1530</v>
      </c>
      <c r="I548" t="s">
        <v>2059</v>
      </c>
      <c r="J548">
        <v>2411.85</v>
      </c>
      <c r="K548">
        <v>4</v>
      </c>
      <c r="L548">
        <v>0</v>
      </c>
      <c r="M548">
        <v>-106.61</v>
      </c>
    </row>
    <row r="549" spans="1:13" x14ac:dyDescent="0.3">
      <c r="A549" t="s">
        <v>560</v>
      </c>
      <c r="B549" s="2">
        <v>45622</v>
      </c>
      <c r="C549" s="2">
        <v>45623</v>
      </c>
      <c r="D549" t="s">
        <v>1314</v>
      </c>
      <c r="E549" t="s">
        <v>1515</v>
      </c>
      <c r="F549" t="s">
        <v>1516</v>
      </c>
      <c r="G549" t="s">
        <v>1521</v>
      </c>
      <c r="H549" t="s">
        <v>1530</v>
      </c>
      <c r="I549" t="s">
        <v>2060</v>
      </c>
      <c r="J549">
        <v>3560.29</v>
      </c>
      <c r="K549">
        <v>1</v>
      </c>
      <c r="L549">
        <v>0.2</v>
      </c>
      <c r="M549">
        <v>311.16000000000003</v>
      </c>
    </row>
    <row r="550" spans="1:13" x14ac:dyDescent="0.3">
      <c r="A550" t="s">
        <v>561</v>
      </c>
      <c r="B550" s="2">
        <v>45303</v>
      </c>
      <c r="C550" s="2">
        <v>45307</v>
      </c>
      <c r="D550" t="s">
        <v>1315</v>
      </c>
      <c r="E550" t="s">
        <v>1513</v>
      </c>
      <c r="F550" t="s">
        <v>1518</v>
      </c>
      <c r="G550" t="s">
        <v>1521</v>
      </c>
      <c r="H550" t="s">
        <v>1528</v>
      </c>
      <c r="I550" t="s">
        <v>2061</v>
      </c>
      <c r="J550">
        <v>3454.45</v>
      </c>
      <c r="K550">
        <v>6</v>
      </c>
      <c r="L550">
        <v>0.15</v>
      </c>
      <c r="M550">
        <v>-2.6</v>
      </c>
    </row>
    <row r="551" spans="1:13" x14ac:dyDescent="0.3">
      <c r="A551" t="s">
        <v>562</v>
      </c>
      <c r="B551" s="2">
        <v>45235</v>
      </c>
      <c r="C551" s="2">
        <v>45240</v>
      </c>
      <c r="D551" t="s">
        <v>1316</v>
      </c>
      <c r="E551" t="s">
        <v>1515</v>
      </c>
      <c r="F551" t="s">
        <v>1519</v>
      </c>
      <c r="G551" t="s">
        <v>1520</v>
      </c>
      <c r="H551" t="s">
        <v>1525</v>
      </c>
      <c r="I551" t="s">
        <v>2062</v>
      </c>
      <c r="J551">
        <v>1343.45</v>
      </c>
      <c r="K551">
        <v>9</v>
      </c>
      <c r="L551">
        <v>0.15</v>
      </c>
      <c r="M551">
        <v>148.54</v>
      </c>
    </row>
    <row r="552" spans="1:13" x14ac:dyDescent="0.3">
      <c r="A552" t="s">
        <v>563</v>
      </c>
      <c r="B552" s="2">
        <v>45896</v>
      </c>
      <c r="C552" s="2">
        <v>45900</v>
      </c>
      <c r="D552" t="s">
        <v>1317</v>
      </c>
      <c r="E552" t="s">
        <v>1515</v>
      </c>
      <c r="F552" t="s">
        <v>1518</v>
      </c>
      <c r="G552" t="s">
        <v>1520</v>
      </c>
      <c r="H552" t="s">
        <v>1524</v>
      </c>
      <c r="I552" t="s">
        <v>2063</v>
      </c>
      <c r="J552">
        <v>2095.48</v>
      </c>
      <c r="K552">
        <v>9</v>
      </c>
      <c r="L552">
        <v>0.15</v>
      </c>
      <c r="M552">
        <v>-213.12</v>
      </c>
    </row>
    <row r="553" spans="1:13" x14ac:dyDescent="0.3">
      <c r="A553" t="s">
        <v>564</v>
      </c>
      <c r="B553" s="2">
        <v>45933</v>
      </c>
      <c r="C553" s="2">
        <v>45943</v>
      </c>
      <c r="D553" t="s">
        <v>1318</v>
      </c>
      <c r="E553" t="s">
        <v>1515</v>
      </c>
      <c r="F553" t="s">
        <v>1516</v>
      </c>
      <c r="G553" t="s">
        <v>1521</v>
      </c>
      <c r="H553" t="s">
        <v>1526</v>
      </c>
      <c r="I553" t="s">
        <v>2064</v>
      </c>
      <c r="J553">
        <v>1754.56</v>
      </c>
      <c r="K553">
        <v>7</v>
      </c>
      <c r="M553">
        <v>-217.67</v>
      </c>
    </row>
    <row r="554" spans="1:13" x14ac:dyDescent="0.3">
      <c r="A554" t="s">
        <v>565</v>
      </c>
      <c r="B554" s="2">
        <v>45457</v>
      </c>
      <c r="C554" s="2">
        <v>45465</v>
      </c>
      <c r="D554" t="s">
        <v>1319</v>
      </c>
      <c r="E554" t="s">
        <v>1514</v>
      </c>
      <c r="F554" t="s">
        <v>1519</v>
      </c>
      <c r="G554" t="s">
        <v>1520</v>
      </c>
      <c r="H554" t="s">
        <v>1523</v>
      </c>
      <c r="I554" t="s">
        <v>2065</v>
      </c>
      <c r="J554">
        <v>3926.39</v>
      </c>
      <c r="K554">
        <v>3</v>
      </c>
      <c r="L554">
        <v>0</v>
      </c>
      <c r="M554">
        <v>-322.14999999999998</v>
      </c>
    </row>
    <row r="555" spans="1:13" x14ac:dyDescent="0.3">
      <c r="A555" t="s">
        <v>566</v>
      </c>
      <c r="B555" s="2">
        <v>45860</v>
      </c>
      <c r="C555" s="2">
        <v>45861</v>
      </c>
      <c r="D555" t="s">
        <v>1320</v>
      </c>
      <c r="E555" t="s">
        <v>1514</v>
      </c>
      <c r="F555" t="s">
        <v>1518</v>
      </c>
      <c r="G555" t="s">
        <v>1520</v>
      </c>
      <c r="H555" t="s">
        <v>1525</v>
      </c>
      <c r="I555" t="s">
        <v>2066</v>
      </c>
      <c r="J555">
        <v>845.65</v>
      </c>
      <c r="K555">
        <v>1</v>
      </c>
      <c r="L555">
        <v>0</v>
      </c>
      <c r="M555">
        <v>213.77</v>
      </c>
    </row>
    <row r="556" spans="1:13" x14ac:dyDescent="0.3">
      <c r="A556" t="s">
        <v>567</v>
      </c>
      <c r="B556" s="2">
        <v>45866</v>
      </c>
      <c r="C556" s="2">
        <v>45871</v>
      </c>
      <c r="D556" t="s">
        <v>1321</v>
      </c>
      <c r="E556" t="s">
        <v>1514</v>
      </c>
      <c r="F556" t="s">
        <v>1518</v>
      </c>
      <c r="G556" t="s">
        <v>1522</v>
      </c>
      <c r="H556" t="s">
        <v>1531</v>
      </c>
      <c r="I556" t="s">
        <v>2067</v>
      </c>
      <c r="J556">
        <v>1147.76</v>
      </c>
      <c r="K556">
        <v>2</v>
      </c>
      <c r="L556">
        <v>0.2</v>
      </c>
      <c r="M556">
        <v>-205.72</v>
      </c>
    </row>
    <row r="557" spans="1:13" x14ac:dyDescent="0.3">
      <c r="A557" t="s">
        <v>568</v>
      </c>
      <c r="B557" s="2">
        <v>45692</v>
      </c>
      <c r="C557" s="2">
        <v>45701</v>
      </c>
      <c r="D557" t="s">
        <v>1322</v>
      </c>
      <c r="E557" t="s">
        <v>1513</v>
      </c>
      <c r="F557" t="s">
        <v>1518</v>
      </c>
      <c r="G557" t="s">
        <v>1520</v>
      </c>
      <c r="H557" t="s">
        <v>1525</v>
      </c>
      <c r="I557" t="s">
        <v>2068</v>
      </c>
      <c r="J557">
        <v>1468.02</v>
      </c>
      <c r="K557">
        <v>10</v>
      </c>
      <c r="L557">
        <v>0</v>
      </c>
      <c r="M557">
        <v>469.98</v>
      </c>
    </row>
    <row r="558" spans="1:13" x14ac:dyDescent="0.3">
      <c r="A558" t="s">
        <v>569</v>
      </c>
      <c r="B558" s="2">
        <v>46026</v>
      </c>
      <c r="C558" s="2">
        <v>46030</v>
      </c>
      <c r="D558" t="s">
        <v>1323</v>
      </c>
      <c r="E558" t="s">
        <v>1515</v>
      </c>
      <c r="F558" t="s">
        <v>1517</v>
      </c>
      <c r="G558" t="s">
        <v>1521</v>
      </c>
      <c r="H558" t="s">
        <v>1530</v>
      </c>
      <c r="I558" t="s">
        <v>2069</v>
      </c>
      <c r="J558">
        <v>4260.3100000000004</v>
      </c>
      <c r="K558">
        <v>9</v>
      </c>
      <c r="L558">
        <v>0.1</v>
      </c>
      <c r="M558">
        <v>-395.74</v>
      </c>
    </row>
    <row r="559" spans="1:13" x14ac:dyDescent="0.3">
      <c r="A559" t="s">
        <v>570</v>
      </c>
      <c r="B559" s="2">
        <v>46146</v>
      </c>
      <c r="C559" s="2">
        <v>46147</v>
      </c>
      <c r="D559" t="s">
        <v>1324</v>
      </c>
      <c r="E559" t="s">
        <v>1514</v>
      </c>
      <c r="F559" t="s">
        <v>1518</v>
      </c>
      <c r="G559" t="s">
        <v>1520</v>
      </c>
      <c r="H559" t="s">
        <v>1523</v>
      </c>
      <c r="I559" t="s">
        <v>2070</v>
      </c>
      <c r="J559">
        <v>1830.71</v>
      </c>
      <c r="K559">
        <v>1</v>
      </c>
      <c r="L559">
        <v>0.05</v>
      </c>
      <c r="M559">
        <v>-278.7</v>
      </c>
    </row>
    <row r="560" spans="1:13" x14ac:dyDescent="0.3">
      <c r="A560" t="s">
        <v>571</v>
      </c>
      <c r="B560" s="2">
        <v>45330</v>
      </c>
      <c r="C560" s="2">
        <v>45337</v>
      </c>
      <c r="D560" t="s">
        <v>1325</v>
      </c>
      <c r="E560" t="s">
        <v>1515</v>
      </c>
      <c r="F560" t="s">
        <v>1516</v>
      </c>
      <c r="G560" t="s">
        <v>1521</v>
      </c>
      <c r="H560" t="s">
        <v>1528</v>
      </c>
      <c r="I560" t="s">
        <v>2071</v>
      </c>
      <c r="J560">
        <v>2056.98</v>
      </c>
      <c r="K560">
        <v>4</v>
      </c>
      <c r="L560">
        <v>0.2</v>
      </c>
      <c r="M560">
        <v>-394.01</v>
      </c>
    </row>
    <row r="561" spans="1:13" x14ac:dyDescent="0.3">
      <c r="A561" t="s">
        <v>572</v>
      </c>
      <c r="B561" s="2">
        <v>45201</v>
      </c>
      <c r="C561" s="2">
        <v>45206</v>
      </c>
      <c r="D561" t="s">
        <v>1326</v>
      </c>
      <c r="E561" t="s">
        <v>1514</v>
      </c>
      <c r="F561" t="s">
        <v>1517</v>
      </c>
      <c r="G561" t="s">
        <v>1522</v>
      </c>
      <c r="H561" t="s">
        <v>1527</v>
      </c>
      <c r="I561" t="s">
        <v>2072</v>
      </c>
      <c r="J561">
        <v>3644.39</v>
      </c>
      <c r="K561">
        <v>9</v>
      </c>
      <c r="L561">
        <v>0.2</v>
      </c>
      <c r="M561">
        <v>-31.15</v>
      </c>
    </row>
    <row r="562" spans="1:13" x14ac:dyDescent="0.3">
      <c r="A562" t="s">
        <v>573</v>
      </c>
      <c r="B562" s="2">
        <v>45219</v>
      </c>
      <c r="C562" s="2">
        <v>45227</v>
      </c>
      <c r="D562" t="s">
        <v>1327</v>
      </c>
      <c r="E562" t="s">
        <v>1514</v>
      </c>
      <c r="F562" t="s">
        <v>1516</v>
      </c>
      <c r="G562" t="s">
        <v>1520</v>
      </c>
      <c r="H562" t="s">
        <v>1523</v>
      </c>
      <c r="I562" t="s">
        <v>2073</v>
      </c>
      <c r="J562">
        <v>4652.08</v>
      </c>
      <c r="K562">
        <v>10</v>
      </c>
      <c r="L562">
        <v>0</v>
      </c>
      <c r="M562">
        <v>-262.33</v>
      </c>
    </row>
    <row r="563" spans="1:13" x14ac:dyDescent="0.3">
      <c r="A563" t="s">
        <v>574</v>
      </c>
      <c r="B563" s="2">
        <v>45881</v>
      </c>
      <c r="C563" s="2">
        <v>45890</v>
      </c>
      <c r="D563" t="s">
        <v>1328</v>
      </c>
      <c r="E563" t="s">
        <v>1515</v>
      </c>
      <c r="F563" t="s">
        <v>1519</v>
      </c>
      <c r="G563" t="s">
        <v>1520</v>
      </c>
      <c r="H563" t="s">
        <v>1523</v>
      </c>
      <c r="I563" t="s">
        <v>2074</v>
      </c>
      <c r="J563">
        <v>1506.55</v>
      </c>
      <c r="K563">
        <v>2</v>
      </c>
      <c r="L563">
        <v>0.2</v>
      </c>
      <c r="M563">
        <v>491.42</v>
      </c>
    </row>
    <row r="564" spans="1:13" x14ac:dyDescent="0.3">
      <c r="A564" t="s">
        <v>575</v>
      </c>
      <c r="B564" s="2">
        <v>45568</v>
      </c>
      <c r="C564" s="2">
        <v>45575</v>
      </c>
      <c r="D564" t="s">
        <v>1329</v>
      </c>
      <c r="E564" t="s">
        <v>1514</v>
      </c>
      <c r="F564" t="s">
        <v>1518</v>
      </c>
      <c r="G564" t="s">
        <v>1520</v>
      </c>
      <c r="H564" t="s">
        <v>1524</v>
      </c>
      <c r="I564" t="s">
        <v>2075</v>
      </c>
      <c r="J564">
        <v>2837.68</v>
      </c>
      <c r="K564">
        <v>4</v>
      </c>
      <c r="L564">
        <v>0.1</v>
      </c>
      <c r="M564">
        <v>932.69</v>
      </c>
    </row>
    <row r="565" spans="1:13" x14ac:dyDescent="0.3">
      <c r="A565" t="s">
        <v>576</v>
      </c>
      <c r="B565" s="2">
        <v>45523</v>
      </c>
      <c r="C565" s="2">
        <v>45531</v>
      </c>
      <c r="D565" t="s">
        <v>1330</v>
      </c>
      <c r="E565" t="s">
        <v>1513</v>
      </c>
      <c r="F565" t="s">
        <v>1517</v>
      </c>
      <c r="G565" t="s">
        <v>1520</v>
      </c>
      <c r="H565" t="s">
        <v>1523</v>
      </c>
      <c r="I565" t="s">
        <v>2076</v>
      </c>
      <c r="J565">
        <v>625.53</v>
      </c>
      <c r="K565">
        <v>2</v>
      </c>
      <c r="L565">
        <v>0.15</v>
      </c>
      <c r="M565">
        <v>92.9</v>
      </c>
    </row>
    <row r="566" spans="1:13" x14ac:dyDescent="0.3">
      <c r="A566" t="s">
        <v>577</v>
      </c>
      <c r="B566" s="2">
        <v>45892</v>
      </c>
      <c r="C566" s="2">
        <v>45898</v>
      </c>
      <c r="D566" t="s">
        <v>1331</v>
      </c>
      <c r="E566" t="s">
        <v>1513</v>
      </c>
      <c r="F566" t="s">
        <v>1519</v>
      </c>
      <c r="G566" t="s">
        <v>1521</v>
      </c>
      <c r="H566" t="s">
        <v>1526</v>
      </c>
      <c r="I566" t="s">
        <v>2077</v>
      </c>
      <c r="J566">
        <v>2606.6999999999998</v>
      </c>
      <c r="K566">
        <v>1</v>
      </c>
      <c r="M566">
        <v>671.74</v>
      </c>
    </row>
    <row r="567" spans="1:13" x14ac:dyDescent="0.3">
      <c r="A567" t="s">
        <v>578</v>
      </c>
      <c r="B567" s="2">
        <v>45795</v>
      </c>
      <c r="C567" s="2">
        <v>45801</v>
      </c>
      <c r="D567" t="s">
        <v>1332</v>
      </c>
      <c r="E567" t="s">
        <v>1513</v>
      </c>
      <c r="F567" t="s">
        <v>1519</v>
      </c>
      <c r="G567" t="s">
        <v>1522</v>
      </c>
      <c r="H567" t="s">
        <v>1529</v>
      </c>
      <c r="I567" t="s">
        <v>2078</v>
      </c>
      <c r="J567">
        <v>426.34</v>
      </c>
      <c r="K567">
        <v>3</v>
      </c>
      <c r="L567">
        <v>0.15</v>
      </c>
      <c r="M567">
        <v>-11.67</v>
      </c>
    </row>
    <row r="568" spans="1:13" x14ac:dyDescent="0.3">
      <c r="A568" t="s">
        <v>579</v>
      </c>
      <c r="B568" s="2">
        <v>45976</v>
      </c>
      <c r="C568" s="2">
        <v>45980</v>
      </c>
      <c r="D568" t="s">
        <v>1333</v>
      </c>
      <c r="E568" t="s">
        <v>1514</v>
      </c>
      <c r="F568" t="s">
        <v>1517</v>
      </c>
      <c r="G568" t="s">
        <v>1522</v>
      </c>
      <c r="H568" t="s">
        <v>1527</v>
      </c>
      <c r="I568" t="s">
        <v>2079</v>
      </c>
      <c r="J568">
        <v>2520.0500000000002</v>
      </c>
      <c r="K568">
        <v>4</v>
      </c>
      <c r="L568">
        <v>0.05</v>
      </c>
      <c r="M568">
        <v>515.30999999999995</v>
      </c>
    </row>
    <row r="569" spans="1:13" x14ac:dyDescent="0.3">
      <c r="A569" t="s">
        <v>580</v>
      </c>
      <c r="B569" s="2">
        <v>45774</v>
      </c>
      <c r="C569" s="2">
        <v>45778</v>
      </c>
      <c r="D569" t="s">
        <v>1334</v>
      </c>
      <c r="E569" t="s">
        <v>1513</v>
      </c>
      <c r="F569" t="s">
        <v>1516</v>
      </c>
      <c r="G569" t="s">
        <v>1522</v>
      </c>
      <c r="H569" t="s">
        <v>1531</v>
      </c>
      <c r="I569" t="s">
        <v>2080</v>
      </c>
      <c r="J569">
        <v>4189.8599999999997</v>
      </c>
      <c r="K569">
        <v>6</v>
      </c>
      <c r="L569">
        <v>0.05</v>
      </c>
      <c r="M569">
        <v>957.03</v>
      </c>
    </row>
    <row r="570" spans="1:13" x14ac:dyDescent="0.3">
      <c r="A570" t="s">
        <v>581</v>
      </c>
      <c r="B570" s="2">
        <v>45617</v>
      </c>
      <c r="C570" s="2">
        <v>45625</v>
      </c>
      <c r="D570" t="s">
        <v>1335</v>
      </c>
      <c r="E570" t="s">
        <v>1514</v>
      </c>
      <c r="F570" t="s">
        <v>1519</v>
      </c>
      <c r="G570" t="s">
        <v>1520</v>
      </c>
      <c r="H570" t="s">
        <v>1525</v>
      </c>
      <c r="I570" t="s">
        <v>2081</v>
      </c>
      <c r="J570">
        <v>3088.44</v>
      </c>
      <c r="K570">
        <v>9</v>
      </c>
      <c r="L570">
        <v>0</v>
      </c>
      <c r="M570">
        <v>822.78</v>
      </c>
    </row>
    <row r="571" spans="1:13" x14ac:dyDescent="0.3">
      <c r="A571" t="s">
        <v>582</v>
      </c>
      <c r="B571" s="2">
        <v>46122</v>
      </c>
      <c r="C571" s="2">
        <v>46127</v>
      </c>
      <c r="D571" t="s">
        <v>1336</v>
      </c>
      <c r="E571" t="s">
        <v>1515</v>
      </c>
      <c r="F571" t="s">
        <v>1517</v>
      </c>
      <c r="G571" t="s">
        <v>1521</v>
      </c>
      <c r="H571" t="s">
        <v>1528</v>
      </c>
      <c r="I571" t="s">
        <v>1756</v>
      </c>
      <c r="J571">
        <v>2479.4899999999998</v>
      </c>
      <c r="K571">
        <v>9</v>
      </c>
      <c r="L571">
        <v>0.1</v>
      </c>
      <c r="M571">
        <v>46.7</v>
      </c>
    </row>
    <row r="572" spans="1:13" x14ac:dyDescent="0.3">
      <c r="A572" t="s">
        <v>583</v>
      </c>
      <c r="B572" s="2">
        <v>45126</v>
      </c>
      <c r="C572" s="2">
        <v>45133</v>
      </c>
      <c r="D572" t="s">
        <v>1337</v>
      </c>
      <c r="E572" t="s">
        <v>1514</v>
      </c>
      <c r="F572" t="s">
        <v>1517</v>
      </c>
      <c r="G572" t="s">
        <v>1522</v>
      </c>
      <c r="H572" t="s">
        <v>1527</v>
      </c>
      <c r="I572" t="s">
        <v>2082</v>
      </c>
      <c r="J572">
        <v>2417.6799999999998</v>
      </c>
      <c r="K572">
        <v>9</v>
      </c>
      <c r="L572">
        <v>0</v>
      </c>
      <c r="M572">
        <v>184.62</v>
      </c>
    </row>
    <row r="573" spans="1:13" x14ac:dyDescent="0.3">
      <c r="A573" t="s">
        <v>584</v>
      </c>
      <c r="B573" s="2">
        <v>45174</v>
      </c>
      <c r="C573" s="2">
        <v>45183</v>
      </c>
      <c r="D573" t="s">
        <v>1338</v>
      </c>
      <c r="E573" t="s">
        <v>1514</v>
      </c>
      <c r="F573" t="s">
        <v>1516</v>
      </c>
      <c r="G573" t="s">
        <v>1521</v>
      </c>
      <c r="H573" t="s">
        <v>1530</v>
      </c>
      <c r="I573" t="s">
        <v>2083</v>
      </c>
      <c r="J573">
        <v>2327.35</v>
      </c>
      <c r="K573">
        <v>1</v>
      </c>
      <c r="L573">
        <v>0</v>
      </c>
      <c r="M573">
        <v>397.41</v>
      </c>
    </row>
    <row r="574" spans="1:13" x14ac:dyDescent="0.3">
      <c r="A574" t="s">
        <v>585</v>
      </c>
      <c r="B574" s="2">
        <v>45476</v>
      </c>
      <c r="C574" s="2">
        <v>45486</v>
      </c>
      <c r="D574" t="s">
        <v>1339</v>
      </c>
      <c r="E574" t="s">
        <v>1514</v>
      </c>
      <c r="F574" t="s">
        <v>1518</v>
      </c>
      <c r="G574" t="s">
        <v>1521</v>
      </c>
      <c r="H574" t="s">
        <v>1526</v>
      </c>
      <c r="I574" t="s">
        <v>2084</v>
      </c>
      <c r="J574">
        <v>4316.12</v>
      </c>
      <c r="K574">
        <v>3</v>
      </c>
      <c r="L574">
        <v>0.2</v>
      </c>
      <c r="M574">
        <v>-239.26</v>
      </c>
    </row>
    <row r="575" spans="1:13" x14ac:dyDescent="0.3">
      <c r="A575" t="s">
        <v>586</v>
      </c>
      <c r="B575" s="2">
        <v>45125</v>
      </c>
      <c r="C575" s="2">
        <v>45131</v>
      </c>
      <c r="D575" t="s">
        <v>1340</v>
      </c>
      <c r="E575" t="s">
        <v>1514</v>
      </c>
      <c r="F575" t="s">
        <v>1519</v>
      </c>
      <c r="G575" t="s">
        <v>1520</v>
      </c>
      <c r="H575" t="s">
        <v>1524</v>
      </c>
      <c r="I575" t="s">
        <v>2085</v>
      </c>
      <c r="J575">
        <v>960.37</v>
      </c>
      <c r="K575">
        <v>7</v>
      </c>
      <c r="L575">
        <v>0.05</v>
      </c>
      <c r="M575">
        <v>29.29</v>
      </c>
    </row>
    <row r="576" spans="1:13" x14ac:dyDescent="0.3">
      <c r="A576" t="s">
        <v>587</v>
      </c>
      <c r="B576" s="2">
        <v>45692</v>
      </c>
      <c r="C576" s="2">
        <v>45700</v>
      </c>
      <c r="D576" t="s">
        <v>1341</v>
      </c>
      <c r="E576" t="s">
        <v>1513</v>
      </c>
      <c r="F576" t="s">
        <v>1519</v>
      </c>
      <c r="G576" t="s">
        <v>1521</v>
      </c>
      <c r="H576" t="s">
        <v>1526</v>
      </c>
      <c r="I576" t="s">
        <v>2086</v>
      </c>
      <c r="J576">
        <v>940.45</v>
      </c>
      <c r="K576">
        <v>3</v>
      </c>
      <c r="L576">
        <v>0.2</v>
      </c>
      <c r="M576">
        <v>166.75</v>
      </c>
    </row>
    <row r="577" spans="1:13" x14ac:dyDescent="0.3">
      <c r="A577" t="s">
        <v>588</v>
      </c>
      <c r="B577" s="2">
        <v>45097</v>
      </c>
      <c r="C577" s="2">
        <v>45104</v>
      </c>
      <c r="D577" t="s">
        <v>1342</v>
      </c>
      <c r="E577" t="s">
        <v>1515</v>
      </c>
      <c r="F577" t="s">
        <v>1517</v>
      </c>
      <c r="G577" t="s">
        <v>1522</v>
      </c>
      <c r="H577" t="s">
        <v>1527</v>
      </c>
      <c r="I577" t="s">
        <v>2087</v>
      </c>
      <c r="J577">
        <v>4288.7299999999996</v>
      </c>
      <c r="K577">
        <v>4</v>
      </c>
      <c r="L577">
        <v>0.05</v>
      </c>
      <c r="M577">
        <v>1029.3800000000001</v>
      </c>
    </row>
    <row r="578" spans="1:13" x14ac:dyDescent="0.3">
      <c r="A578" t="s">
        <v>589</v>
      </c>
      <c r="B578" s="2">
        <v>46024</v>
      </c>
      <c r="C578" s="2">
        <v>46027</v>
      </c>
      <c r="D578" t="s">
        <v>1343</v>
      </c>
      <c r="E578" t="s">
        <v>1515</v>
      </c>
      <c r="F578" t="s">
        <v>1519</v>
      </c>
      <c r="G578" t="s">
        <v>1521</v>
      </c>
      <c r="H578" t="s">
        <v>1530</v>
      </c>
      <c r="I578" t="s">
        <v>2088</v>
      </c>
      <c r="J578">
        <v>2136.5300000000002</v>
      </c>
      <c r="K578">
        <v>3</v>
      </c>
      <c r="M578">
        <v>180.22</v>
      </c>
    </row>
    <row r="579" spans="1:13" x14ac:dyDescent="0.3">
      <c r="A579" t="s">
        <v>590</v>
      </c>
      <c r="B579" s="2">
        <v>45926</v>
      </c>
      <c r="C579" s="2">
        <v>45931</v>
      </c>
      <c r="D579" t="s">
        <v>1344</v>
      </c>
      <c r="E579" t="s">
        <v>1515</v>
      </c>
      <c r="F579" t="s">
        <v>1517</v>
      </c>
      <c r="G579" t="s">
        <v>1521</v>
      </c>
      <c r="H579" t="s">
        <v>1526</v>
      </c>
      <c r="I579" t="s">
        <v>2089</v>
      </c>
      <c r="J579">
        <v>2832.59</v>
      </c>
      <c r="K579">
        <v>10</v>
      </c>
      <c r="L579">
        <v>0</v>
      </c>
      <c r="M579">
        <v>54.16</v>
      </c>
    </row>
    <row r="580" spans="1:13" x14ac:dyDescent="0.3">
      <c r="A580" t="s">
        <v>591</v>
      </c>
      <c r="B580" s="2">
        <v>45604</v>
      </c>
      <c r="C580" s="2">
        <v>45609</v>
      </c>
      <c r="D580" t="s">
        <v>1345</v>
      </c>
      <c r="E580" t="s">
        <v>1514</v>
      </c>
      <c r="F580" t="s">
        <v>1519</v>
      </c>
      <c r="G580" t="s">
        <v>1522</v>
      </c>
      <c r="H580" t="s">
        <v>1531</v>
      </c>
      <c r="I580" t="s">
        <v>2090</v>
      </c>
      <c r="J580">
        <v>2408.87</v>
      </c>
      <c r="K580">
        <v>2</v>
      </c>
      <c r="L580">
        <v>0.15</v>
      </c>
      <c r="M580">
        <v>504.72</v>
      </c>
    </row>
    <row r="581" spans="1:13" x14ac:dyDescent="0.3">
      <c r="A581" t="s">
        <v>592</v>
      </c>
      <c r="B581" s="2">
        <v>45777</v>
      </c>
      <c r="C581" s="2">
        <v>45786</v>
      </c>
      <c r="D581" t="s">
        <v>1346</v>
      </c>
      <c r="E581" t="s">
        <v>1513</v>
      </c>
      <c r="F581" t="s">
        <v>1519</v>
      </c>
      <c r="G581" t="s">
        <v>1521</v>
      </c>
      <c r="H581" t="s">
        <v>1528</v>
      </c>
      <c r="I581" t="s">
        <v>2037</v>
      </c>
      <c r="J581">
        <v>4662.63</v>
      </c>
      <c r="K581">
        <v>5</v>
      </c>
      <c r="L581">
        <v>0.1</v>
      </c>
      <c r="M581">
        <v>-881.66</v>
      </c>
    </row>
    <row r="582" spans="1:13" x14ac:dyDescent="0.3">
      <c r="A582" t="s">
        <v>593</v>
      </c>
      <c r="B582" s="2">
        <v>45660</v>
      </c>
      <c r="C582" s="2">
        <v>45664</v>
      </c>
      <c r="D582" t="s">
        <v>1347</v>
      </c>
      <c r="E582" t="s">
        <v>1514</v>
      </c>
      <c r="F582" t="s">
        <v>1519</v>
      </c>
      <c r="G582" t="s">
        <v>1520</v>
      </c>
      <c r="H582" t="s">
        <v>1525</v>
      </c>
      <c r="I582" t="s">
        <v>2091</v>
      </c>
      <c r="J582">
        <v>2905.43</v>
      </c>
      <c r="K582">
        <v>9</v>
      </c>
      <c r="L582">
        <v>0.05</v>
      </c>
      <c r="M582">
        <v>983.94</v>
      </c>
    </row>
    <row r="583" spans="1:13" x14ac:dyDescent="0.3">
      <c r="A583" t="s">
        <v>594</v>
      </c>
      <c r="B583" t="s">
        <v>777</v>
      </c>
      <c r="C583" s="2">
        <v>45247</v>
      </c>
      <c r="D583" t="s">
        <v>1348</v>
      </c>
      <c r="E583" t="s">
        <v>1514</v>
      </c>
      <c r="F583" t="s">
        <v>1518</v>
      </c>
      <c r="G583" t="s">
        <v>1521</v>
      </c>
      <c r="H583" t="s">
        <v>1528</v>
      </c>
      <c r="I583" t="s">
        <v>2092</v>
      </c>
      <c r="J583">
        <v>2463.09</v>
      </c>
      <c r="K583">
        <v>8</v>
      </c>
      <c r="L583">
        <v>0</v>
      </c>
      <c r="M583">
        <v>23.62</v>
      </c>
    </row>
    <row r="584" spans="1:13" x14ac:dyDescent="0.3">
      <c r="A584" t="s">
        <v>595</v>
      </c>
      <c r="B584" s="2">
        <v>45662</v>
      </c>
      <c r="C584" s="2">
        <v>45665</v>
      </c>
      <c r="D584" t="s">
        <v>1349</v>
      </c>
      <c r="E584" t="s">
        <v>1515</v>
      </c>
      <c r="F584" t="s">
        <v>1518</v>
      </c>
      <c r="G584" t="s">
        <v>1520</v>
      </c>
      <c r="H584" t="s">
        <v>1523</v>
      </c>
      <c r="I584" t="s">
        <v>2093</v>
      </c>
      <c r="J584">
        <v>3220.87</v>
      </c>
      <c r="K584">
        <v>6</v>
      </c>
      <c r="L584">
        <v>0.15</v>
      </c>
      <c r="M584">
        <v>474.11</v>
      </c>
    </row>
    <row r="585" spans="1:13" x14ac:dyDescent="0.3">
      <c r="A585" t="s">
        <v>596</v>
      </c>
      <c r="B585" s="2">
        <v>45571</v>
      </c>
      <c r="C585" s="2">
        <v>45574</v>
      </c>
      <c r="D585" t="s">
        <v>1350</v>
      </c>
      <c r="E585" t="s">
        <v>1515</v>
      </c>
      <c r="F585" t="s">
        <v>1519</v>
      </c>
      <c r="G585" t="s">
        <v>1522</v>
      </c>
      <c r="H585" t="s">
        <v>1531</v>
      </c>
      <c r="I585" t="s">
        <v>2094</v>
      </c>
      <c r="J585">
        <v>1750.95</v>
      </c>
      <c r="K585">
        <v>6</v>
      </c>
      <c r="L585">
        <v>0.1</v>
      </c>
      <c r="M585">
        <v>278.68</v>
      </c>
    </row>
    <row r="586" spans="1:13" x14ac:dyDescent="0.3">
      <c r="A586" t="s">
        <v>597</v>
      </c>
      <c r="B586" s="2">
        <v>45157</v>
      </c>
      <c r="C586" s="2">
        <v>45164</v>
      </c>
      <c r="D586" t="s">
        <v>1351</v>
      </c>
      <c r="E586" t="s">
        <v>1515</v>
      </c>
      <c r="F586" t="s">
        <v>1518</v>
      </c>
      <c r="G586" t="s">
        <v>1520</v>
      </c>
      <c r="H586" t="s">
        <v>1525</v>
      </c>
      <c r="I586" t="s">
        <v>2095</v>
      </c>
      <c r="J586">
        <v>1392.68</v>
      </c>
      <c r="K586">
        <v>8</v>
      </c>
      <c r="L586">
        <v>0.1</v>
      </c>
      <c r="M586">
        <v>294.33</v>
      </c>
    </row>
    <row r="587" spans="1:13" x14ac:dyDescent="0.3">
      <c r="A587" t="s">
        <v>598</v>
      </c>
      <c r="B587" s="2">
        <v>45545</v>
      </c>
      <c r="C587" s="2">
        <v>45548</v>
      </c>
      <c r="D587" t="s">
        <v>1352</v>
      </c>
      <c r="E587" t="s">
        <v>1514</v>
      </c>
      <c r="F587" t="s">
        <v>1516</v>
      </c>
      <c r="G587" t="s">
        <v>1521</v>
      </c>
      <c r="H587" t="s">
        <v>1530</v>
      </c>
      <c r="I587" t="s">
        <v>2096</v>
      </c>
      <c r="J587">
        <v>4278.3500000000004</v>
      </c>
      <c r="K587">
        <v>3</v>
      </c>
      <c r="M587">
        <v>-303.57</v>
      </c>
    </row>
    <row r="588" spans="1:13" x14ac:dyDescent="0.3">
      <c r="A588" t="s">
        <v>599</v>
      </c>
      <c r="B588" s="2">
        <v>45173</v>
      </c>
      <c r="C588" s="2">
        <v>45180</v>
      </c>
      <c r="D588" t="s">
        <v>1353</v>
      </c>
      <c r="E588" t="s">
        <v>1513</v>
      </c>
      <c r="F588" t="s">
        <v>1518</v>
      </c>
      <c r="G588" t="s">
        <v>1522</v>
      </c>
      <c r="H588" t="s">
        <v>1531</v>
      </c>
      <c r="I588" t="s">
        <v>2097</v>
      </c>
      <c r="J588">
        <v>559.9</v>
      </c>
      <c r="K588">
        <v>2</v>
      </c>
      <c r="L588">
        <v>0.15</v>
      </c>
      <c r="M588">
        <v>56.91</v>
      </c>
    </row>
    <row r="589" spans="1:13" x14ac:dyDescent="0.3">
      <c r="A589" t="s">
        <v>600</v>
      </c>
      <c r="B589" s="2">
        <v>46087</v>
      </c>
      <c r="C589" s="2">
        <v>46089</v>
      </c>
      <c r="D589" t="s">
        <v>1354</v>
      </c>
      <c r="E589" t="s">
        <v>1514</v>
      </c>
      <c r="F589" t="s">
        <v>1519</v>
      </c>
      <c r="G589" t="s">
        <v>1520</v>
      </c>
      <c r="H589" t="s">
        <v>1523</v>
      </c>
      <c r="I589" t="s">
        <v>2098</v>
      </c>
      <c r="J589">
        <v>1349.14</v>
      </c>
      <c r="K589">
        <v>3</v>
      </c>
      <c r="L589">
        <v>0</v>
      </c>
      <c r="M589">
        <v>216.08</v>
      </c>
    </row>
    <row r="590" spans="1:13" x14ac:dyDescent="0.3">
      <c r="A590" t="s">
        <v>601</v>
      </c>
      <c r="B590" s="2">
        <v>45676</v>
      </c>
      <c r="C590" s="2">
        <v>45681</v>
      </c>
      <c r="D590" t="s">
        <v>1355</v>
      </c>
      <c r="E590" t="s">
        <v>1513</v>
      </c>
      <c r="F590" t="s">
        <v>1516</v>
      </c>
      <c r="G590" t="s">
        <v>1522</v>
      </c>
      <c r="H590" t="s">
        <v>1531</v>
      </c>
      <c r="I590" t="s">
        <v>2099</v>
      </c>
      <c r="J590">
        <v>2243.64</v>
      </c>
      <c r="K590">
        <v>3</v>
      </c>
      <c r="L590">
        <v>0.05</v>
      </c>
      <c r="M590">
        <v>201.27</v>
      </c>
    </row>
    <row r="591" spans="1:13" x14ac:dyDescent="0.3">
      <c r="A591" t="s">
        <v>602</v>
      </c>
      <c r="B591" s="2">
        <v>45074</v>
      </c>
      <c r="C591" s="2">
        <v>45080</v>
      </c>
      <c r="D591" t="s">
        <v>1356</v>
      </c>
      <c r="E591" t="s">
        <v>1515</v>
      </c>
      <c r="F591" t="s">
        <v>1519</v>
      </c>
      <c r="G591" t="s">
        <v>1522</v>
      </c>
      <c r="H591" t="s">
        <v>1527</v>
      </c>
      <c r="I591" t="s">
        <v>2100</v>
      </c>
      <c r="J591">
        <v>4308.83</v>
      </c>
      <c r="K591">
        <v>6</v>
      </c>
      <c r="L591">
        <v>0.15</v>
      </c>
      <c r="M591">
        <v>245.42</v>
      </c>
    </row>
    <row r="592" spans="1:13" x14ac:dyDescent="0.3">
      <c r="A592" t="s">
        <v>603</v>
      </c>
      <c r="B592" s="2">
        <v>45336</v>
      </c>
      <c r="C592" s="2">
        <v>45339</v>
      </c>
      <c r="D592" t="s">
        <v>1357</v>
      </c>
      <c r="E592" t="s">
        <v>1514</v>
      </c>
      <c r="F592" t="s">
        <v>1518</v>
      </c>
      <c r="G592" t="s">
        <v>1520</v>
      </c>
      <c r="H592" t="s">
        <v>1524</v>
      </c>
      <c r="I592" t="s">
        <v>2101</v>
      </c>
      <c r="J592">
        <v>4849.2299999999996</v>
      </c>
      <c r="K592">
        <v>9</v>
      </c>
      <c r="L592">
        <v>0.05</v>
      </c>
      <c r="M592">
        <v>605.95000000000005</v>
      </c>
    </row>
    <row r="593" spans="1:13" x14ac:dyDescent="0.3">
      <c r="A593" t="s">
        <v>604</v>
      </c>
      <c r="B593" s="2">
        <v>45858</v>
      </c>
      <c r="C593" s="2">
        <v>45867</v>
      </c>
      <c r="D593" t="s">
        <v>1358</v>
      </c>
      <c r="E593" t="s">
        <v>1513</v>
      </c>
      <c r="F593" t="s">
        <v>1518</v>
      </c>
      <c r="G593" t="s">
        <v>1520</v>
      </c>
      <c r="H593" t="s">
        <v>1525</v>
      </c>
      <c r="I593" t="s">
        <v>2102</v>
      </c>
      <c r="J593">
        <v>1582.82</v>
      </c>
      <c r="K593">
        <v>6</v>
      </c>
      <c r="L593">
        <v>0.15</v>
      </c>
      <c r="M593">
        <v>153.24</v>
      </c>
    </row>
    <row r="594" spans="1:13" x14ac:dyDescent="0.3">
      <c r="A594" t="s">
        <v>605</v>
      </c>
      <c r="B594" s="2">
        <v>46039</v>
      </c>
      <c r="C594" s="2">
        <v>46046</v>
      </c>
      <c r="D594" t="s">
        <v>1359</v>
      </c>
      <c r="E594" t="s">
        <v>1513</v>
      </c>
      <c r="F594" t="s">
        <v>1519</v>
      </c>
      <c r="G594" t="s">
        <v>1521</v>
      </c>
      <c r="H594" t="s">
        <v>1526</v>
      </c>
      <c r="I594" t="s">
        <v>2103</v>
      </c>
      <c r="J594">
        <v>1336.04</v>
      </c>
      <c r="K594">
        <v>5</v>
      </c>
      <c r="L594">
        <v>0</v>
      </c>
      <c r="M594">
        <v>-267.14</v>
      </c>
    </row>
    <row r="595" spans="1:13" x14ac:dyDescent="0.3">
      <c r="A595" t="s">
        <v>606</v>
      </c>
      <c r="B595" s="2">
        <v>45794</v>
      </c>
      <c r="C595" s="2">
        <v>45803</v>
      </c>
      <c r="D595" t="s">
        <v>1360</v>
      </c>
      <c r="E595" t="s">
        <v>1514</v>
      </c>
      <c r="F595" t="s">
        <v>1519</v>
      </c>
      <c r="G595" t="s">
        <v>1521</v>
      </c>
      <c r="H595" t="s">
        <v>1526</v>
      </c>
      <c r="I595" t="s">
        <v>2104</v>
      </c>
      <c r="J595">
        <v>91.17</v>
      </c>
      <c r="K595">
        <v>8</v>
      </c>
      <c r="L595">
        <v>0.15</v>
      </c>
      <c r="M595">
        <v>-3.21</v>
      </c>
    </row>
    <row r="596" spans="1:13" x14ac:dyDescent="0.3">
      <c r="A596" t="s">
        <v>607</v>
      </c>
      <c r="B596" s="2">
        <v>45087</v>
      </c>
      <c r="C596" s="2">
        <v>45088</v>
      </c>
      <c r="D596" t="s">
        <v>1361</v>
      </c>
      <c r="E596" t="s">
        <v>1514</v>
      </c>
      <c r="F596" t="s">
        <v>1518</v>
      </c>
      <c r="G596" t="s">
        <v>1520</v>
      </c>
      <c r="H596" t="s">
        <v>1523</v>
      </c>
      <c r="I596" t="s">
        <v>2105</v>
      </c>
      <c r="J596">
        <v>2763.65</v>
      </c>
      <c r="K596">
        <v>4</v>
      </c>
      <c r="L596">
        <v>0.15</v>
      </c>
      <c r="M596">
        <v>788.16</v>
      </c>
    </row>
    <row r="597" spans="1:13" x14ac:dyDescent="0.3">
      <c r="A597" t="s">
        <v>608</v>
      </c>
      <c r="B597" s="2">
        <v>45113</v>
      </c>
      <c r="C597" s="2">
        <v>45120</v>
      </c>
      <c r="D597" t="s">
        <v>1362</v>
      </c>
      <c r="E597" t="s">
        <v>1515</v>
      </c>
      <c r="F597" t="s">
        <v>1517</v>
      </c>
      <c r="G597" t="s">
        <v>1522</v>
      </c>
      <c r="H597" t="s">
        <v>1531</v>
      </c>
      <c r="I597" t="s">
        <v>2106</v>
      </c>
      <c r="J597">
        <v>4150.71</v>
      </c>
      <c r="K597">
        <v>4</v>
      </c>
      <c r="L597">
        <v>0.1</v>
      </c>
      <c r="M597">
        <v>-649.30999999999995</v>
      </c>
    </row>
    <row r="598" spans="1:13" x14ac:dyDescent="0.3">
      <c r="A598" t="s">
        <v>609</v>
      </c>
      <c r="B598" s="2">
        <v>45375</v>
      </c>
      <c r="C598" s="2">
        <v>45380</v>
      </c>
      <c r="D598" t="s">
        <v>1363</v>
      </c>
      <c r="E598" t="s">
        <v>1513</v>
      </c>
      <c r="F598" t="s">
        <v>1517</v>
      </c>
      <c r="G598" t="s">
        <v>1520</v>
      </c>
      <c r="H598" t="s">
        <v>1525</v>
      </c>
      <c r="I598" t="s">
        <v>2107</v>
      </c>
      <c r="J598">
        <v>1459.15</v>
      </c>
      <c r="K598">
        <v>9</v>
      </c>
      <c r="L598">
        <v>0.1</v>
      </c>
      <c r="M598">
        <v>39.54</v>
      </c>
    </row>
    <row r="599" spans="1:13" x14ac:dyDescent="0.3">
      <c r="A599" t="s">
        <v>610</v>
      </c>
      <c r="B599" s="2">
        <v>46061</v>
      </c>
      <c r="C599" s="2">
        <v>46063</v>
      </c>
      <c r="D599" t="s">
        <v>1364</v>
      </c>
      <c r="E599" t="s">
        <v>1515</v>
      </c>
      <c r="F599" t="s">
        <v>1518</v>
      </c>
      <c r="G599" t="s">
        <v>1522</v>
      </c>
      <c r="H599" t="s">
        <v>1529</v>
      </c>
      <c r="I599" t="s">
        <v>2108</v>
      </c>
      <c r="J599">
        <v>3202.62</v>
      </c>
      <c r="K599">
        <v>10</v>
      </c>
      <c r="L599">
        <v>0.15</v>
      </c>
      <c r="M599">
        <v>-161.18</v>
      </c>
    </row>
    <row r="600" spans="1:13" x14ac:dyDescent="0.3">
      <c r="A600" t="s">
        <v>611</v>
      </c>
      <c r="B600" s="2">
        <v>45174</v>
      </c>
      <c r="C600" s="2">
        <v>45175</v>
      </c>
      <c r="D600" t="s">
        <v>1365</v>
      </c>
      <c r="E600" t="s">
        <v>1513</v>
      </c>
      <c r="F600" t="s">
        <v>1519</v>
      </c>
      <c r="G600" t="s">
        <v>1522</v>
      </c>
      <c r="H600" t="s">
        <v>1529</v>
      </c>
      <c r="I600" t="s">
        <v>2109</v>
      </c>
      <c r="J600">
        <v>803.14</v>
      </c>
      <c r="K600">
        <v>9</v>
      </c>
      <c r="L600">
        <v>0</v>
      </c>
      <c r="M600">
        <v>-78.489999999999995</v>
      </c>
    </row>
    <row r="601" spans="1:13" x14ac:dyDescent="0.3">
      <c r="A601" t="s">
        <v>612</v>
      </c>
      <c r="B601" s="2">
        <v>46070</v>
      </c>
      <c r="C601" s="2">
        <v>46078</v>
      </c>
      <c r="D601" t="s">
        <v>1366</v>
      </c>
      <c r="E601" t="s">
        <v>1514</v>
      </c>
      <c r="F601" t="s">
        <v>1517</v>
      </c>
      <c r="G601" t="s">
        <v>1521</v>
      </c>
      <c r="H601" t="s">
        <v>1530</v>
      </c>
      <c r="I601" t="s">
        <v>2110</v>
      </c>
      <c r="J601">
        <v>3649.18</v>
      </c>
      <c r="K601">
        <v>4</v>
      </c>
      <c r="L601">
        <v>0</v>
      </c>
      <c r="M601">
        <v>-427.41</v>
      </c>
    </row>
    <row r="602" spans="1:13" x14ac:dyDescent="0.3">
      <c r="A602" t="s">
        <v>613</v>
      </c>
      <c r="B602" s="2">
        <v>45195</v>
      </c>
      <c r="C602" s="2">
        <v>45200</v>
      </c>
      <c r="D602" t="s">
        <v>1367</v>
      </c>
      <c r="E602" t="s">
        <v>1513</v>
      </c>
      <c r="F602" t="s">
        <v>1519</v>
      </c>
      <c r="G602" t="s">
        <v>1521</v>
      </c>
      <c r="H602" t="s">
        <v>1526</v>
      </c>
      <c r="I602" t="s">
        <v>2111</v>
      </c>
      <c r="J602">
        <v>3939.34</v>
      </c>
      <c r="K602">
        <v>8</v>
      </c>
      <c r="L602">
        <v>0.1</v>
      </c>
      <c r="M602">
        <v>216.77</v>
      </c>
    </row>
    <row r="603" spans="1:13" x14ac:dyDescent="0.3">
      <c r="A603" t="s">
        <v>614</v>
      </c>
      <c r="B603" s="2">
        <v>45911</v>
      </c>
      <c r="C603" s="2">
        <v>45912</v>
      </c>
      <c r="D603" t="s">
        <v>1368</v>
      </c>
      <c r="E603" t="s">
        <v>1513</v>
      </c>
      <c r="F603" t="s">
        <v>1517</v>
      </c>
      <c r="G603" t="s">
        <v>1522</v>
      </c>
      <c r="H603" t="s">
        <v>1531</v>
      </c>
      <c r="I603" t="s">
        <v>2112</v>
      </c>
      <c r="J603">
        <v>1369.19</v>
      </c>
      <c r="K603">
        <v>7</v>
      </c>
      <c r="L603">
        <v>0</v>
      </c>
      <c r="M603">
        <v>135.22</v>
      </c>
    </row>
    <row r="604" spans="1:13" x14ac:dyDescent="0.3">
      <c r="A604" t="s">
        <v>615</v>
      </c>
      <c r="B604" s="2">
        <v>45079</v>
      </c>
      <c r="C604" s="2">
        <v>45080</v>
      </c>
      <c r="D604" t="s">
        <v>1369</v>
      </c>
      <c r="E604" t="s">
        <v>1514</v>
      </c>
      <c r="F604" t="s">
        <v>1517</v>
      </c>
      <c r="G604" t="s">
        <v>1521</v>
      </c>
      <c r="H604" t="s">
        <v>1526</v>
      </c>
      <c r="I604" t="s">
        <v>1653</v>
      </c>
      <c r="J604">
        <v>653.71</v>
      </c>
      <c r="K604">
        <v>4</v>
      </c>
      <c r="L604">
        <v>0.15</v>
      </c>
      <c r="M604">
        <v>146.54</v>
      </c>
    </row>
    <row r="605" spans="1:13" x14ac:dyDescent="0.3">
      <c r="A605" t="s">
        <v>616</v>
      </c>
      <c r="B605" s="2">
        <v>45882</v>
      </c>
      <c r="C605" s="2">
        <v>45886</v>
      </c>
      <c r="D605" t="s">
        <v>1370</v>
      </c>
      <c r="E605" t="s">
        <v>1513</v>
      </c>
      <c r="F605" t="s">
        <v>1518</v>
      </c>
      <c r="G605" t="s">
        <v>1520</v>
      </c>
      <c r="H605" t="s">
        <v>1523</v>
      </c>
      <c r="I605" t="s">
        <v>2017</v>
      </c>
      <c r="J605">
        <v>2331.13</v>
      </c>
      <c r="K605">
        <v>2</v>
      </c>
      <c r="L605">
        <v>0.2</v>
      </c>
      <c r="M605">
        <v>387.68</v>
      </c>
    </row>
    <row r="606" spans="1:13" x14ac:dyDescent="0.3">
      <c r="A606" t="s">
        <v>617</v>
      </c>
      <c r="B606" s="2">
        <v>45813</v>
      </c>
      <c r="C606" s="2">
        <v>45818</v>
      </c>
      <c r="D606" t="s">
        <v>1371</v>
      </c>
      <c r="E606" t="s">
        <v>1515</v>
      </c>
      <c r="F606" t="s">
        <v>1516</v>
      </c>
      <c r="G606" t="s">
        <v>1521</v>
      </c>
      <c r="H606" t="s">
        <v>1528</v>
      </c>
      <c r="I606" t="s">
        <v>2113</v>
      </c>
      <c r="J606">
        <v>4684.2700000000004</v>
      </c>
      <c r="K606">
        <v>3</v>
      </c>
      <c r="M606">
        <v>939.34</v>
      </c>
    </row>
    <row r="607" spans="1:13" x14ac:dyDescent="0.3">
      <c r="A607" t="s">
        <v>618</v>
      </c>
      <c r="B607" s="2">
        <v>45512</v>
      </c>
      <c r="C607" s="2">
        <v>45517</v>
      </c>
      <c r="D607" t="s">
        <v>1372</v>
      </c>
      <c r="E607" t="s">
        <v>1513</v>
      </c>
      <c r="F607" t="s">
        <v>1517</v>
      </c>
      <c r="G607" t="s">
        <v>1521</v>
      </c>
      <c r="H607" t="s">
        <v>1526</v>
      </c>
      <c r="I607" t="s">
        <v>2114</v>
      </c>
      <c r="J607">
        <v>1033.68</v>
      </c>
      <c r="K607">
        <v>1</v>
      </c>
      <c r="M607">
        <v>-82.92</v>
      </c>
    </row>
    <row r="608" spans="1:13" x14ac:dyDescent="0.3">
      <c r="A608" t="s">
        <v>619</v>
      </c>
      <c r="B608" s="2">
        <v>45725</v>
      </c>
      <c r="C608" s="2">
        <v>45731</v>
      </c>
      <c r="D608" t="s">
        <v>1373</v>
      </c>
      <c r="E608" t="s">
        <v>1513</v>
      </c>
      <c r="F608" t="s">
        <v>1516</v>
      </c>
      <c r="G608" t="s">
        <v>1520</v>
      </c>
      <c r="H608" t="s">
        <v>1524</v>
      </c>
      <c r="I608" t="s">
        <v>2115</v>
      </c>
      <c r="J608">
        <v>124.59</v>
      </c>
      <c r="K608">
        <v>5</v>
      </c>
      <c r="L608">
        <v>0.2</v>
      </c>
      <c r="M608">
        <v>-16.72</v>
      </c>
    </row>
    <row r="609" spans="1:13" x14ac:dyDescent="0.3">
      <c r="A609" t="s">
        <v>620</v>
      </c>
      <c r="B609" s="2">
        <v>46081</v>
      </c>
      <c r="C609" s="2">
        <v>46089</v>
      </c>
      <c r="D609" t="s">
        <v>1374</v>
      </c>
      <c r="E609" t="s">
        <v>1513</v>
      </c>
      <c r="F609" t="s">
        <v>1517</v>
      </c>
      <c r="G609" t="s">
        <v>1522</v>
      </c>
      <c r="H609" t="s">
        <v>1527</v>
      </c>
      <c r="I609" t="s">
        <v>2116</v>
      </c>
      <c r="J609">
        <v>3457.61</v>
      </c>
      <c r="K609">
        <v>3</v>
      </c>
      <c r="L609">
        <v>0.1</v>
      </c>
      <c r="M609">
        <v>774.29</v>
      </c>
    </row>
    <row r="610" spans="1:13" x14ac:dyDescent="0.3">
      <c r="A610" t="s">
        <v>621</v>
      </c>
      <c r="B610" s="2">
        <v>45923</v>
      </c>
      <c r="C610" s="2">
        <v>45933</v>
      </c>
      <c r="D610" t="s">
        <v>1375</v>
      </c>
      <c r="E610" t="s">
        <v>1513</v>
      </c>
      <c r="F610" t="s">
        <v>1516</v>
      </c>
      <c r="G610" t="s">
        <v>1521</v>
      </c>
      <c r="H610" t="s">
        <v>1530</v>
      </c>
      <c r="I610" t="s">
        <v>2117</v>
      </c>
      <c r="J610">
        <v>1725.19</v>
      </c>
      <c r="K610">
        <v>1</v>
      </c>
      <c r="L610">
        <v>0</v>
      </c>
      <c r="M610">
        <v>-7.7</v>
      </c>
    </row>
    <row r="611" spans="1:13" x14ac:dyDescent="0.3">
      <c r="A611" t="s">
        <v>622</v>
      </c>
      <c r="B611" s="2">
        <v>45537</v>
      </c>
      <c r="C611" s="2">
        <v>45541</v>
      </c>
      <c r="D611" t="s">
        <v>1376</v>
      </c>
      <c r="E611" t="s">
        <v>1514</v>
      </c>
      <c r="F611" t="s">
        <v>1517</v>
      </c>
      <c r="G611" t="s">
        <v>1522</v>
      </c>
      <c r="H611" t="s">
        <v>1529</v>
      </c>
      <c r="I611" t="s">
        <v>2118</v>
      </c>
      <c r="J611">
        <v>1617.86</v>
      </c>
      <c r="K611">
        <v>9</v>
      </c>
      <c r="M611">
        <v>349.75</v>
      </c>
    </row>
    <row r="612" spans="1:13" x14ac:dyDescent="0.3">
      <c r="A612" t="s">
        <v>623</v>
      </c>
      <c r="B612" s="2">
        <v>45686</v>
      </c>
      <c r="C612" s="2">
        <v>45693</v>
      </c>
      <c r="D612" t="s">
        <v>1377</v>
      </c>
      <c r="E612" t="s">
        <v>1514</v>
      </c>
      <c r="F612" t="s">
        <v>1518</v>
      </c>
      <c r="G612" t="s">
        <v>1522</v>
      </c>
      <c r="H612" t="s">
        <v>1527</v>
      </c>
      <c r="I612" t="s">
        <v>2119</v>
      </c>
      <c r="J612">
        <v>1822.93</v>
      </c>
      <c r="K612">
        <v>3</v>
      </c>
      <c r="L612">
        <v>0.1</v>
      </c>
      <c r="M612">
        <v>536.41999999999996</v>
      </c>
    </row>
    <row r="613" spans="1:13" x14ac:dyDescent="0.3">
      <c r="A613" t="s">
        <v>624</v>
      </c>
      <c r="B613" s="2">
        <v>45482</v>
      </c>
      <c r="C613" s="2">
        <v>45491</v>
      </c>
      <c r="D613" t="s">
        <v>1378</v>
      </c>
      <c r="E613" t="s">
        <v>1514</v>
      </c>
      <c r="F613" t="s">
        <v>1519</v>
      </c>
      <c r="G613" t="s">
        <v>1520</v>
      </c>
      <c r="H613" t="s">
        <v>1524</v>
      </c>
      <c r="I613" t="s">
        <v>2120</v>
      </c>
      <c r="J613">
        <v>3500.34</v>
      </c>
      <c r="K613">
        <v>4</v>
      </c>
      <c r="L613">
        <v>0.2</v>
      </c>
      <c r="M613">
        <v>-340.78</v>
      </c>
    </row>
    <row r="614" spans="1:13" x14ac:dyDescent="0.3">
      <c r="A614" t="s">
        <v>625</v>
      </c>
      <c r="B614" t="s">
        <v>778</v>
      </c>
      <c r="C614" s="2">
        <v>45837</v>
      </c>
      <c r="D614" t="s">
        <v>1379</v>
      </c>
      <c r="E614" t="s">
        <v>1515</v>
      </c>
      <c r="F614" t="s">
        <v>1517</v>
      </c>
      <c r="G614" t="s">
        <v>1520</v>
      </c>
      <c r="H614" t="s">
        <v>1524</v>
      </c>
      <c r="I614" t="s">
        <v>2121</v>
      </c>
      <c r="J614">
        <v>4344.93</v>
      </c>
      <c r="K614">
        <v>10</v>
      </c>
      <c r="L614">
        <v>0.2</v>
      </c>
      <c r="M614">
        <v>-485.81</v>
      </c>
    </row>
    <row r="615" spans="1:13" x14ac:dyDescent="0.3">
      <c r="A615" t="s">
        <v>626</v>
      </c>
      <c r="B615" s="2">
        <v>45201</v>
      </c>
      <c r="C615" s="2">
        <v>45206</v>
      </c>
      <c r="D615" t="s">
        <v>1380</v>
      </c>
      <c r="E615" t="s">
        <v>1515</v>
      </c>
      <c r="F615" t="s">
        <v>1518</v>
      </c>
      <c r="G615" t="s">
        <v>1521</v>
      </c>
      <c r="H615" t="s">
        <v>1526</v>
      </c>
      <c r="I615" t="s">
        <v>2122</v>
      </c>
      <c r="J615">
        <v>2730.95</v>
      </c>
      <c r="K615">
        <v>8</v>
      </c>
      <c r="L615">
        <v>0</v>
      </c>
      <c r="M615">
        <v>619.26</v>
      </c>
    </row>
    <row r="616" spans="1:13" x14ac:dyDescent="0.3">
      <c r="A616" t="s">
        <v>627</v>
      </c>
      <c r="B616" s="2">
        <v>45689</v>
      </c>
      <c r="C616" s="2">
        <v>45690</v>
      </c>
      <c r="D616" t="s">
        <v>1381</v>
      </c>
      <c r="E616" t="s">
        <v>1515</v>
      </c>
      <c r="F616" t="s">
        <v>1516</v>
      </c>
      <c r="G616" t="s">
        <v>1520</v>
      </c>
      <c r="H616" t="s">
        <v>1523</v>
      </c>
      <c r="I616" t="s">
        <v>2123</v>
      </c>
      <c r="J616">
        <v>3117.69</v>
      </c>
      <c r="K616">
        <v>6</v>
      </c>
      <c r="L616">
        <v>0.2</v>
      </c>
      <c r="M616">
        <v>-214.08</v>
      </c>
    </row>
    <row r="617" spans="1:13" x14ac:dyDescent="0.3">
      <c r="A617" t="s">
        <v>628</v>
      </c>
      <c r="B617" s="2">
        <v>45551</v>
      </c>
      <c r="C617" s="2">
        <v>45558</v>
      </c>
      <c r="D617" t="s">
        <v>1382</v>
      </c>
      <c r="E617" t="s">
        <v>1514</v>
      </c>
      <c r="F617" t="s">
        <v>1519</v>
      </c>
      <c r="G617" t="s">
        <v>1520</v>
      </c>
      <c r="H617" t="s">
        <v>1525</v>
      </c>
      <c r="I617" t="s">
        <v>2124</v>
      </c>
      <c r="J617">
        <v>989.85</v>
      </c>
      <c r="K617">
        <v>8</v>
      </c>
      <c r="L617">
        <v>0.2</v>
      </c>
      <c r="M617">
        <v>-114.06</v>
      </c>
    </row>
    <row r="618" spans="1:13" x14ac:dyDescent="0.3">
      <c r="A618" t="s">
        <v>629</v>
      </c>
      <c r="B618" s="2">
        <v>45254</v>
      </c>
      <c r="C618" s="2">
        <v>45260</v>
      </c>
      <c r="D618" t="s">
        <v>1383</v>
      </c>
      <c r="E618" t="s">
        <v>1513</v>
      </c>
      <c r="F618" t="s">
        <v>1517</v>
      </c>
      <c r="G618" t="s">
        <v>1521</v>
      </c>
      <c r="H618" t="s">
        <v>1528</v>
      </c>
      <c r="I618" t="s">
        <v>2125</v>
      </c>
      <c r="J618">
        <v>596.79999999999995</v>
      </c>
      <c r="K618">
        <v>9</v>
      </c>
      <c r="M618">
        <v>-97.47</v>
      </c>
    </row>
    <row r="619" spans="1:13" x14ac:dyDescent="0.3">
      <c r="A619" t="s">
        <v>630</v>
      </c>
      <c r="B619" t="s">
        <v>779</v>
      </c>
      <c r="C619" s="2">
        <v>45994</v>
      </c>
      <c r="D619" t="s">
        <v>1384</v>
      </c>
      <c r="E619" t="s">
        <v>1514</v>
      </c>
      <c r="F619" t="s">
        <v>1518</v>
      </c>
      <c r="G619" t="s">
        <v>1522</v>
      </c>
      <c r="H619" t="s">
        <v>1531</v>
      </c>
      <c r="I619" t="s">
        <v>2126</v>
      </c>
      <c r="J619">
        <v>2452.58</v>
      </c>
      <c r="K619">
        <v>2</v>
      </c>
      <c r="L619">
        <v>0</v>
      </c>
      <c r="M619">
        <v>279.73</v>
      </c>
    </row>
    <row r="620" spans="1:13" x14ac:dyDescent="0.3">
      <c r="A620" t="s">
        <v>631</v>
      </c>
      <c r="B620" s="2">
        <v>45123</v>
      </c>
      <c r="C620" s="2">
        <v>45133</v>
      </c>
      <c r="D620" t="s">
        <v>1385</v>
      </c>
      <c r="E620" t="s">
        <v>1513</v>
      </c>
      <c r="F620" t="s">
        <v>1516</v>
      </c>
      <c r="G620" t="s">
        <v>1520</v>
      </c>
      <c r="H620" t="s">
        <v>1525</v>
      </c>
      <c r="I620" t="s">
        <v>2127</v>
      </c>
      <c r="J620">
        <v>1316.9</v>
      </c>
      <c r="K620">
        <v>6</v>
      </c>
      <c r="L620">
        <v>0.05</v>
      </c>
      <c r="M620">
        <v>175.51</v>
      </c>
    </row>
    <row r="621" spans="1:13" x14ac:dyDescent="0.3">
      <c r="A621" t="s">
        <v>632</v>
      </c>
      <c r="B621" s="2">
        <v>45261</v>
      </c>
      <c r="C621" s="2">
        <v>45269</v>
      </c>
      <c r="D621" t="s">
        <v>1386</v>
      </c>
      <c r="E621" t="s">
        <v>1513</v>
      </c>
      <c r="F621" t="s">
        <v>1519</v>
      </c>
      <c r="G621" t="s">
        <v>1522</v>
      </c>
      <c r="H621" t="s">
        <v>1527</v>
      </c>
      <c r="I621" t="s">
        <v>2128</v>
      </c>
      <c r="J621">
        <v>4645.6000000000004</v>
      </c>
      <c r="K621">
        <v>2</v>
      </c>
      <c r="L621">
        <v>0.15</v>
      </c>
      <c r="M621">
        <v>1117.55</v>
      </c>
    </row>
    <row r="622" spans="1:13" x14ac:dyDescent="0.3">
      <c r="A622" t="s">
        <v>633</v>
      </c>
      <c r="B622" s="2">
        <v>45526</v>
      </c>
      <c r="C622" s="2">
        <v>45533</v>
      </c>
      <c r="D622" t="s">
        <v>1387</v>
      </c>
      <c r="E622" t="s">
        <v>1513</v>
      </c>
      <c r="F622" t="s">
        <v>1516</v>
      </c>
      <c r="G622" t="s">
        <v>1520</v>
      </c>
      <c r="H622" t="s">
        <v>1525</v>
      </c>
      <c r="I622" t="s">
        <v>2129</v>
      </c>
      <c r="J622">
        <v>4119.03</v>
      </c>
      <c r="K622">
        <v>1</v>
      </c>
      <c r="L622">
        <v>0.2</v>
      </c>
      <c r="M622">
        <v>-221.61</v>
      </c>
    </row>
    <row r="623" spans="1:13" x14ac:dyDescent="0.3">
      <c r="A623" t="s">
        <v>634</v>
      </c>
      <c r="B623" s="2">
        <v>45168</v>
      </c>
      <c r="C623" s="2">
        <v>45172</v>
      </c>
      <c r="D623" t="s">
        <v>1388</v>
      </c>
      <c r="E623" t="s">
        <v>1515</v>
      </c>
      <c r="F623" t="s">
        <v>1518</v>
      </c>
      <c r="G623" t="s">
        <v>1521</v>
      </c>
      <c r="H623" t="s">
        <v>1530</v>
      </c>
      <c r="I623" t="s">
        <v>2130</v>
      </c>
      <c r="J623">
        <v>4804.8999999999996</v>
      </c>
      <c r="K623">
        <v>2</v>
      </c>
      <c r="L623">
        <v>0</v>
      </c>
      <c r="M623">
        <v>955.43</v>
      </c>
    </row>
    <row r="624" spans="1:13" x14ac:dyDescent="0.3">
      <c r="A624" t="s">
        <v>635</v>
      </c>
      <c r="B624" s="2">
        <v>45257</v>
      </c>
      <c r="C624" s="2">
        <v>45266</v>
      </c>
      <c r="D624" t="s">
        <v>1389</v>
      </c>
      <c r="E624" t="s">
        <v>1515</v>
      </c>
      <c r="F624" t="s">
        <v>1518</v>
      </c>
      <c r="G624" t="s">
        <v>1522</v>
      </c>
      <c r="H624" t="s">
        <v>1531</v>
      </c>
      <c r="I624" t="s">
        <v>2131</v>
      </c>
      <c r="J624">
        <v>3301.54</v>
      </c>
      <c r="K624">
        <v>10</v>
      </c>
      <c r="M624">
        <v>1060.21</v>
      </c>
    </row>
    <row r="625" spans="1:13" x14ac:dyDescent="0.3">
      <c r="A625" t="s">
        <v>636</v>
      </c>
      <c r="B625" s="2">
        <v>46154</v>
      </c>
      <c r="C625" s="2">
        <v>46164</v>
      </c>
      <c r="D625" t="s">
        <v>1390</v>
      </c>
      <c r="E625" t="s">
        <v>1513</v>
      </c>
      <c r="F625" t="s">
        <v>1517</v>
      </c>
      <c r="G625" t="s">
        <v>1520</v>
      </c>
      <c r="H625" t="s">
        <v>1523</v>
      </c>
      <c r="I625" t="s">
        <v>2132</v>
      </c>
      <c r="J625">
        <v>1821.92</v>
      </c>
      <c r="K625">
        <v>8</v>
      </c>
      <c r="M625">
        <v>302.23</v>
      </c>
    </row>
    <row r="626" spans="1:13" x14ac:dyDescent="0.3">
      <c r="A626" t="s">
        <v>637</v>
      </c>
      <c r="B626" s="2">
        <v>45765</v>
      </c>
      <c r="C626" s="2">
        <v>45772</v>
      </c>
      <c r="D626" t="s">
        <v>1391</v>
      </c>
      <c r="E626" t="s">
        <v>1514</v>
      </c>
      <c r="F626" t="s">
        <v>1519</v>
      </c>
      <c r="G626" t="s">
        <v>1522</v>
      </c>
      <c r="H626" t="s">
        <v>1527</v>
      </c>
      <c r="I626" t="s">
        <v>2133</v>
      </c>
      <c r="J626">
        <v>2548.23</v>
      </c>
      <c r="K626">
        <v>3</v>
      </c>
      <c r="L626">
        <v>0.2</v>
      </c>
      <c r="M626">
        <v>889.69</v>
      </c>
    </row>
    <row r="627" spans="1:13" x14ac:dyDescent="0.3">
      <c r="A627" t="s">
        <v>638</v>
      </c>
      <c r="B627" s="2">
        <v>46081</v>
      </c>
      <c r="C627" s="2">
        <v>46087</v>
      </c>
      <c r="D627" t="s">
        <v>1392</v>
      </c>
      <c r="E627" t="s">
        <v>1515</v>
      </c>
      <c r="F627" t="s">
        <v>1519</v>
      </c>
      <c r="G627" t="s">
        <v>1521</v>
      </c>
      <c r="H627" t="s">
        <v>1528</v>
      </c>
      <c r="I627" t="s">
        <v>2134</v>
      </c>
      <c r="J627">
        <v>4232.03</v>
      </c>
      <c r="K627">
        <v>7</v>
      </c>
      <c r="M627">
        <v>155.84</v>
      </c>
    </row>
    <row r="628" spans="1:13" x14ac:dyDescent="0.3">
      <c r="A628" t="s">
        <v>639</v>
      </c>
      <c r="B628" s="2">
        <v>46145</v>
      </c>
      <c r="C628" s="2">
        <v>46155</v>
      </c>
      <c r="D628" t="s">
        <v>1393</v>
      </c>
      <c r="E628" t="s">
        <v>1514</v>
      </c>
      <c r="F628" t="s">
        <v>1519</v>
      </c>
      <c r="G628" t="s">
        <v>1520</v>
      </c>
      <c r="H628" t="s">
        <v>1523</v>
      </c>
      <c r="I628" t="s">
        <v>2135</v>
      </c>
      <c r="J628">
        <v>2750.85</v>
      </c>
      <c r="K628">
        <v>7</v>
      </c>
      <c r="L628">
        <v>0.2</v>
      </c>
      <c r="M628">
        <v>851.06</v>
      </c>
    </row>
    <row r="629" spans="1:13" x14ac:dyDescent="0.3">
      <c r="A629" t="s">
        <v>640</v>
      </c>
      <c r="B629" s="2">
        <v>45983</v>
      </c>
      <c r="C629" s="2">
        <v>45990</v>
      </c>
      <c r="D629" t="s">
        <v>1394</v>
      </c>
      <c r="E629" t="s">
        <v>1515</v>
      </c>
      <c r="F629" t="s">
        <v>1517</v>
      </c>
      <c r="G629" t="s">
        <v>1521</v>
      </c>
      <c r="H629" t="s">
        <v>1526</v>
      </c>
      <c r="I629" t="s">
        <v>2136</v>
      </c>
      <c r="J629">
        <v>50.97</v>
      </c>
      <c r="K629">
        <v>1</v>
      </c>
      <c r="L629">
        <v>0.1</v>
      </c>
      <c r="M629">
        <v>6.51</v>
      </c>
    </row>
    <row r="630" spans="1:13" x14ac:dyDescent="0.3">
      <c r="A630" t="s">
        <v>641</v>
      </c>
      <c r="B630" s="2">
        <v>45266</v>
      </c>
      <c r="C630" s="2">
        <v>45271</v>
      </c>
      <c r="D630" t="s">
        <v>1395</v>
      </c>
      <c r="E630" t="s">
        <v>1515</v>
      </c>
      <c r="F630" t="s">
        <v>1519</v>
      </c>
      <c r="G630" t="s">
        <v>1521</v>
      </c>
      <c r="H630" t="s">
        <v>1530</v>
      </c>
      <c r="I630" t="s">
        <v>2137</v>
      </c>
      <c r="J630">
        <v>4922.75</v>
      </c>
      <c r="K630">
        <v>4</v>
      </c>
      <c r="L630">
        <v>0.1</v>
      </c>
      <c r="M630">
        <v>-925.79</v>
      </c>
    </row>
    <row r="631" spans="1:13" x14ac:dyDescent="0.3">
      <c r="A631" t="s">
        <v>642</v>
      </c>
      <c r="B631" s="2">
        <v>46117</v>
      </c>
      <c r="C631" s="2">
        <v>46126</v>
      </c>
      <c r="D631" t="s">
        <v>1396</v>
      </c>
      <c r="E631" t="s">
        <v>1514</v>
      </c>
      <c r="F631" t="s">
        <v>1519</v>
      </c>
      <c r="G631" t="s">
        <v>1520</v>
      </c>
      <c r="H631" t="s">
        <v>1525</v>
      </c>
      <c r="I631" t="s">
        <v>2138</v>
      </c>
      <c r="J631">
        <v>2874.81</v>
      </c>
      <c r="K631">
        <v>10</v>
      </c>
      <c r="L631">
        <v>0.05</v>
      </c>
      <c r="M631">
        <v>-425.88</v>
      </c>
    </row>
    <row r="632" spans="1:13" x14ac:dyDescent="0.3">
      <c r="A632" t="s">
        <v>643</v>
      </c>
      <c r="B632" s="2">
        <v>45943</v>
      </c>
      <c r="C632" s="2">
        <v>45948</v>
      </c>
      <c r="D632" t="s">
        <v>1397</v>
      </c>
      <c r="E632" t="s">
        <v>1514</v>
      </c>
      <c r="F632" t="s">
        <v>1516</v>
      </c>
      <c r="G632" t="s">
        <v>1522</v>
      </c>
      <c r="H632" t="s">
        <v>1531</v>
      </c>
      <c r="I632" t="s">
        <v>2139</v>
      </c>
      <c r="J632">
        <v>1867.06</v>
      </c>
      <c r="K632">
        <v>10</v>
      </c>
      <c r="L632">
        <v>0.05</v>
      </c>
      <c r="M632">
        <v>-134.15</v>
      </c>
    </row>
    <row r="633" spans="1:13" x14ac:dyDescent="0.3">
      <c r="A633" t="s">
        <v>644</v>
      </c>
      <c r="B633" s="2">
        <v>45518</v>
      </c>
      <c r="C633" s="2">
        <v>45528</v>
      </c>
      <c r="D633" t="s">
        <v>1398</v>
      </c>
      <c r="E633" t="s">
        <v>1514</v>
      </c>
      <c r="F633" t="s">
        <v>1517</v>
      </c>
      <c r="G633" t="s">
        <v>1520</v>
      </c>
      <c r="H633" t="s">
        <v>1524</v>
      </c>
      <c r="I633" t="s">
        <v>2140</v>
      </c>
      <c r="J633">
        <v>4593.51</v>
      </c>
      <c r="K633">
        <v>2</v>
      </c>
      <c r="M633">
        <v>-98.39</v>
      </c>
    </row>
    <row r="634" spans="1:13" x14ac:dyDescent="0.3">
      <c r="A634" t="s">
        <v>645</v>
      </c>
      <c r="B634" s="2">
        <v>45791</v>
      </c>
      <c r="C634" s="2">
        <v>45801</v>
      </c>
      <c r="D634" t="s">
        <v>1399</v>
      </c>
      <c r="E634" t="s">
        <v>1513</v>
      </c>
      <c r="F634" t="s">
        <v>1518</v>
      </c>
      <c r="G634" t="s">
        <v>1521</v>
      </c>
      <c r="H634" t="s">
        <v>1528</v>
      </c>
      <c r="I634" t="s">
        <v>2141</v>
      </c>
      <c r="J634">
        <v>4106.6000000000004</v>
      </c>
      <c r="K634">
        <v>2</v>
      </c>
      <c r="L634">
        <v>0.2</v>
      </c>
      <c r="M634">
        <v>629.29999999999995</v>
      </c>
    </row>
    <row r="635" spans="1:13" x14ac:dyDescent="0.3">
      <c r="A635" t="s">
        <v>646</v>
      </c>
      <c r="B635" s="2">
        <v>45257</v>
      </c>
      <c r="C635" s="2">
        <v>45263</v>
      </c>
      <c r="D635" t="s">
        <v>1400</v>
      </c>
      <c r="E635" t="s">
        <v>1513</v>
      </c>
      <c r="F635" t="s">
        <v>1517</v>
      </c>
      <c r="G635" t="s">
        <v>1522</v>
      </c>
      <c r="H635" t="s">
        <v>1531</v>
      </c>
      <c r="I635" t="s">
        <v>2142</v>
      </c>
      <c r="J635">
        <v>1772.25</v>
      </c>
      <c r="K635">
        <v>7</v>
      </c>
      <c r="L635">
        <v>0.15</v>
      </c>
      <c r="M635">
        <v>552.29999999999995</v>
      </c>
    </row>
    <row r="636" spans="1:13" x14ac:dyDescent="0.3">
      <c r="A636" t="s">
        <v>647</v>
      </c>
      <c r="B636" s="2">
        <v>45452</v>
      </c>
      <c r="C636" s="2">
        <v>45462</v>
      </c>
      <c r="D636" t="s">
        <v>1401</v>
      </c>
      <c r="E636" t="s">
        <v>1513</v>
      </c>
      <c r="F636" t="s">
        <v>1519</v>
      </c>
      <c r="G636" t="s">
        <v>1520</v>
      </c>
      <c r="H636" t="s">
        <v>1525</v>
      </c>
      <c r="I636" t="s">
        <v>2143</v>
      </c>
      <c r="J636">
        <v>4646.83</v>
      </c>
      <c r="K636">
        <v>7</v>
      </c>
      <c r="L636">
        <v>0</v>
      </c>
      <c r="M636">
        <v>-150.41</v>
      </c>
    </row>
    <row r="637" spans="1:13" x14ac:dyDescent="0.3">
      <c r="A637" t="s">
        <v>648</v>
      </c>
      <c r="B637" s="2">
        <v>45647</v>
      </c>
      <c r="C637" s="2">
        <v>45650</v>
      </c>
      <c r="D637" t="s">
        <v>1402</v>
      </c>
      <c r="E637" t="s">
        <v>1515</v>
      </c>
      <c r="F637" t="s">
        <v>1518</v>
      </c>
      <c r="G637" t="s">
        <v>1520</v>
      </c>
      <c r="H637" t="s">
        <v>1525</v>
      </c>
      <c r="I637" t="s">
        <v>2144</v>
      </c>
      <c r="J637">
        <v>1667.82</v>
      </c>
      <c r="K637">
        <v>4</v>
      </c>
      <c r="L637">
        <v>0.05</v>
      </c>
      <c r="M637">
        <v>-287.22000000000003</v>
      </c>
    </row>
    <row r="638" spans="1:13" x14ac:dyDescent="0.3">
      <c r="A638" t="s">
        <v>649</v>
      </c>
      <c r="B638" s="2">
        <v>45452</v>
      </c>
      <c r="C638" s="2">
        <v>45462</v>
      </c>
      <c r="D638" t="s">
        <v>1403</v>
      </c>
      <c r="E638" t="s">
        <v>1514</v>
      </c>
      <c r="F638" t="s">
        <v>1517</v>
      </c>
      <c r="G638" t="s">
        <v>1521</v>
      </c>
      <c r="H638" t="s">
        <v>1528</v>
      </c>
      <c r="I638" t="s">
        <v>2145</v>
      </c>
      <c r="J638">
        <v>2548.41</v>
      </c>
      <c r="K638">
        <v>4</v>
      </c>
      <c r="L638">
        <v>0.15</v>
      </c>
      <c r="M638">
        <v>-103.51</v>
      </c>
    </row>
    <row r="639" spans="1:13" x14ac:dyDescent="0.3">
      <c r="A639" t="s">
        <v>650</v>
      </c>
      <c r="B639" s="2">
        <v>45641</v>
      </c>
      <c r="C639" s="2">
        <v>45643</v>
      </c>
      <c r="D639" t="s">
        <v>1397</v>
      </c>
      <c r="E639" t="s">
        <v>1513</v>
      </c>
      <c r="F639" t="s">
        <v>1518</v>
      </c>
      <c r="G639" t="s">
        <v>1522</v>
      </c>
      <c r="H639" t="s">
        <v>1529</v>
      </c>
      <c r="I639" t="s">
        <v>2146</v>
      </c>
      <c r="J639">
        <v>2405.48</v>
      </c>
      <c r="K639">
        <v>1</v>
      </c>
      <c r="L639">
        <v>0.2</v>
      </c>
      <c r="M639">
        <v>47.04</v>
      </c>
    </row>
    <row r="640" spans="1:13" x14ac:dyDescent="0.3">
      <c r="A640" t="s">
        <v>651</v>
      </c>
      <c r="B640" s="2">
        <v>45168</v>
      </c>
      <c r="C640" s="2">
        <v>45171</v>
      </c>
      <c r="D640" t="s">
        <v>1404</v>
      </c>
      <c r="E640" t="s">
        <v>1514</v>
      </c>
      <c r="F640" t="s">
        <v>1517</v>
      </c>
      <c r="G640" t="s">
        <v>1520</v>
      </c>
      <c r="H640" t="s">
        <v>1524</v>
      </c>
      <c r="I640" t="s">
        <v>2147</v>
      </c>
      <c r="J640">
        <v>3822.06</v>
      </c>
      <c r="K640">
        <v>8</v>
      </c>
      <c r="L640">
        <v>0.2</v>
      </c>
      <c r="M640">
        <v>-347.96</v>
      </c>
    </row>
    <row r="641" spans="1:13" x14ac:dyDescent="0.3">
      <c r="A641" t="s">
        <v>652</v>
      </c>
      <c r="B641" s="2">
        <v>45099</v>
      </c>
      <c r="C641" s="2">
        <v>45108</v>
      </c>
      <c r="D641" t="s">
        <v>1405</v>
      </c>
      <c r="E641" t="s">
        <v>1514</v>
      </c>
      <c r="F641" t="s">
        <v>1516</v>
      </c>
      <c r="G641" t="s">
        <v>1520</v>
      </c>
      <c r="H641" t="s">
        <v>1525</v>
      </c>
      <c r="I641" t="s">
        <v>2148</v>
      </c>
      <c r="J641">
        <v>1268.92</v>
      </c>
      <c r="K641">
        <v>2</v>
      </c>
      <c r="L641">
        <v>0.1</v>
      </c>
      <c r="M641">
        <v>288.33</v>
      </c>
    </row>
    <row r="642" spans="1:13" x14ac:dyDescent="0.3">
      <c r="A642" t="s">
        <v>653</v>
      </c>
      <c r="B642" s="2">
        <v>46009</v>
      </c>
      <c r="C642" s="2">
        <v>46016</v>
      </c>
      <c r="D642" t="s">
        <v>1406</v>
      </c>
      <c r="E642" t="s">
        <v>1515</v>
      </c>
      <c r="F642" t="s">
        <v>1516</v>
      </c>
      <c r="G642" t="s">
        <v>1522</v>
      </c>
      <c r="H642" t="s">
        <v>1527</v>
      </c>
      <c r="I642" t="s">
        <v>2149</v>
      </c>
      <c r="J642">
        <v>2146.5300000000002</v>
      </c>
      <c r="K642">
        <v>6</v>
      </c>
      <c r="L642">
        <v>0.05</v>
      </c>
      <c r="M642">
        <v>-50.65</v>
      </c>
    </row>
    <row r="643" spans="1:13" x14ac:dyDescent="0.3">
      <c r="A643" t="s">
        <v>654</v>
      </c>
      <c r="B643" s="2">
        <v>46031</v>
      </c>
      <c r="C643" s="2">
        <v>46037</v>
      </c>
      <c r="D643" t="s">
        <v>1407</v>
      </c>
      <c r="E643" t="s">
        <v>1513</v>
      </c>
      <c r="F643" t="s">
        <v>1517</v>
      </c>
      <c r="G643" t="s">
        <v>1521</v>
      </c>
      <c r="H643" t="s">
        <v>1530</v>
      </c>
      <c r="I643" t="s">
        <v>2150</v>
      </c>
      <c r="J643">
        <v>3100.29</v>
      </c>
      <c r="K643">
        <v>8</v>
      </c>
      <c r="L643">
        <v>0.2</v>
      </c>
      <c r="M643">
        <v>-371.41</v>
      </c>
    </row>
    <row r="644" spans="1:13" x14ac:dyDescent="0.3">
      <c r="A644" t="s">
        <v>655</v>
      </c>
      <c r="B644" s="2">
        <v>45134</v>
      </c>
      <c r="C644" s="2">
        <v>45140</v>
      </c>
      <c r="D644" t="s">
        <v>1408</v>
      </c>
      <c r="F644" t="s">
        <v>1517</v>
      </c>
      <c r="G644" t="s">
        <v>1522</v>
      </c>
      <c r="H644" t="s">
        <v>1527</v>
      </c>
      <c r="I644" t="s">
        <v>2044</v>
      </c>
      <c r="J644">
        <v>822.16</v>
      </c>
      <c r="K644">
        <v>2</v>
      </c>
      <c r="L644">
        <v>0</v>
      </c>
      <c r="M644">
        <v>170</v>
      </c>
    </row>
    <row r="645" spans="1:13" x14ac:dyDescent="0.3">
      <c r="A645" t="s">
        <v>656</v>
      </c>
      <c r="B645" s="2">
        <v>45369</v>
      </c>
      <c r="C645" s="2">
        <v>45375</v>
      </c>
      <c r="D645" t="s">
        <v>1409</v>
      </c>
      <c r="E645" t="s">
        <v>1513</v>
      </c>
      <c r="F645" t="s">
        <v>1519</v>
      </c>
      <c r="G645" t="s">
        <v>1521</v>
      </c>
      <c r="H645" t="s">
        <v>1530</v>
      </c>
      <c r="I645" t="s">
        <v>2151</v>
      </c>
      <c r="J645">
        <v>3484.29</v>
      </c>
      <c r="K645">
        <v>2</v>
      </c>
      <c r="L645">
        <v>0.1</v>
      </c>
      <c r="M645">
        <v>165.62</v>
      </c>
    </row>
    <row r="646" spans="1:13" x14ac:dyDescent="0.3">
      <c r="A646" t="s">
        <v>657</v>
      </c>
      <c r="B646" s="2">
        <v>45644</v>
      </c>
      <c r="C646" s="2">
        <v>45653</v>
      </c>
      <c r="D646" t="s">
        <v>1410</v>
      </c>
      <c r="E646" t="s">
        <v>1515</v>
      </c>
      <c r="F646" t="s">
        <v>1518</v>
      </c>
      <c r="G646" t="s">
        <v>1522</v>
      </c>
      <c r="H646" t="s">
        <v>1527</v>
      </c>
      <c r="I646" t="s">
        <v>1838</v>
      </c>
      <c r="J646">
        <v>1098.78</v>
      </c>
      <c r="K646">
        <v>9</v>
      </c>
      <c r="L646">
        <v>0.2</v>
      </c>
      <c r="M646">
        <v>233.71</v>
      </c>
    </row>
    <row r="647" spans="1:13" x14ac:dyDescent="0.3">
      <c r="A647" t="s">
        <v>658</v>
      </c>
      <c r="B647" t="s">
        <v>780</v>
      </c>
      <c r="C647" s="2">
        <v>45670</v>
      </c>
      <c r="D647" t="s">
        <v>1411</v>
      </c>
      <c r="E647" t="s">
        <v>1515</v>
      </c>
      <c r="F647" t="s">
        <v>1516</v>
      </c>
      <c r="G647" t="s">
        <v>1520</v>
      </c>
      <c r="H647" t="s">
        <v>1525</v>
      </c>
      <c r="I647" t="s">
        <v>2152</v>
      </c>
      <c r="J647">
        <v>3490.6</v>
      </c>
      <c r="K647">
        <v>1</v>
      </c>
      <c r="L647">
        <v>0.15</v>
      </c>
      <c r="M647">
        <v>421.15</v>
      </c>
    </row>
    <row r="648" spans="1:13" x14ac:dyDescent="0.3">
      <c r="A648" t="s">
        <v>659</v>
      </c>
      <c r="B648" s="2">
        <v>45308</v>
      </c>
      <c r="C648" s="2">
        <v>45309</v>
      </c>
      <c r="D648" t="s">
        <v>1412</v>
      </c>
      <c r="E648" t="s">
        <v>1515</v>
      </c>
      <c r="F648" t="s">
        <v>1516</v>
      </c>
      <c r="G648" t="s">
        <v>1521</v>
      </c>
      <c r="H648" t="s">
        <v>1530</v>
      </c>
      <c r="I648" t="s">
        <v>2153</v>
      </c>
      <c r="J648">
        <v>1455.87</v>
      </c>
      <c r="K648">
        <v>10</v>
      </c>
      <c r="L648">
        <v>0.1</v>
      </c>
      <c r="M648">
        <v>-248.67</v>
      </c>
    </row>
    <row r="649" spans="1:13" x14ac:dyDescent="0.3">
      <c r="A649" t="s">
        <v>660</v>
      </c>
      <c r="B649" s="2">
        <v>46144</v>
      </c>
      <c r="C649" s="2">
        <v>46149</v>
      </c>
      <c r="D649" t="s">
        <v>1413</v>
      </c>
      <c r="E649" t="s">
        <v>1515</v>
      </c>
      <c r="F649" t="s">
        <v>1518</v>
      </c>
      <c r="G649" t="s">
        <v>1522</v>
      </c>
      <c r="H649" t="s">
        <v>1529</v>
      </c>
      <c r="I649" t="s">
        <v>2154</v>
      </c>
      <c r="J649">
        <v>3331.76</v>
      </c>
      <c r="K649">
        <v>6</v>
      </c>
      <c r="L649">
        <v>0</v>
      </c>
      <c r="M649">
        <v>-631.39</v>
      </c>
    </row>
    <row r="650" spans="1:13" x14ac:dyDescent="0.3">
      <c r="A650" t="s">
        <v>661</v>
      </c>
      <c r="B650" s="2">
        <v>45709</v>
      </c>
      <c r="C650" s="2">
        <v>45718</v>
      </c>
      <c r="D650" t="s">
        <v>1414</v>
      </c>
      <c r="E650" t="s">
        <v>1515</v>
      </c>
      <c r="F650" t="s">
        <v>1516</v>
      </c>
      <c r="G650" t="s">
        <v>1522</v>
      </c>
      <c r="H650" t="s">
        <v>1529</v>
      </c>
      <c r="I650" t="s">
        <v>2155</v>
      </c>
      <c r="J650">
        <v>4884.2299999999996</v>
      </c>
      <c r="K650">
        <v>2</v>
      </c>
      <c r="L650">
        <v>0.1</v>
      </c>
      <c r="M650">
        <v>325.11</v>
      </c>
    </row>
    <row r="651" spans="1:13" x14ac:dyDescent="0.3">
      <c r="A651" t="s">
        <v>662</v>
      </c>
      <c r="B651" s="2">
        <v>45660</v>
      </c>
      <c r="C651" s="2">
        <v>45669</v>
      </c>
      <c r="D651" t="s">
        <v>1415</v>
      </c>
      <c r="E651" t="s">
        <v>1513</v>
      </c>
      <c r="F651" t="s">
        <v>1519</v>
      </c>
      <c r="G651" t="s">
        <v>1522</v>
      </c>
      <c r="H651" t="s">
        <v>1531</v>
      </c>
      <c r="I651" t="s">
        <v>2156</v>
      </c>
      <c r="J651">
        <v>4835.62</v>
      </c>
      <c r="K651">
        <v>9</v>
      </c>
      <c r="M651">
        <v>-909.97</v>
      </c>
    </row>
    <row r="652" spans="1:13" x14ac:dyDescent="0.3">
      <c r="A652" t="s">
        <v>663</v>
      </c>
      <c r="B652" t="s">
        <v>781</v>
      </c>
      <c r="C652" s="2">
        <v>45710</v>
      </c>
      <c r="D652" t="s">
        <v>1416</v>
      </c>
      <c r="E652" t="s">
        <v>1514</v>
      </c>
      <c r="F652" t="s">
        <v>1519</v>
      </c>
      <c r="G652" t="s">
        <v>1521</v>
      </c>
      <c r="H652" t="s">
        <v>1526</v>
      </c>
      <c r="I652" t="s">
        <v>2157</v>
      </c>
      <c r="J652">
        <v>3734.73</v>
      </c>
      <c r="K652">
        <v>1</v>
      </c>
      <c r="L652">
        <v>0.1</v>
      </c>
      <c r="M652">
        <v>658.7</v>
      </c>
    </row>
    <row r="653" spans="1:13" x14ac:dyDescent="0.3">
      <c r="A653" t="s">
        <v>664</v>
      </c>
      <c r="B653" s="2">
        <v>45560</v>
      </c>
      <c r="C653" s="2">
        <v>45565</v>
      </c>
      <c r="D653" t="s">
        <v>1417</v>
      </c>
      <c r="E653" t="s">
        <v>1513</v>
      </c>
      <c r="F653" t="s">
        <v>1519</v>
      </c>
      <c r="G653" t="s">
        <v>1522</v>
      </c>
      <c r="H653" t="s">
        <v>1527</v>
      </c>
      <c r="I653" t="s">
        <v>2116</v>
      </c>
      <c r="J653">
        <v>4068.87</v>
      </c>
      <c r="K653">
        <v>5</v>
      </c>
      <c r="L653">
        <v>0.15</v>
      </c>
      <c r="M653">
        <v>1178.8399999999999</v>
      </c>
    </row>
    <row r="654" spans="1:13" x14ac:dyDescent="0.3">
      <c r="A654" t="s">
        <v>665</v>
      </c>
      <c r="B654" s="2">
        <v>46149</v>
      </c>
      <c r="C654" s="2">
        <v>46155</v>
      </c>
      <c r="D654" t="s">
        <v>1418</v>
      </c>
      <c r="E654" t="s">
        <v>1515</v>
      </c>
      <c r="F654" t="s">
        <v>1517</v>
      </c>
      <c r="G654" t="s">
        <v>1522</v>
      </c>
      <c r="H654" t="s">
        <v>1531</v>
      </c>
      <c r="I654" t="s">
        <v>2158</v>
      </c>
      <c r="J654">
        <v>4491.0200000000004</v>
      </c>
      <c r="K654">
        <v>3</v>
      </c>
      <c r="L654">
        <v>0</v>
      </c>
      <c r="M654">
        <v>904.67</v>
      </c>
    </row>
    <row r="655" spans="1:13" x14ac:dyDescent="0.3">
      <c r="A655" t="s">
        <v>666</v>
      </c>
      <c r="B655" s="2">
        <v>45902</v>
      </c>
      <c r="C655" s="2">
        <v>45912</v>
      </c>
      <c r="D655" t="s">
        <v>1419</v>
      </c>
      <c r="E655" t="s">
        <v>1515</v>
      </c>
      <c r="F655" t="s">
        <v>1517</v>
      </c>
      <c r="G655" t="s">
        <v>1521</v>
      </c>
      <c r="H655" t="s">
        <v>1530</v>
      </c>
      <c r="I655" t="s">
        <v>2159</v>
      </c>
      <c r="J655">
        <v>806.11</v>
      </c>
      <c r="K655">
        <v>5</v>
      </c>
      <c r="L655">
        <v>0.2</v>
      </c>
      <c r="M655">
        <v>-15.23</v>
      </c>
    </row>
    <row r="656" spans="1:13" x14ac:dyDescent="0.3">
      <c r="A656" t="s">
        <v>667</v>
      </c>
      <c r="B656" s="2">
        <v>45917</v>
      </c>
      <c r="C656" s="2">
        <v>45920</v>
      </c>
      <c r="D656" t="s">
        <v>1420</v>
      </c>
      <c r="E656" t="s">
        <v>1515</v>
      </c>
      <c r="F656" t="s">
        <v>1517</v>
      </c>
      <c r="G656" t="s">
        <v>1522</v>
      </c>
      <c r="H656" t="s">
        <v>1527</v>
      </c>
      <c r="I656" t="s">
        <v>1685</v>
      </c>
      <c r="J656">
        <v>2926.1</v>
      </c>
      <c r="K656">
        <v>4</v>
      </c>
      <c r="L656">
        <v>0.05</v>
      </c>
      <c r="M656">
        <v>-87.93</v>
      </c>
    </row>
    <row r="657" spans="1:13" x14ac:dyDescent="0.3">
      <c r="A657" t="s">
        <v>668</v>
      </c>
      <c r="B657" s="2">
        <v>45246</v>
      </c>
      <c r="C657" s="2">
        <v>45256</v>
      </c>
      <c r="D657" t="s">
        <v>1421</v>
      </c>
      <c r="E657" t="s">
        <v>1515</v>
      </c>
      <c r="F657" t="s">
        <v>1516</v>
      </c>
      <c r="G657" t="s">
        <v>1521</v>
      </c>
      <c r="H657" t="s">
        <v>1530</v>
      </c>
      <c r="I657" t="s">
        <v>2160</v>
      </c>
      <c r="J657">
        <v>4589.7</v>
      </c>
      <c r="K657">
        <v>6</v>
      </c>
      <c r="L657">
        <v>0</v>
      </c>
      <c r="M657">
        <v>488.97</v>
      </c>
    </row>
    <row r="658" spans="1:13" x14ac:dyDescent="0.3">
      <c r="A658" t="s">
        <v>669</v>
      </c>
      <c r="B658" s="2">
        <v>45917</v>
      </c>
      <c r="C658" s="2">
        <v>45920</v>
      </c>
      <c r="D658" t="s">
        <v>1422</v>
      </c>
      <c r="E658" t="s">
        <v>1514</v>
      </c>
      <c r="F658" t="s">
        <v>1518</v>
      </c>
      <c r="G658" t="s">
        <v>1522</v>
      </c>
      <c r="H658" t="s">
        <v>1529</v>
      </c>
      <c r="I658" t="s">
        <v>2161</v>
      </c>
      <c r="J658">
        <v>3649.04</v>
      </c>
      <c r="K658">
        <v>6</v>
      </c>
      <c r="L658">
        <v>0.15</v>
      </c>
      <c r="M658">
        <v>1199.29</v>
      </c>
    </row>
    <row r="659" spans="1:13" x14ac:dyDescent="0.3">
      <c r="A659" t="s">
        <v>670</v>
      </c>
      <c r="B659" s="2">
        <v>45740</v>
      </c>
      <c r="C659" s="2">
        <v>45745</v>
      </c>
      <c r="D659" t="s">
        <v>1423</v>
      </c>
      <c r="E659" t="s">
        <v>1513</v>
      </c>
      <c r="F659" t="s">
        <v>1519</v>
      </c>
      <c r="G659" t="s">
        <v>1520</v>
      </c>
      <c r="H659" t="s">
        <v>1525</v>
      </c>
      <c r="I659" t="s">
        <v>2162</v>
      </c>
      <c r="J659">
        <v>802.19</v>
      </c>
      <c r="K659">
        <v>4</v>
      </c>
      <c r="L659">
        <v>0</v>
      </c>
      <c r="M659">
        <v>-102.4</v>
      </c>
    </row>
    <row r="660" spans="1:13" x14ac:dyDescent="0.3">
      <c r="A660" t="s">
        <v>671</v>
      </c>
      <c r="B660" s="2">
        <v>45294</v>
      </c>
      <c r="C660" s="2">
        <v>45304</v>
      </c>
      <c r="D660" t="s">
        <v>1424</v>
      </c>
      <c r="E660" t="s">
        <v>1514</v>
      </c>
      <c r="F660" t="s">
        <v>1516</v>
      </c>
      <c r="G660" t="s">
        <v>1520</v>
      </c>
      <c r="H660" t="s">
        <v>1525</v>
      </c>
      <c r="I660" t="s">
        <v>2163</v>
      </c>
      <c r="J660">
        <v>1193.01</v>
      </c>
      <c r="K660">
        <v>4</v>
      </c>
      <c r="L660">
        <v>0.05</v>
      </c>
      <c r="M660">
        <v>212.42</v>
      </c>
    </row>
    <row r="661" spans="1:13" x14ac:dyDescent="0.3">
      <c r="A661" t="s">
        <v>672</v>
      </c>
      <c r="B661" s="2">
        <v>45991</v>
      </c>
      <c r="C661" s="2">
        <v>45994</v>
      </c>
      <c r="D661" t="s">
        <v>1425</v>
      </c>
      <c r="E661" t="s">
        <v>1514</v>
      </c>
      <c r="F661" t="s">
        <v>1517</v>
      </c>
      <c r="G661" t="s">
        <v>1520</v>
      </c>
      <c r="H661" t="s">
        <v>1524</v>
      </c>
      <c r="I661" t="s">
        <v>2164</v>
      </c>
      <c r="J661">
        <v>2536.5100000000002</v>
      </c>
      <c r="K661">
        <v>10</v>
      </c>
      <c r="L661">
        <v>0.15</v>
      </c>
      <c r="M661">
        <v>486.02</v>
      </c>
    </row>
    <row r="662" spans="1:13" x14ac:dyDescent="0.3">
      <c r="A662" t="s">
        <v>673</v>
      </c>
      <c r="B662" s="2">
        <v>45930</v>
      </c>
      <c r="C662" s="2">
        <v>45938</v>
      </c>
      <c r="D662" t="s">
        <v>1426</v>
      </c>
      <c r="E662" t="s">
        <v>1513</v>
      </c>
      <c r="F662" t="s">
        <v>1519</v>
      </c>
      <c r="G662" t="s">
        <v>1521</v>
      </c>
      <c r="H662" t="s">
        <v>1526</v>
      </c>
      <c r="I662" t="s">
        <v>2165</v>
      </c>
      <c r="J662">
        <v>730.69</v>
      </c>
      <c r="K662">
        <v>4</v>
      </c>
      <c r="L662">
        <v>0.05</v>
      </c>
      <c r="M662">
        <v>-133.19</v>
      </c>
    </row>
    <row r="663" spans="1:13" x14ac:dyDescent="0.3">
      <c r="A663" t="s">
        <v>674</v>
      </c>
      <c r="B663" s="2">
        <v>46094</v>
      </c>
      <c r="C663" s="2">
        <v>46098</v>
      </c>
      <c r="D663" t="s">
        <v>1427</v>
      </c>
      <c r="E663" t="s">
        <v>1514</v>
      </c>
      <c r="F663" t="s">
        <v>1518</v>
      </c>
      <c r="G663" t="s">
        <v>1521</v>
      </c>
      <c r="H663" t="s">
        <v>1530</v>
      </c>
      <c r="I663" t="s">
        <v>2166</v>
      </c>
      <c r="J663">
        <v>3800.99</v>
      </c>
      <c r="K663">
        <v>2</v>
      </c>
      <c r="L663">
        <v>0.05</v>
      </c>
      <c r="M663">
        <v>1177.95</v>
      </c>
    </row>
    <row r="664" spans="1:13" x14ac:dyDescent="0.3">
      <c r="A664" t="s">
        <v>675</v>
      </c>
      <c r="B664" s="2">
        <v>45878</v>
      </c>
      <c r="C664" s="2">
        <v>45886</v>
      </c>
      <c r="D664" t="s">
        <v>1428</v>
      </c>
      <c r="E664" t="s">
        <v>1515</v>
      </c>
      <c r="F664" t="s">
        <v>1518</v>
      </c>
      <c r="G664" t="s">
        <v>1520</v>
      </c>
      <c r="H664" t="s">
        <v>1524</v>
      </c>
      <c r="I664" t="s">
        <v>2167</v>
      </c>
      <c r="J664">
        <v>4443.5600000000004</v>
      </c>
      <c r="K664">
        <v>7</v>
      </c>
      <c r="L664">
        <v>0.15</v>
      </c>
      <c r="M664">
        <v>1008.32</v>
      </c>
    </row>
    <row r="665" spans="1:13" x14ac:dyDescent="0.3">
      <c r="A665" t="s">
        <v>676</v>
      </c>
      <c r="B665" s="2">
        <v>45444</v>
      </c>
      <c r="C665" s="2">
        <v>45451</v>
      </c>
      <c r="D665" t="s">
        <v>1429</v>
      </c>
      <c r="E665" t="s">
        <v>1515</v>
      </c>
      <c r="F665" t="s">
        <v>1516</v>
      </c>
      <c r="G665" t="s">
        <v>1520</v>
      </c>
      <c r="H665" t="s">
        <v>1524</v>
      </c>
      <c r="I665" t="s">
        <v>2168</v>
      </c>
      <c r="J665">
        <v>3076.95</v>
      </c>
      <c r="K665">
        <v>10</v>
      </c>
      <c r="L665">
        <v>0.2</v>
      </c>
      <c r="M665">
        <v>291.95999999999998</v>
      </c>
    </row>
    <row r="666" spans="1:13" x14ac:dyDescent="0.3">
      <c r="A666" t="s">
        <v>677</v>
      </c>
      <c r="B666" s="2">
        <v>46133</v>
      </c>
      <c r="C666" s="2">
        <v>46141</v>
      </c>
      <c r="D666" t="s">
        <v>1430</v>
      </c>
      <c r="E666" t="s">
        <v>1514</v>
      </c>
      <c r="F666" t="s">
        <v>1516</v>
      </c>
      <c r="G666" t="s">
        <v>1520</v>
      </c>
      <c r="H666" t="s">
        <v>1523</v>
      </c>
      <c r="I666" t="s">
        <v>2169</v>
      </c>
      <c r="J666">
        <v>2311.66</v>
      </c>
      <c r="K666">
        <v>1</v>
      </c>
      <c r="L666">
        <v>0.05</v>
      </c>
      <c r="M666">
        <v>197.15</v>
      </c>
    </row>
    <row r="667" spans="1:13" x14ac:dyDescent="0.3">
      <c r="A667" t="s">
        <v>678</v>
      </c>
      <c r="B667" s="2">
        <v>46000</v>
      </c>
      <c r="C667" s="2">
        <v>46009</v>
      </c>
      <c r="D667" t="s">
        <v>1431</v>
      </c>
      <c r="E667" t="s">
        <v>1514</v>
      </c>
      <c r="F667" t="s">
        <v>1519</v>
      </c>
      <c r="G667" t="s">
        <v>1520</v>
      </c>
      <c r="H667" t="s">
        <v>1524</v>
      </c>
      <c r="I667" t="s">
        <v>2170</v>
      </c>
      <c r="J667">
        <v>3837.54</v>
      </c>
      <c r="K667">
        <v>1</v>
      </c>
      <c r="L667">
        <v>0.05</v>
      </c>
      <c r="M667">
        <v>-152.93</v>
      </c>
    </row>
    <row r="668" spans="1:13" x14ac:dyDescent="0.3">
      <c r="A668" t="s">
        <v>679</v>
      </c>
      <c r="B668" s="2">
        <v>45913</v>
      </c>
      <c r="C668" s="2">
        <v>45916</v>
      </c>
      <c r="D668" t="s">
        <v>1432</v>
      </c>
      <c r="E668" t="s">
        <v>1513</v>
      </c>
      <c r="F668" t="s">
        <v>1518</v>
      </c>
      <c r="G668" t="s">
        <v>1521</v>
      </c>
      <c r="H668" t="s">
        <v>1526</v>
      </c>
      <c r="I668" t="s">
        <v>2171</v>
      </c>
      <c r="J668">
        <v>2141.19</v>
      </c>
      <c r="K668">
        <v>10</v>
      </c>
      <c r="L668">
        <v>0</v>
      </c>
      <c r="M668">
        <v>384.29</v>
      </c>
    </row>
    <row r="669" spans="1:13" x14ac:dyDescent="0.3">
      <c r="A669" t="s">
        <v>680</v>
      </c>
      <c r="B669" t="s">
        <v>764</v>
      </c>
      <c r="C669" s="2">
        <v>45317</v>
      </c>
      <c r="D669" t="s">
        <v>1433</v>
      </c>
      <c r="E669" t="s">
        <v>1515</v>
      </c>
      <c r="F669" t="s">
        <v>1517</v>
      </c>
      <c r="G669" t="s">
        <v>1520</v>
      </c>
      <c r="H669" t="s">
        <v>1524</v>
      </c>
      <c r="I669" t="s">
        <v>2172</v>
      </c>
      <c r="J669">
        <v>3627.1</v>
      </c>
      <c r="K669">
        <v>2</v>
      </c>
      <c r="L669">
        <v>0.05</v>
      </c>
      <c r="M669">
        <v>828.07</v>
      </c>
    </row>
    <row r="670" spans="1:13" x14ac:dyDescent="0.3">
      <c r="A670" t="s">
        <v>681</v>
      </c>
      <c r="B670" s="2">
        <v>45098</v>
      </c>
      <c r="C670" s="2">
        <v>45104</v>
      </c>
      <c r="D670" t="s">
        <v>1434</v>
      </c>
      <c r="E670" t="s">
        <v>1515</v>
      </c>
      <c r="F670" t="s">
        <v>1517</v>
      </c>
      <c r="G670" t="s">
        <v>1521</v>
      </c>
      <c r="H670" t="s">
        <v>1526</v>
      </c>
      <c r="I670" t="s">
        <v>2173</v>
      </c>
      <c r="J670">
        <v>2281.88</v>
      </c>
      <c r="K670">
        <v>3</v>
      </c>
      <c r="L670">
        <v>0.15</v>
      </c>
      <c r="M670">
        <v>284.49</v>
      </c>
    </row>
    <row r="671" spans="1:13" x14ac:dyDescent="0.3">
      <c r="A671" t="s">
        <v>682</v>
      </c>
      <c r="B671" s="2">
        <v>45460</v>
      </c>
      <c r="C671" s="2">
        <v>45465</v>
      </c>
      <c r="D671" t="s">
        <v>1435</v>
      </c>
      <c r="E671" t="s">
        <v>1513</v>
      </c>
      <c r="F671" t="s">
        <v>1516</v>
      </c>
      <c r="G671" t="s">
        <v>1521</v>
      </c>
      <c r="H671" t="s">
        <v>1530</v>
      </c>
      <c r="I671" t="s">
        <v>1927</v>
      </c>
      <c r="J671">
        <v>1654.17</v>
      </c>
      <c r="K671">
        <v>3</v>
      </c>
      <c r="M671">
        <v>336.28</v>
      </c>
    </row>
    <row r="672" spans="1:13" x14ac:dyDescent="0.3">
      <c r="A672" t="s">
        <v>683</v>
      </c>
      <c r="B672" s="2">
        <v>45664</v>
      </c>
      <c r="C672" s="2">
        <v>45670</v>
      </c>
      <c r="D672" t="s">
        <v>1436</v>
      </c>
      <c r="E672" t="s">
        <v>1515</v>
      </c>
      <c r="F672" t="s">
        <v>1517</v>
      </c>
      <c r="G672" t="s">
        <v>1520</v>
      </c>
      <c r="H672" t="s">
        <v>1524</v>
      </c>
      <c r="I672" t="s">
        <v>2174</v>
      </c>
      <c r="J672">
        <v>472.27</v>
      </c>
      <c r="K672">
        <v>7</v>
      </c>
      <c r="M672">
        <v>111.02</v>
      </c>
    </row>
    <row r="673" spans="1:13" x14ac:dyDescent="0.3">
      <c r="A673" t="s">
        <v>684</v>
      </c>
      <c r="B673" s="2">
        <v>45629</v>
      </c>
      <c r="C673" s="2">
        <v>45636</v>
      </c>
      <c r="D673" t="s">
        <v>1437</v>
      </c>
      <c r="E673" t="s">
        <v>1515</v>
      </c>
      <c r="F673" t="s">
        <v>1517</v>
      </c>
      <c r="G673" t="s">
        <v>1521</v>
      </c>
      <c r="H673" t="s">
        <v>1528</v>
      </c>
      <c r="I673" t="s">
        <v>2175</v>
      </c>
      <c r="J673">
        <v>267.33999999999997</v>
      </c>
      <c r="K673">
        <v>3</v>
      </c>
      <c r="L673">
        <v>0.1</v>
      </c>
      <c r="M673">
        <v>29.68</v>
      </c>
    </row>
    <row r="674" spans="1:13" x14ac:dyDescent="0.3">
      <c r="A674" t="s">
        <v>685</v>
      </c>
      <c r="B674" s="2">
        <v>45131</v>
      </c>
      <c r="C674" s="2">
        <v>45134</v>
      </c>
      <c r="D674" t="s">
        <v>1438</v>
      </c>
      <c r="E674" t="s">
        <v>1515</v>
      </c>
      <c r="F674" t="s">
        <v>1518</v>
      </c>
      <c r="G674" t="s">
        <v>1522</v>
      </c>
      <c r="H674" t="s">
        <v>1531</v>
      </c>
      <c r="I674" t="s">
        <v>1553</v>
      </c>
      <c r="J674">
        <v>3857.33</v>
      </c>
      <c r="K674">
        <v>1</v>
      </c>
      <c r="L674">
        <v>0.15</v>
      </c>
      <c r="M674">
        <v>-117.9</v>
      </c>
    </row>
    <row r="675" spans="1:13" x14ac:dyDescent="0.3">
      <c r="A675" t="s">
        <v>686</v>
      </c>
      <c r="B675" s="2">
        <v>45710</v>
      </c>
      <c r="C675" s="2">
        <v>45713</v>
      </c>
      <c r="D675" t="s">
        <v>1439</v>
      </c>
      <c r="E675" t="s">
        <v>1514</v>
      </c>
      <c r="F675" t="s">
        <v>1516</v>
      </c>
      <c r="G675" t="s">
        <v>1521</v>
      </c>
      <c r="H675" t="s">
        <v>1528</v>
      </c>
      <c r="I675" t="s">
        <v>2176</v>
      </c>
      <c r="J675">
        <v>631.89</v>
      </c>
      <c r="K675">
        <v>3</v>
      </c>
      <c r="L675">
        <v>0.05</v>
      </c>
      <c r="M675">
        <v>-125.15</v>
      </c>
    </row>
    <row r="676" spans="1:13" x14ac:dyDescent="0.3">
      <c r="A676" t="s">
        <v>687</v>
      </c>
      <c r="B676" s="2">
        <v>45931</v>
      </c>
      <c r="C676" s="2">
        <v>45939</v>
      </c>
      <c r="D676" t="s">
        <v>1440</v>
      </c>
      <c r="E676" t="s">
        <v>1513</v>
      </c>
      <c r="F676" t="s">
        <v>1517</v>
      </c>
      <c r="G676" t="s">
        <v>1521</v>
      </c>
      <c r="H676" t="s">
        <v>1526</v>
      </c>
      <c r="I676" t="s">
        <v>2177</v>
      </c>
      <c r="J676">
        <v>2740.33</v>
      </c>
      <c r="K676">
        <v>1</v>
      </c>
      <c r="L676">
        <v>0.2</v>
      </c>
      <c r="M676">
        <v>782.33</v>
      </c>
    </row>
    <row r="677" spans="1:13" x14ac:dyDescent="0.3">
      <c r="A677" t="s">
        <v>688</v>
      </c>
      <c r="B677" s="2">
        <v>45336</v>
      </c>
      <c r="C677" s="2">
        <v>45344</v>
      </c>
      <c r="D677" t="s">
        <v>1441</v>
      </c>
      <c r="E677" t="s">
        <v>1513</v>
      </c>
      <c r="F677" t="s">
        <v>1517</v>
      </c>
      <c r="G677" t="s">
        <v>1520</v>
      </c>
      <c r="H677" t="s">
        <v>1525</v>
      </c>
      <c r="I677" t="s">
        <v>2178</v>
      </c>
      <c r="J677">
        <v>2296.0100000000002</v>
      </c>
      <c r="K677">
        <v>8</v>
      </c>
      <c r="L677">
        <v>0</v>
      </c>
      <c r="M677">
        <v>300.02</v>
      </c>
    </row>
    <row r="678" spans="1:13" x14ac:dyDescent="0.3">
      <c r="A678" t="s">
        <v>689</v>
      </c>
      <c r="B678" s="2">
        <v>45213</v>
      </c>
      <c r="C678" s="2">
        <v>45223</v>
      </c>
      <c r="D678" t="s">
        <v>1442</v>
      </c>
      <c r="E678" t="s">
        <v>1513</v>
      </c>
      <c r="F678" t="s">
        <v>1519</v>
      </c>
      <c r="G678" t="s">
        <v>1520</v>
      </c>
      <c r="H678" t="s">
        <v>1524</v>
      </c>
      <c r="I678" t="s">
        <v>2179</v>
      </c>
      <c r="J678">
        <v>3161.75</v>
      </c>
      <c r="K678">
        <v>4</v>
      </c>
      <c r="L678">
        <v>0</v>
      </c>
      <c r="M678">
        <v>-310.92</v>
      </c>
    </row>
    <row r="679" spans="1:13" x14ac:dyDescent="0.3">
      <c r="A679" t="s">
        <v>690</v>
      </c>
      <c r="B679" s="2">
        <v>45754</v>
      </c>
      <c r="C679" s="2">
        <v>45755</v>
      </c>
      <c r="D679" t="s">
        <v>1443</v>
      </c>
      <c r="E679" t="s">
        <v>1513</v>
      </c>
      <c r="F679" t="s">
        <v>1516</v>
      </c>
      <c r="G679" t="s">
        <v>1522</v>
      </c>
      <c r="H679" t="s">
        <v>1531</v>
      </c>
      <c r="I679" t="s">
        <v>2180</v>
      </c>
      <c r="J679">
        <v>3351.63</v>
      </c>
      <c r="K679">
        <v>10</v>
      </c>
      <c r="L679">
        <v>0.1</v>
      </c>
      <c r="M679">
        <v>-59.96</v>
      </c>
    </row>
    <row r="680" spans="1:13" x14ac:dyDescent="0.3">
      <c r="A680" t="s">
        <v>691</v>
      </c>
      <c r="B680" s="2">
        <v>46094</v>
      </c>
      <c r="C680" s="2">
        <v>46097</v>
      </c>
      <c r="D680" t="s">
        <v>1444</v>
      </c>
      <c r="E680" t="s">
        <v>1515</v>
      </c>
      <c r="F680" t="s">
        <v>1517</v>
      </c>
      <c r="G680" t="s">
        <v>1522</v>
      </c>
      <c r="H680" t="s">
        <v>1529</v>
      </c>
      <c r="I680" t="s">
        <v>2181</v>
      </c>
      <c r="J680">
        <v>848.61</v>
      </c>
      <c r="K680">
        <v>5</v>
      </c>
      <c r="L680">
        <v>0.2</v>
      </c>
      <c r="M680">
        <v>138.75</v>
      </c>
    </row>
    <row r="681" spans="1:13" x14ac:dyDescent="0.3">
      <c r="A681" t="s">
        <v>692</v>
      </c>
      <c r="B681" s="2">
        <v>45368</v>
      </c>
      <c r="C681" s="2">
        <v>45378</v>
      </c>
      <c r="D681" t="s">
        <v>1445</v>
      </c>
      <c r="E681" t="s">
        <v>1514</v>
      </c>
      <c r="F681" t="s">
        <v>1519</v>
      </c>
      <c r="G681" t="s">
        <v>1521</v>
      </c>
      <c r="H681" t="s">
        <v>1528</v>
      </c>
      <c r="I681" t="s">
        <v>2182</v>
      </c>
      <c r="J681">
        <v>1832.93</v>
      </c>
      <c r="K681">
        <v>1</v>
      </c>
      <c r="L681">
        <v>0</v>
      </c>
      <c r="M681">
        <v>408.16</v>
      </c>
    </row>
    <row r="682" spans="1:13" x14ac:dyDescent="0.3">
      <c r="A682" t="s">
        <v>693</v>
      </c>
      <c r="B682" s="2">
        <v>45354</v>
      </c>
      <c r="C682" s="2">
        <v>45361</v>
      </c>
      <c r="E682" t="s">
        <v>1513</v>
      </c>
      <c r="F682" t="s">
        <v>1519</v>
      </c>
      <c r="G682" t="s">
        <v>1521</v>
      </c>
      <c r="H682" t="s">
        <v>1530</v>
      </c>
      <c r="I682" t="s">
        <v>2183</v>
      </c>
      <c r="J682">
        <v>4224.38</v>
      </c>
      <c r="K682">
        <v>2</v>
      </c>
      <c r="L682">
        <v>0.1</v>
      </c>
      <c r="M682">
        <v>249.02</v>
      </c>
    </row>
    <row r="683" spans="1:13" x14ac:dyDescent="0.3">
      <c r="A683" t="s">
        <v>694</v>
      </c>
      <c r="B683" s="2">
        <v>45085</v>
      </c>
      <c r="C683" s="2">
        <v>45092</v>
      </c>
      <c r="D683" t="s">
        <v>1446</v>
      </c>
      <c r="E683" t="s">
        <v>1515</v>
      </c>
      <c r="F683" t="s">
        <v>1516</v>
      </c>
      <c r="G683" t="s">
        <v>1521</v>
      </c>
      <c r="H683" t="s">
        <v>1528</v>
      </c>
      <c r="I683" t="s">
        <v>2184</v>
      </c>
      <c r="J683">
        <v>2647</v>
      </c>
      <c r="K683">
        <v>4</v>
      </c>
      <c r="L683">
        <v>0.2</v>
      </c>
      <c r="M683">
        <v>-444.69</v>
      </c>
    </row>
    <row r="684" spans="1:13" x14ac:dyDescent="0.3">
      <c r="A684" t="s">
        <v>695</v>
      </c>
      <c r="B684" s="2">
        <v>45904</v>
      </c>
      <c r="C684" s="2">
        <v>45914</v>
      </c>
      <c r="D684" t="s">
        <v>1447</v>
      </c>
      <c r="E684" t="s">
        <v>1514</v>
      </c>
      <c r="F684" t="s">
        <v>1519</v>
      </c>
      <c r="G684" t="s">
        <v>1521</v>
      </c>
      <c r="H684" t="s">
        <v>1528</v>
      </c>
      <c r="I684" t="s">
        <v>2185</v>
      </c>
      <c r="J684">
        <v>4672.76</v>
      </c>
      <c r="K684">
        <v>5</v>
      </c>
      <c r="L684">
        <v>0.15</v>
      </c>
      <c r="M684">
        <v>630.19000000000005</v>
      </c>
    </row>
    <row r="685" spans="1:13" x14ac:dyDescent="0.3">
      <c r="A685" t="s">
        <v>696</v>
      </c>
      <c r="B685" s="2">
        <v>46035</v>
      </c>
      <c r="C685" s="2">
        <v>46045</v>
      </c>
      <c r="D685" t="s">
        <v>1448</v>
      </c>
      <c r="E685" t="s">
        <v>1515</v>
      </c>
      <c r="F685" t="s">
        <v>1518</v>
      </c>
      <c r="G685" t="s">
        <v>1520</v>
      </c>
      <c r="H685" t="s">
        <v>1525</v>
      </c>
      <c r="I685" t="s">
        <v>1665</v>
      </c>
      <c r="J685">
        <v>1801.57</v>
      </c>
      <c r="K685">
        <v>3</v>
      </c>
      <c r="L685">
        <v>0.2</v>
      </c>
      <c r="M685">
        <v>197.18</v>
      </c>
    </row>
    <row r="686" spans="1:13" x14ac:dyDescent="0.3">
      <c r="A686" t="s">
        <v>697</v>
      </c>
      <c r="B686" s="2">
        <v>45534</v>
      </c>
      <c r="C686" s="2">
        <v>45544</v>
      </c>
      <c r="D686" t="s">
        <v>1449</v>
      </c>
      <c r="E686" t="s">
        <v>1513</v>
      </c>
      <c r="F686" t="s">
        <v>1518</v>
      </c>
      <c r="G686" t="s">
        <v>1521</v>
      </c>
      <c r="H686" t="s">
        <v>1530</v>
      </c>
      <c r="I686" t="s">
        <v>2186</v>
      </c>
      <c r="J686">
        <v>1201.97</v>
      </c>
      <c r="K686">
        <v>5</v>
      </c>
      <c r="L686">
        <v>0.05</v>
      </c>
      <c r="M686">
        <v>-239.35</v>
      </c>
    </row>
    <row r="687" spans="1:13" x14ac:dyDescent="0.3">
      <c r="A687" t="s">
        <v>698</v>
      </c>
      <c r="B687" s="2">
        <v>45548</v>
      </c>
      <c r="C687" s="2">
        <v>45552</v>
      </c>
      <c r="D687" t="s">
        <v>1450</v>
      </c>
      <c r="E687" t="s">
        <v>1514</v>
      </c>
      <c r="G687" t="s">
        <v>1520</v>
      </c>
      <c r="H687" t="s">
        <v>1523</v>
      </c>
      <c r="I687" t="s">
        <v>2187</v>
      </c>
      <c r="J687">
        <v>4007.84</v>
      </c>
      <c r="K687">
        <v>7</v>
      </c>
      <c r="L687">
        <v>0.15</v>
      </c>
      <c r="M687">
        <v>-701.29</v>
      </c>
    </row>
    <row r="688" spans="1:13" x14ac:dyDescent="0.3">
      <c r="A688" t="s">
        <v>699</v>
      </c>
      <c r="B688" s="2">
        <v>45666</v>
      </c>
      <c r="C688" s="2">
        <v>45670</v>
      </c>
      <c r="D688" t="s">
        <v>1451</v>
      </c>
      <c r="E688" t="s">
        <v>1515</v>
      </c>
      <c r="G688" t="s">
        <v>1522</v>
      </c>
      <c r="H688" t="s">
        <v>1527</v>
      </c>
      <c r="I688" t="s">
        <v>2188</v>
      </c>
      <c r="J688">
        <v>3465.58</v>
      </c>
      <c r="K688">
        <v>5</v>
      </c>
      <c r="L688">
        <v>0</v>
      </c>
      <c r="M688">
        <v>-106.48</v>
      </c>
    </row>
    <row r="689" spans="1:13" x14ac:dyDescent="0.3">
      <c r="A689" t="s">
        <v>700</v>
      </c>
      <c r="B689" s="2">
        <v>46075</v>
      </c>
      <c r="C689" s="2">
        <v>46081</v>
      </c>
      <c r="D689" t="s">
        <v>1452</v>
      </c>
      <c r="E689" t="s">
        <v>1513</v>
      </c>
      <c r="F689" t="s">
        <v>1517</v>
      </c>
      <c r="G689" t="s">
        <v>1522</v>
      </c>
      <c r="H689" t="s">
        <v>1531</v>
      </c>
      <c r="I689" t="s">
        <v>2189</v>
      </c>
      <c r="J689">
        <v>1739.74</v>
      </c>
      <c r="K689">
        <v>10</v>
      </c>
      <c r="L689">
        <v>0.2</v>
      </c>
      <c r="M689">
        <v>570.74</v>
      </c>
    </row>
    <row r="690" spans="1:13" x14ac:dyDescent="0.3">
      <c r="A690" t="s">
        <v>701</v>
      </c>
      <c r="B690" s="2">
        <v>45638</v>
      </c>
      <c r="C690" s="2">
        <v>45646</v>
      </c>
      <c r="D690" t="s">
        <v>1453</v>
      </c>
      <c r="E690" t="s">
        <v>1513</v>
      </c>
      <c r="F690" t="s">
        <v>1518</v>
      </c>
      <c r="G690" t="s">
        <v>1521</v>
      </c>
      <c r="H690" t="s">
        <v>1526</v>
      </c>
      <c r="I690" t="s">
        <v>2190</v>
      </c>
      <c r="J690">
        <v>4585.01</v>
      </c>
      <c r="K690">
        <v>1</v>
      </c>
      <c r="M690">
        <v>-574.66</v>
      </c>
    </row>
    <row r="691" spans="1:13" x14ac:dyDescent="0.3">
      <c r="A691" t="s">
        <v>702</v>
      </c>
      <c r="B691" s="2">
        <v>45390</v>
      </c>
      <c r="C691" s="2">
        <v>45398</v>
      </c>
      <c r="D691" t="s">
        <v>1454</v>
      </c>
      <c r="E691" t="s">
        <v>1515</v>
      </c>
      <c r="F691" t="s">
        <v>1519</v>
      </c>
      <c r="G691" t="s">
        <v>1520</v>
      </c>
      <c r="H691" t="s">
        <v>1524</v>
      </c>
      <c r="I691" t="s">
        <v>2191</v>
      </c>
      <c r="J691">
        <v>3930.75</v>
      </c>
      <c r="K691">
        <v>7</v>
      </c>
      <c r="M691">
        <v>-665.03</v>
      </c>
    </row>
    <row r="692" spans="1:13" x14ac:dyDescent="0.3">
      <c r="A692" t="s">
        <v>703</v>
      </c>
      <c r="B692" s="2">
        <v>45955</v>
      </c>
      <c r="C692" s="2">
        <v>45961</v>
      </c>
      <c r="D692" t="s">
        <v>1455</v>
      </c>
      <c r="E692" t="s">
        <v>1514</v>
      </c>
      <c r="G692" t="s">
        <v>1520</v>
      </c>
      <c r="H692" t="s">
        <v>1525</v>
      </c>
      <c r="I692" t="s">
        <v>2192</v>
      </c>
      <c r="J692">
        <v>2798.13</v>
      </c>
      <c r="K692">
        <v>1</v>
      </c>
      <c r="L692">
        <v>0.05</v>
      </c>
      <c r="M692">
        <v>328.97</v>
      </c>
    </row>
    <row r="693" spans="1:13" x14ac:dyDescent="0.3">
      <c r="A693" t="s">
        <v>704</v>
      </c>
      <c r="B693" s="2">
        <v>45650</v>
      </c>
      <c r="C693" s="2">
        <v>45655</v>
      </c>
      <c r="D693" t="s">
        <v>1456</v>
      </c>
      <c r="E693" t="s">
        <v>1513</v>
      </c>
      <c r="F693" t="s">
        <v>1518</v>
      </c>
      <c r="G693" t="s">
        <v>1522</v>
      </c>
      <c r="H693" t="s">
        <v>1531</v>
      </c>
      <c r="I693" t="s">
        <v>2193</v>
      </c>
      <c r="J693">
        <v>4211.66</v>
      </c>
      <c r="K693">
        <v>6</v>
      </c>
      <c r="L693">
        <v>0.15</v>
      </c>
      <c r="M693">
        <v>608.92999999999995</v>
      </c>
    </row>
    <row r="694" spans="1:13" x14ac:dyDescent="0.3">
      <c r="A694" t="s">
        <v>705</v>
      </c>
      <c r="B694" s="2">
        <v>45506</v>
      </c>
      <c r="C694" s="2">
        <v>45508</v>
      </c>
      <c r="D694" t="s">
        <v>1457</v>
      </c>
      <c r="E694" t="s">
        <v>1515</v>
      </c>
      <c r="F694" t="s">
        <v>1516</v>
      </c>
      <c r="G694" t="s">
        <v>1522</v>
      </c>
      <c r="H694" t="s">
        <v>1527</v>
      </c>
      <c r="I694" t="s">
        <v>2194</v>
      </c>
      <c r="J694">
        <v>4329.74</v>
      </c>
      <c r="K694">
        <v>5</v>
      </c>
      <c r="M694">
        <v>1176.83</v>
      </c>
    </row>
    <row r="695" spans="1:13" x14ac:dyDescent="0.3">
      <c r="A695" t="s">
        <v>706</v>
      </c>
      <c r="B695" s="2">
        <v>45735</v>
      </c>
      <c r="C695" s="2">
        <v>45737</v>
      </c>
      <c r="D695" t="s">
        <v>1458</v>
      </c>
      <c r="E695" t="s">
        <v>1514</v>
      </c>
      <c r="F695" t="s">
        <v>1517</v>
      </c>
      <c r="G695" t="s">
        <v>1521</v>
      </c>
      <c r="H695" t="s">
        <v>1526</v>
      </c>
      <c r="I695" t="s">
        <v>2195</v>
      </c>
      <c r="J695">
        <v>2510.42</v>
      </c>
      <c r="K695">
        <v>4</v>
      </c>
      <c r="L695">
        <v>0.1</v>
      </c>
      <c r="M695">
        <v>121.88</v>
      </c>
    </row>
    <row r="696" spans="1:13" x14ac:dyDescent="0.3">
      <c r="A696" t="s">
        <v>707</v>
      </c>
      <c r="B696" s="2">
        <v>45894</v>
      </c>
      <c r="C696" s="2">
        <v>45897</v>
      </c>
      <c r="D696" t="s">
        <v>1459</v>
      </c>
      <c r="E696" t="s">
        <v>1514</v>
      </c>
      <c r="F696" t="s">
        <v>1516</v>
      </c>
      <c r="G696" t="s">
        <v>1520</v>
      </c>
      <c r="H696" t="s">
        <v>1524</v>
      </c>
      <c r="I696" t="s">
        <v>2196</v>
      </c>
      <c r="J696">
        <v>605.54</v>
      </c>
      <c r="K696">
        <v>1</v>
      </c>
      <c r="L696">
        <v>0.05</v>
      </c>
      <c r="M696">
        <v>183.08</v>
      </c>
    </row>
    <row r="697" spans="1:13" x14ac:dyDescent="0.3">
      <c r="A697" t="s">
        <v>708</v>
      </c>
      <c r="B697" s="2">
        <v>46069</v>
      </c>
      <c r="C697" s="2">
        <v>46072</v>
      </c>
      <c r="D697" t="s">
        <v>1460</v>
      </c>
      <c r="E697" t="s">
        <v>1514</v>
      </c>
      <c r="F697" t="s">
        <v>1519</v>
      </c>
      <c r="G697" t="s">
        <v>1521</v>
      </c>
      <c r="H697" t="s">
        <v>1528</v>
      </c>
      <c r="I697" t="s">
        <v>2197</v>
      </c>
      <c r="J697">
        <v>991.55</v>
      </c>
      <c r="K697">
        <v>8</v>
      </c>
      <c r="M697">
        <v>278.26</v>
      </c>
    </row>
    <row r="698" spans="1:13" x14ac:dyDescent="0.3">
      <c r="A698" t="s">
        <v>709</v>
      </c>
      <c r="B698" s="2">
        <v>45459</v>
      </c>
      <c r="C698" s="2">
        <v>45468</v>
      </c>
      <c r="D698" t="s">
        <v>1461</v>
      </c>
      <c r="E698" t="s">
        <v>1514</v>
      </c>
      <c r="F698" t="s">
        <v>1518</v>
      </c>
      <c r="G698" t="s">
        <v>1522</v>
      </c>
      <c r="H698" t="s">
        <v>1531</v>
      </c>
      <c r="I698" t="s">
        <v>2198</v>
      </c>
      <c r="J698">
        <v>3399.75</v>
      </c>
      <c r="K698">
        <v>3</v>
      </c>
      <c r="L698">
        <v>0.05</v>
      </c>
      <c r="M698">
        <v>674.9</v>
      </c>
    </row>
    <row r="699" spans="1:13" x14ac:dyDescent="0.3">
      <c r="A699" t="s">
        <v>710</v>
      </c>
      <c r="B699" s="2">
        <v>45856</v>
      </c>
      <c r="C699" s="2">
        <v>45858</v>
      </c>
      <c r="D699" t="s">
        <v>1462</v>
      </c>
      <c r="E699" t="s">
        <v>1513</v>
      </c>
      <c r="F699" t="s">
        <v>1519</v>
      </c>
      <c r="G699" t="s">
        <v>1520</v>
      </c>
      <c r="H699" t="s">
        <v>1525</v>
      </c>
      <c r="I699" t="s">
        <v>2199</v>
      </c>
      <c r="J699">
        <v>70.34</v>
      </c>
      <c r="K699">
        <v>1</v>
      </c>
      <c r="M699">
        <v>18.739999999999998</v>
      </c>
    </row>
    <row r="700" spans="1:13" x14ac:dyDescent="0.3">
      <c r="A700" t="s">
        <v>711</v>
      </c>
      <c r="B700" s="2">
        <v>45471</v>
      </c>
      <c r="C700" s="2">
        <v>45473</v>
      </c>
      <c r="D700" t="s">
        <v>1463</v>
      </c>
      <c r="E700" t="s">
        <v>1514</v>
      </c>
      <c r="F700" t="s">
        <v>1517</v>
      </c>
      <c r="G700" t="s">
        <v>1521</v>
      </c>
      <c r="H700" t="s">
        <v>1530</v>
      </c>
      <c r="I700" t="s">
        <v>1861</v>
      </c>
      <c r="J700">
        <v>2626.86</v>
      </c>
      <c r="K700">
        <v>5</v>
      </c>
      <c r="L700">
        <v>0</v>
      </c>
      <c r="M700">
        <v>309.07</v>
      </c>
    </row>
    <row r="701" spans="1:13" x14ac:dyDescent="0.3">
      <c r="A701" t="s">
        <v>712</v>
      </c>
      <c r="B701" s="2">
        <v>46036</v>
      </c>
      <c r="C701" s="2">
        <v>46040</v>
      </c>
      <c r="D701" t="s">
        <v>1464</v>
      </c>
      <c r="F701" t="s">
        <v>1516</v>
      </c>
      <c r="G701" t="s">
        <v>1521</v>
      </c>
      <c r="H701" t="s">
        <v>1530</v>
      </c>
      <c r="I701" t="s">
        <v>2200</v>
      </c>
      <c r="J701">
        <v>1468.51</v>
      </c>
      <c r="K701">
        <v>9</v>
      </c>
      <c r="L701">
        <v>0.1</v>
      </c>
      <c r="M701">
        <v>330.46</v>
      </c>
    </row>
    <row r="702" spans="1:13" x14ac:dyDescent="0.3">
      <c r="A702" t="s">
        <v>713</v>
      </c>
      <c r="B702" s="2">
        <v>45922</v>
      </c>
      <c r="C702" s="2">
        <v>45925</v>
      </c>
      <c r="D702" t="s">
        <v>1465</v>
      </c>
      <c r="E702" t="s">
        <v>1513</v>
      </c>
      <c r="F702" t="s">
        <v>1517</v>
      </c>
      <c r="G702" t="s">
        <v>1521</v>
      </c>
      <c r="H702" t="s">
        <v>1530</v>
      </c>
      <c r="I702" t="s">
        <v>2201</v>
      </c>
      <c r="J702">
        <v>1404.5</v>
      </c>
      <c r="K702">
        <v>1</v>
      </c>
      <c r="L702">
        <v>0.2</v>
      </c>
      <c r="M702">
        <v>151.4</v>
      </c>
    </row>
    <row r="703" spans="1:13" x14ac:dyDescent="0.3">
      <c r="A703" t="s">
        <v>714</v>
      </c>
      <c r="B703" s="2">
        <v>45310</v>
      </c>
      <c r="C703" s="2">
        <v>45319</v>
      </c>
      <c r="D703" t="s">
        <v>1466</v>
      </c>
      <c r="E703" t="s">
        <v>1515</v>
      </c>
      <c r="F703" t="s">
        <v>1517</v>
      </c>
      <c r="G703" t="s">
        <v>1520</v>
      </c>
      <c r="H703" t="s">
        <v>1524</v>
      </c>
      <c r="I703" t="s">
        <v>2202</v>
      </c>
      <c r="J703">
        <v>1626.5</v>
      </c>
      <c r="K703">
        <v>3</v>
      </c>
      <c r="M703">
        <v>393.94</v>
      </c>
    </row>
    <row r="704" spans="1:13" x14ac:dyDescent="0.3">
      <c r="A704" t="s">
        <v>715</v>
      </c>
      <c r="B704" s="2">
        <v>45614</v>
      </c>
      <c r="C704" s="2">
        <v>45619</v>
      </c>
      <c r="D704" t="s">
        <v>1467</v>
      </c>
      <c r="E704" t="s">
        <v>1513</v>
      </c>
      <c r="F704" t="s">
        <v>1516</v>
      </c>
      <c r="G704" t="s">
        <v>1522</v>
      </c>
      <c r="H704" t="s">
        <v>1531</v>
      </c>
      <c r="I704" t="s">
        <v>2158</v>
      </c>
      <c r="J704">
        <v>3085.65</v>
      </c>
      <c r="K704">
        <v>6</v>
      </c>
      <c r="L704">
        <v>0.2</v>
      </c>
      <c r="M704">
        <v>135.79</v>
      </c>
    </row>
    <row r="705" spans="1:13" x14ac:dyDescent="0.3">
      <c r="A705" t="s">
        <v>716</v>
      </c>
      <c r="B705" s="2">
        <v>46135</v>
      </c>
      <c r="C705" s="2">
        <v>46136</v>
      </c>
      <c r="D705" t="s">
        <v>1468</v>
      </c>
      <c r="E705" t="s">
        <v>1513</v>
      </c>
      <c r="F705" t="s">
        <v>1518</v>
      </c>
      <c r="G705" t="s">
        <v>1521</v>
      </c>
      <c r="H705" t="s">
        <v>1528</v>
      </c>
      <c r="I705" t="s">
        <v>2203</v>
      </c>
      <c r="J705">
        <v>574.34</v>
      </c>
      <c r="K705">
        <v>1</v>
      </c>
      <c r="L705">
        <v>0</v>
      </c>
      <c r="M705">
        <v>19.850000000000001</v>
      </c>
    </row>
    <row r="706" spans="1:13" x14ac:dyDescent="0.3">
      <c r="A706" t="s">
        <v>717</v>
      </c>
      <c r="B706" s="2">
        <v>46026</v>
      </c>
      <c r="C706" s="2">
        <v>46031</v>
      </c>
      <c r="D706" t="s">
        <v>1469</v>
      </c>
      <c r="E706" t="s">
        <v>1515</v>
      </c>
      <c r="F706" t="s">
        <v>1516</v>
      </c>
      <c r="G706" t="s">
        <v>1520</v>
      </c>
      <c r="H706" t="s">
        <v>1524</v>
      </c>
      <c r="I706" t="s">
        <v>2204</v>
      </c>
      <c r="J706">
        <v>1695.04</v>
      </c>
      <c r="K706">
        <v>4</v>
      </c>
      <c r="M706">
        <v>368.03</v>
      </c>
    </row>
    <row r="707" spans="1:13" x14ac:dyDescent="0.3">
      <c r="A707" t="s">
        <v>718</v>
      </c>
      <c r="B707" s="2">
        <v>45719</v>
      </c>
      <c r="C707" s="2">
        <v>45722</v>
      </c>
      <c r="D707" t="s">
        <v>1470</v>
      </c>
      <c r="E707" t="s">
        <v>1515</v>
      </c>
      <c r="F707" t="s">
        <v>1518</v>
      </c>
      <c r="G707" t="s">
        <v>1521</v>
      </c>
      <c r="H707" t="s">
        <v>1528</v>
      </c>
      <c r="I707" t="s">
        <v>2205</v>
      </c>
      <c r="J707">
        <v>509.94</v>
      </c>
      <c r="K707">
        <v>8</v>
      </c>
      <c r="L707">
        <v>0</v>
      </c>
      <c r="M707">
        <v>25.79</v>
      </c>
    </row>
    <row r="708" spans="1:13" x14ac:dyDescent="0.3">
      <c r="A708" t="s">
        <v>719</v>
      </c>
      <c r="B708" s="2">
        <v>45797</v>
      </c>
      <c r="C708" s="2">
        <v>45801</v>
      </c>
      <c r="D708" t="s">
        <v>1471</v>
      </c>
      <c r="E708" t="s">
        <v>1514</v>
      </c>
      <c r="F708" t="s">
        <v>1517</v>
      </c>
      <c r="G708" t="s">
        <v>1521</v>
      </c>
      <c r="H708" t="s">
        <v>1530</v>
      </c>
      <c r="I708" t="s">
        <v>2206</v>
      </c>
      <c r="J708">
        <v>761.42</v>
      </c>
      <c r="K708">
        <v>10</v>
      </c>
      <c r="L708">
        <v>0.1</v>
      </c>
      <c r="M708">
        <v>230.01</v>
      </c>
    </row>
    <row r="709" spans="1:13" x14ac:dyDescent="0.3">
      <c r="A709" t="s">
        <v>720</v>
      </c>
      <c r="B709" s="2">
        <v>45257</v>
      </c>
      <c r="C709" s="2">
        <v>45263</v>
      </c>
      <c r="D709" t="s">
        <v>1472</v>
      </c>
      <c r="E709" t="s">
        <v>1513</v>
      </c>
      <c r="F709" t="s">
        <v>1518</v>
      </c>
      <c r="G709" t="s">
        <v>1520</v>
      </c>
      <c r="H709" t="s">
        <v>1525</v>
      </c>
      <c r="I709" t="s">
        <v>2207</v>
      </c>
      <c r="J709">
        <v>3954.45</v>
      </c>
      <c r="K709">
        <v>6</v>
      </c>
      <c r="L709">
        <v>0.15</v>
      </c>
      <c r="M709">
        <v>269.41000000000003</v>
      </c>
    </row>
    <row r="710" spans="1:13" x14ac:dyDescent="0.3">
      <c r="A710" t="s">
        <v>721</v>
      </c>
      <c r="B710" s="2">
        <v>45932</v>
      </c>
      <c r="C710" s="2">
        <v>45940</v>
      </c>
      <c r="D710" t="s">
        <v>1473</v>
      </c>
      <c r="E710" t="s">
        <v>1515</v>
      </c>
      <c r="F710" t="s">
        <v>1517</v>
      </c>
      <c r="G710" t="s">
        <v>1522</v>
      </c>
      <c r="H710" t="s">
        <v>1529</v>
      </c>
      <c r="I710" t="s">
        <v>2208</v>
      </c>
      <c r="J710">
        <v>2333.15</v>
      </c>
      <c r="K710">
        <v>3</v>
      </c>
      <c r="L710">
        <v>0.1</v>
      </c>
      <c r="M710">
        <v>518.82000000000005</v>
      </c>
    </row>
    <row r="711" spans="1:13" x14ac:dyDescent="0.3">
      <c r="A711" t="s">
        <v>722</v>
      </c>
      <c r="B711" s="2">
        <v>45670</v>
      </c>
      <c r="C711" s="2">
        <v>45677</v>
      </c>
      <c r="D711" t="s">
        <v>1474</v>
      </c>
      <c r="E711" t="s">
        <v>1513</v>
      </c>
      <c r="F711" t="s">
        <v>1519</v>
      </c>
      <c r="G711" t="s">
        <v>1520</v>
      </c>
      <c r="H711" t="s">
        <v>1523</v>
      </c>
      <c r="I711" t="s">
        <v>2209</v>
      </c>
      <c r="J711">
        <v>4096.8900000000003</v>
      </c>
      <c r="K711">
        <v>2</v>
      </c>
      <c r="L711">
        <v>0.1</v>
      </c>
      <c r="M711">
        <v>433.79</v>
      </c>
    </row>
    <row r="712" spans="1:13" x14ac:dyDescent="0.3">
      <c r="A712" t="s">
        <v>723</v>
      </c>
      <c r="B712" s="2">
        <v>45406</v>
      </c>
      <c r="C712" s="2">
        <v>45413</v>
      </c>
      <c r="D712" t="s">
        <v>1475</v>
      </c>
      <c r="E712" t="s">
        <v>1513</v>
      </c>
      <c r="F712" t="s">
        <v>1518</v>
      </c>
      <c r="G712" t="s">
        <v>1520</v>
      </c>
      <c r="H712" t="s">
        <v>1524</v>
      </c>
      <c r="I712" t="s">
        <v>1541</v>
      </c>
      <c r="J712">
        <v>2973.15</v>
      </c>
      <c r="K712">
        <v>4</v>
      </c>
      <c r="L712">
        <v>0.2</v>
      </c>
      <c r="M712">
        <v>-196.14</v>
      </c>
    </row>
    <row r="713" spans="1:13" x14ac:dyDescent="0.3">
      <c r="A713" t="s">
        <v>724</v>
      </c>
      <c r="B713" s="2">
        <v>45452</v>
      </c>
      <c r="C713" s="2">
        <v>45458</v>
      </c>
      <c r="D713" t="s">
        <v>1476</v>
      </c>
      <c r="E713" t="s">
        <v>1514</v>
      </c>
      <c r="F713" t="s">
        <v>1519</v>
      </c>
      <c r="G713" t="s">
        <v>1521</v>
      </c>
      <c r="H713" t="s">
        <v>1530</v>
      </c>
      <c r="I713" t="s">
        <v>2210</v>
      </c>
      <c r="J713">
        <v>1080.78</v>
      </c>
      <c r="K713">
        <v>10</v>
      </c>
      <c r="L713">
        <v>0.15</v>
      </c>
      <c r="M713">
        <v>250.06</v>
      </c>
    </row>
    <row r="714" spans="1:13" x14ac:dyDescent="0.3">
      <c r="A714" t="s">
        <v>725</v>
      </c>
      <c r="B714" s="2">
        <v>45271</v>
      </c>
      <c r="C714" s="2">
        <v>45275</v>
      </c>
      <c r="D714" t="s">
        <v>1477</v>
      </c>
      <c r="E714" t="s">
        <v>1515</v>
      </c>
      <c r="F714" t="s">
        <v>1518</v>
      </c>
      <c r="G714" t="s">
        <v>1520</v>
      </c>
      <c r="H714" t="s">
        <v>1525</v>
      </c>
      <c r="I714" t="s">
        <v>2211</v>
      </c>
      <c r="J714">
        <v>906.77</v>
      </c>
      <c r="K714">
        <v>2</v>
      </c>
      <c r="M714">
        <v>282.89</v>
      </c>
    </row>
    <row r="715" spans="1:13" x14ac:dyDescent="0.3">
      <c r="A715" t="s">
        <v>726</v>
      </c>
      <c r="B715" s="2">
        <v>45926</v>
      </c>
      <c r="C715" s="2">
        <v>45936</v>
      </c>
      <c r="D715" t="s">
        <v>1478</v>
      </c>
      <c r="E715" t="s">
        <v>1513</v>
      </c>
      <c r="F715" t="s">
        <v>1519</v>
      </c>
      <c r="G715" t="s">
        <v>1522</v>
      </c>
      <c r="H715" t="s">
        <v>1527</v>
      </c>
      <c r="I715" t="s">
        <v>2212</v>
      </c>
      <c r="J715">
        <v>2341.4</v>
      </c>
      <c r="K715">
        <v>9</v>
      </c>
      <c r="L715">
        <v>0</v>
      </c>
      <c r="M715">
        <v>590.29999999999995</v>
      </c>
    </row>
    <row r="716" spans="1:13" x14ac:dyDescent="0.3">
      <c r="A716" t="s">
        <v>727</v>
      </c>
      <c r="B716" s="2">
        <v>45798</v>
      </c>
      <c r="C716" s="2">
        <v>45808</v>
      </c>
      <c r="D716" t="s">
        <v>1479</v>
      </c>
      <c r="E716" t="s">
        <v>1515</v>
      </c>
      <c r="F716" t="s">
        <v>1516</v>
      </c>
      <c r="G716" t="s">
        <v>1521</v>
      </c>
      <c r="H716" t="s">
        <v>1530</v>
      </c>
      <c r="I716" t="s">
        <v>2213</v>
      </c>
      <c r="J716">
        <v>588.29</v>
      </c>
      <c r="K716">
        <v>10</v>
      </c>
      <c r="L716">
        <v>0.15</v>
      </c>
      <c r="M716">
        <v>-11.72</v>
      </c>
    </row>
    <row r="717" spans="1:13" x14ac:dyDescent="0.3">
      <c r="A717" t="s">
        <v>728</v>
      </c>
      <c r="B717" s="2">
        <v>45998</v>
      </c>
      <c r="C717" s="2">
        <v>46001</v>
      </c>
      <c r="D717" t="s">
        <v>1480</v>
      </c>
      <c r="E717" t="s">
        <v>1514</v>
      </c>
      <c r="F717" t="s">
        <v>1519</v>
      </c>
      <c r="G717" t="s">
        <v>1522</v>
      </c>
      <c r="H717" t="s">
        <v>1531</v>
      </c>
      <c r="I717" t="s">
        <v>2214</v>
      </c>
      <c r="J717">
        <v>4441.9399999999996</v>
      </c>
      <c r="K717">
        <v>1</v>
      </c>
      <c r="L717">
        <v>0.05</v>
      </c>
      <c r="M717">
        <v>726.19</v>
      </c>
    </row>
    <row r="718" spans="1:13" x14ac:dyDescent="0.3">
      <c r="A718" t="s">
        <v>729</v>
      </c>
      <c r="B718" s="2">
        <v>45458</v>
      </c>
      <c r="C718" s="2">
        <v>45468</v>
      </c>
      <c r="D718" t="s">
        <v>1481</v>
      </c>
      <c r="E718" t="s">
        <v>1514</v>
      </c>
      <c r="F718" t="s">
        <v>1519</v>
      </c>
      <c r="G718" t="s">
        <v>1521</v>
      </c>
      <c r="H718" t="s">
        <v>1528</v>
      </c>
      <c r="I718" t="s">
        <v>2215</v>
      </c>
      <c r="J718">
        <v>2263.44</v>
      </c>
      <c r="K718">
        <v>4</v>
      </c>
      <c r="M718">
        <v>639.61</v>
      </c>
    </row>
    <row r="719" spans="1:13" x14ac:dyDescent="0.3">
      <c r="A719" t="s">
        <v>730</v>
      </c>
      <c r="B719" s="2">
        <v>45879</v>
      </c>
      <c r="C719" s="2">
        <v>45885</v>
      </c>
      <c r="D719" t="s">
        <v>1482</v>
      </c>
      <c r="E719" t="s">
        <v>1515</v>
      </c>
      <c r="F719" t="s">
        <v>1518</v>
      </c>
      <c r="G719" t="s">
        <v>1521</v>
      </c>
      <c r="H719" t="s">
        <v>1528</v>
      </c>
      <c r="I719" t="s">
        <v>2216</v>
      </c>
      <c r="J719">
        <v>4951.93</v>
      </c>
      <c r="K719">
        <v>10</v>
      </c>
      <c r="L719">
        <v>0</v>
      </c>
      <c r="M719">
        <v>675.05</v>
      </c>
    </row>
    <row r="720" spans="1:13" x14ac:dyDescent="0.3">
      <c r="A720" t="s">
        <v>731</v>
      </c>
      <c r="B720" s="2">
        <v>45676</v>
      </c>
      <c r="C720" s="2">
        <v>45677</v>
      </c>
      <c r="D720" t="s">
        <v>1483</v>
      </c>
      <c r="E720" t="s">
        <v>1515</v>
      </c>
      <c r="F720" t="s">
        <v>1519</v>
      </c>
      <c r="G720" t="s">
        <v>1522</v>
      </c>
      <c r="H720" t="s">
        <v>1529</v>
      </c>
      <c r="I720" t="s">
        <v>2217</v>
      </c>
      <c r="J720">
        <v>1877.65</v>
      </c>
      <c r="K720">
        <v>9</v>
      </c>
      <c r="L720">
        <v>0</v>
      </c>
      <c r="M720">
        <v>-374.66</v>
      </c>
    </row>
    <row r="721" spans="1:13" x14ac:dyDescent="0.3">
      <c r="A721" t="s">
        <v>732</v>
      </c>
      <c r="B721" s="2">
        <v>45890</v>
      </c>
      <c r="C721" s="2">
        <v>45891</v>
      </c>
      <c r="D721" t="s">
        <v>1484</v>
      </c>
      <c r="E721" t="s">
        <v>1515</v>
      </c>
      <c r="F721" t="s">
        <v>1518</v>
      </c>
      <c r="G721" t="s">
        <v>1522</v>
      </c>
      <c r="H721" t="s">
        <v>1529</v>
      </c>
      <c r="I721" t="s">
        <v>2218</v>
      </c>
      <c r="J721">
        <v>1214.44</v>
      </c>
      <c r="K721">
        <v>10</v>
      </c>
      <c r="L721">
        <v>0.15</v>
      </c>
      <c r="M721">
        <v>174.72</v>
      </c>
    </row>
    <row r="722" spans="1:13" x14ac:dyDescent="0.3">
      <c r="A722" t="s">
        <v>733</v>
      </c>
      <c r="B722" s="2">
        <v>45606</v>
      </c>
      <c r="C722" s="2">
        <v>45613</v>
      </c>
      <c r="D722" t="s">
        <v>1485</v>
      </c>
      <c r="E722" t="s">
        <v>1515</v>
      </c>
      <c r="F722" t="s">
        <v>1518</v>
      </c>
      <c r="G722" t="s">
        <v>1521</v>
      </c>
      <c r="H722" t="s">
        <v>1526</v>
      </c>
      <c r="I722" t="s">
        <v>2219</v>
      </c>
      <c r="J722">
        <v>2748.34</v>
      </c>
      <c r="K722">
        <v>3</v>
      </c>
      <c r="L722">
        <v>0.15</v>
      </c>
      <c r="M722">
        <v>-339.45</v>
      </c>
    </row>
    <row r="723" spans="1:13" x14ac:dyDescent="0.3">
      <c r="A723" t="s">
        <v>734</v>
      </c>
      <c r="B723" s="2">
        <v>46042</v>
      </c>
      <c r="C723" s="2">
        <v>46045</v>
      </c>
      <c r="D723" t="s">
        <v>1486</v>
      </c>
      <c r="E723" t="s">
        <v>1515</v>
      </c>
      <c r="F723" t="s">
        <v>1516</v>
      </c>
      <c r="G723" t="s">
        <v>1521</v>
      </c>
      <c r="H723" t="s">
        <v>1526</v>
      </c>
      <c r="I723" t="s">
        <v>2220</v>
      </c>
      <c r="J723">
        <v>1477.93</v>
      </c>
      <c r="K723">
        <v>3</v>
      </c>
      <c r="L723">
        <v>0.05</v>
      </c>
      <c r="M723">
        <v>-286.14999999999998</v>
      </c>
    </row>
    <row r="724" spans="1:13" x14ac:dyDescent="0.3">
      <c r="A724" t="s">
        <v>735</v>
      </c>
      <c r="B724" s="2">
        <v>45329</v>
      </c>
      <c r="C724" s="2">
        <v>45337</v>
      </c>
      <c r="D724" t="s">
        <v>1487</v>
      </c>
      <c r="E724" t="s">
        <v>1514</v>
      </c>
      <c r="F724" t="s">
        <v>1518</v>
      </c>
      <c r="G724" t="s">
        <v>1522</v>
      </c>
      <c r="H724" t="s">
        <v>1527</v>
      </c>
      <c r="I724" t="s">
        <v>2221</v>
      </c>
      <c r="J724">
        <v>3306.74</v>
      </c>
      <c r="K724">
        <v>3</v>
      </c>
      <c r="L724">
        <v>0</v>
      </c>
      <c r="M724">
        <v>-411.78</v>
      </c>
    </row>
    <row r="725" spans="1:13" x14ac:dyDescent="0.3">
      <c r="A725" t="s">
        <v>736</v>
      </c>
      <c r="B725" s="2">
        <v>46130</v>
      </c>
      <c r="C725" s="2">
        <v>46137</v>
      </c>
      <c r="D725" t="s">
        <v>1488</v>
      </c>
      <c r="E725" t="s">
        <v>1514</v>
      </c>
      <c r="F725" t="s">
        <v>1518</v>
      </c>
      <c r="G725" t="s">
        <v>1520</v>
      </c>
      <c r="H725" t="s">
        <v>1525</v>
      </c>
      <c r="I725" t="s">
        <v>2222</v>
      </c>
      <c r="J725">
        <v>3135.08</v>
      </c>
      <c r="K725">
        <v>8</v>
      </c>
      <c r="L725">
        <v>0.2</v>
      </c>
      <c r="M725">
        <v>104.3</v>
      </c>
    </row>
    <row r="726" spans="1:13" x14ac:dyDescent="0.3">
      <c r="A726" t="s">
        <v>737</v>
      </c>
      <c r="B726" s="2">
        <v>46109</v>
      </c>
      <c r="C726" s="2">
        <v>46112</v>
      </c>
      <c r="D726" t="s">
        <v>1489</v>
      </c>
      <c r="E726" t="s">
        <v>1515</v>
      </c>
      <c r="F726" t="s">
        <v>1517</v>
      </c>
      <c r="G726" t="s">
        <v>1521</v>
      </c>
      <c r="H726" t="s">
        <v>1530</v>
      </c>
      <c r="I726" t="s">
        <v>2223</v>
      </c>
      <c r="J726">
        <v>2152.62</v>
      </c>
      <c r="K726">
        <v>1</v>
      </c>
      <c r="L726">
        <v>0.2</v>
      </c>
      <c r="M726">
        <v>159.26</v>
      </c>
    </row>
    <row r="727" spans="1:13" x14ac:dyDescent="0.3">
      <c r="A727" t="s">
        <v>738</v>
      </c>
      <c r="B727" s="2">
        <v>45456</v>
      </c>
      <c r="C727" s="2">
        <v>45461</v>
      </c>
      <c r="D727" t="s">
        <v>1490</v>
      </c>
      <c r="E727" t="s">
        <v>1513</v>
      </c>
      <c r="F727" t="s">
        <v>1518</v>
      </c>
      <c r="G727" t="s">
        <v>1520</v>
      </c>
      <c r="H727" t="s">
        <v>1525</v>
      </c>
      <c r="I727" t="s">
        <v>2224</v>
      </c>
      <c r="J727">
        <v>2083.65</v>
      </c>
      <c r="K727">
        <v>9</v>
      </c>
      <c r="L727">
        <v>0.2</v>
      </c>
      <c r="M727">
        <v>3.82</v>
      </c>
    </row>
    <row r="728" spans="1:13" x14ac:dyDescent="0.3">
      <c r="A728" t="s">
        <v>739</v>
      </c>
      <c r="B728" s="2">
        <v>46066</v>
      </c>
      <c r="C728" s="2">
        <v>46068</v>
      </c>
      <c r="D728" t="s">
        <v>1491</v>
      </c>
      <c r="E728" t="s">
        <v>1515</v>
      </c>
      <c r="F728" t="s">
        <v>1519</v>
      </c>
      <c r="G728" t="s">
        <v>1520</v>
      </c>
      <c r="H728" t="s">
        <v>1524</v>
      </c>
      <c r="I728" t="s">
        <v>2006</v>
      </c>
      <c r="J728">
        <v>2922.33</v>
      </c>
      <c r="K728">
        <v>2</v>
      </c>
      <c r="L728">
        <v>0.05</v>
      </c>
      <c r="M728">
        <v>589.15</v>
      </c>
    </row>
    <row r="729" spans="1:13" x14ac:dyDescent="0.3">
      <c r="A729" t="s">
        <v>740</v>
      </c>
      <c r="B729" s="2">
        <v>45630</v>
      </c>
      <c r="C729" s="2">
        <v>45632</v>
      </c>
      <c r="D729" t="s">
        <v>1492</v>
      </c>
      <c r="E729" t="s">
        <v>1515</v>
      </c>
      <c r="F729" t="s">
        <v>1516</v>
      </c>
      <c r="G729" t="s">
        <v>1521</v>
      </c>
      <c r="H729" t="s">
        <v>1528</v>
      </c>
      <c r="I729" t="s">
        <v>2225</v>
      </c>
      <c r="J729">
        <v>2640.62</v>
      </c>
      <c r="K729">
        <v>10</v>
      </c>
      <c r="L729">
        <v>0</v>
      </c>
      <c r="M729">
        <v>-171.96</v>
      </c>
    </row>
    <row r="730" spans="1:13" x14ac:dyDescent="0.3">
      <c r="A730" t="s">
        <v>741</v>
      </c>
      <c r="B730" s="2">
        <v>46057</v>
      </c>
      <c r="C730" s="2">
        <v>46066</v>
      </c>
      <c r="D730" t="s">
        <v>1493</v>
      </c>
      <c r="E730" t="s">
        <v>1514</v>
      </c>
      <c r="F730" t="s">
        <v>1516</v>
      </c>
      <c r="G730" t="s">
        <v>1520</v>
      </c>
      <c r="H730" t="s">
        <v>1525</v>
      </c>
      <c r="I730" t="s">
        <v>2226</v>
      </c>
      <c r="J730">
        <v>4000.59</v>
      </c>
      <c r="K730">
        <v>5</v>
      </c>
      <c r="L730">
        <v>0.2</v>
      </c>
      <c r="M730">
        <v>-684</v>
      </c>
    </row>
    <row r="731" spans="1:13" x14ac:dyDescent="0.3">
      <c r="A731" t="s">
        <v>742</v>
      </c>
      <c r="B731" s="2">
        <v>46029</v>
      </c>
      <c r="C731" s="2">
        <v>46038</v>
      </c>
      <c r="D731" t="s">
        <v>1494</v>
      </c>
      <c r="E731" t="s">
        <v>1514</v>
      </c>
      <c r="F731" t="s">
        <v>1519</v>
      </c>
      <c r="G731" t="s">
        <v>1521</v>
      </c>
      <c r="H731" t="s">
        <v>1526</v>
      </c>
      <c r="I731" t="s">
        <v>2227</v>
      </c>
      <c r="J731">
        <v>4534.97</v>
      </c>
      <c r="K731">
        <v>10</v>
      </c>
      <c r="M731">
        <v>-80.12</v>
      </c>
    </row>
    <row r="732" spans="1:13" x14ac:dyDescent="0.3">
      <c r="A732" t="s">
        <v>743</v>
      </c>
      <c r="B732" s="2">
        <v>45308</v>
      </c>
      <c r="C732" s="2">
        <v>45309</v>
      </c>
      <c r="D732" t="s">
        <v>1495</v>
      </c>
      <c r="E732" t="s">
        <v>1515</v>
      </c>
      <c r="F732" t="s">
        <v>1519</v>
      </c>
      <c r="G732" t="s">
        <v>1521</v>
      </c>
      <c r="H732" t="s">
        <v>1530</v>
      </c>
      <c r="I732" t="s">
        <v>2228</v>
      </c>
      <c r="J732">
        <v>3490.5</v>
      </c>
      <c r="K732">
        <v>10</v>
      </c>
      <c r="M732">
        <v>-114.35</v>
      </c>
    </row>
    <row r="733" spans="1:13" x14ac:dyDescent="0.3">
      <c r="A733" t="s">
        <v>744</v>
      </c>
      <c r="B733" s="2">
        <v>46159</v>
      </c>
      <c r="C733" s="2">
        <v>46167</v>
      </c>
      <c r="D733" t="s">
        <v>1496</v>
      </c>
      <c r="E733" t="s">
        <v>1514</v>
      </c>
      <c r="F733" t="s">
        <v>1516</v>
      </c>
      <c r="G733" t="s">
        <v>1522</v>
      </c>
      <c r="H733" t="s">
        <v>1527</v>
      </c>
      <c r="I733" t="s">
        <v>2229</v>
      </c>
      <c r="J733">
        <v>2911.8</v>
      </c>
      <c r="K733">
        <v>10</v>
      </c>
      <c r="L733">
        <v>0</v>
      </c>
      <c r="M733">
        <v>468.73</v>
      </c>
    </row>
    <row r="734" spans="1:13" x14ac:dyDescent="0.3">
      <c r="A734" t="s">
        <v>745</v>
      </c>
      <c r="B734" s="2">
        <v>45560</v>
      </c>
      <c r="C734" s="2">
        <v>45562</v>
      </c>
      <c r="D734" t="s">
        <v>1497</v>
      </c>
      <c r="E734" t="s">
        <v>1515</v>
      </c>
      <c r="F734" t="s">
        <v>1519</v>
      </c>
      <c r="G734" t="s">
        <v>1521</v>
      </c>
      <c r="H734" t="s">
        <v>1526</v>
      </c>
      <c r="I734" t="s">
        <v>2230</v>
      </c>
      <c r="J734">
        <v>677.77</v>
      </c>
      <c r="K734">
        <v>2</v>
      </c>
      <c r="L734">
        <v>0.1</v>
      </c>
      <c r="M734">
        <v>-41.6</v>
      </c>
    </row>
    <row r="735" spans="1:13" x14ac:dyDescent="0.3">
      <c r="A735" t="s">
        <v>746</v>
      </c>
      <c r="B735" s="2">
        <v>45093</v>
      </c>
      <c r="C735" s="2">
        <v>45094</v>
      </c>
      <c r="D735" t="s">
        <v>1498</v>
      </c>
      <c r="F735" t="s">
        <v>1517</v>
      </c>
      <c r="G735" t="s">
        <v>1521</v>
      </c>
      <c r="H735" t="s">
        <v>1526</v>
      </c>
      <c r="I735" t="s">
        <v>2231</v>
      </c>
      <c r="J735">
        <v>3720.07</v>
      </c>
      <c r="K735">
        <v>10</v>
      </c>
      <c r="L735">
        <v>0.05</v>
      </c>
      <c r="M735">
        <v>1118.1500000000001</v>
      </c>
    </row>
    <row r="736" spans="1:13" x14ac:dyDescent="0.3">
      <c r="A736" t="s">
        <v>747</v>
      </c>
      <c r="B736" s="2">
        <v>45690</v>
      </c>
      <c r="C736" s="2">
        <v>45696</v>
      </c>
      <c r="D736" t="s">
        <v>1499</v>
      </c>
      <c r="E736" t="s">
        <v>1513</v>
      </c>
      <c r="F736" t="s">
        <v>1516</v>
      </c>
      <c r="G736" t="s">
        <v>1520</v>
      </c>
      <c r="H736" t="s">
        <v>1524</v>
      </c>
      <c r="I736" t="s">
        <v>2232</v>
      </c>
      <c r="J736">
        <v>4048.81</v>
      </c>
      <c r="K736">
        <v>5</v>
      </c>
      <c r="M736">
        <v>-283.79000000000002</v>
      </c>
    </row>
    <row r="737" spans="1:13" x14ac:dyDescent="0.3">
      <c r="A737" t="s">
        <v>748</v>
      </c>
      <c r="B737" s="2">
        <v>45252</v>
      </c>
      <c r="C737" s="2">
        <v>45255</v>
      </c>
      <c r="D737" t="s">
        <v>1500</v>
      </c>
      <c r="E737" t="s">
        <v>1514</v>
      </c>
      <c r="F737" t="s">
        <v>1518</v>
      </c>
      <c r="G737" t="s">
        <v>1521</v>
      </c>
      <c r="H737" t="s">
        <v>1530</v>
      </c>
      <c r="I737" t="s">
        <v>2233</v>
      </c>
      <c r="J737">
        <v>2997.94</v>
      </c>
      <c r="K737">
        <v>3</v>
      </c>
      <c r="L737">
        <v>0.15</v>
      </c>
      <c r="M737">
        <v>641.62</v>
      </c>
    </row>
    <row r="738" spans="1:13" x14ac:dyDescent="0.3">
      <c r="A738" t="s">
        <v>749</v>
      </c>
      <c r="B738" s="2">
        <v>45256</v>
      </c>
      <c r="C738" s="2">
        <v>45264</v>
      </c>
      <c r="E738" t="s">
        <v>1514</v>
      </c>
      <c r="F738" t="s">
        <v>1516</v>
      </c>
      <c r="G738" t="s">
        <v>1522</v>
      </c>
      <c r="H738" t="s">
        <v>1527</v>
      </c>
      <c r="I738" t="s">
        <v>2234</v>
      </c>
      <c r="J738">
        <v>3643.7</v>
      </c>
      <c r="K738">
        <v>3</v>
      </c>
      <c r="L738">
        <v>0.05</v>
      </c>
      <c r="M738">
        <v>429.11</v>
      </c>
    </row>
    <row r="739" spans="1:13" x14ac:dyDescent="0.3">
      <c r="A739" t="s">
        <v>750</v>
      </c>
      <c r="B739" s="2">
        <v>45506</v>
      </c>
      <c r="C739" s="2">
        <v>45508</v>
      </c>
      <c r="D739" t="s">
        <v>1501</v>
      </c>
      <c r="E739" t="s">
        <v>1514</v>
      </c>
      <c r="F739" t="s">
        <v>1517</v>
      </c>
      <c r="G739" t="s">
        <v>1520</v>
      </c>
      <c r="H739" t="s">
        <v>1524</v>
      </c>
      <c r="I739" t="s">
        <v>2235</v>
      </c>
      <c r="J739">
        <v>309.99</v>
      </c>
      <c r="K739">
        <v>8</v>
      </c>
      <c r="L739">
        <v>0.15</v>
      </c>
      <c r="M739">
        <v>19.2</v>
      </c>
    </row>
    <row r="740" spans="1:13" x14ac:dyDescent="0.3">
      <c r="A740" t="s">
        <v>751</v>
      </c>
      <c r="B740" s="2">
        <v>45256</v>
      </c>
      <c r="C740" s="2">
        <v>45263</v>
      </c>
      <c r="D740" t="s">
        <v>1502</v>
      </c>
      <c r="E740" t="s">
        <v>1513</v>
      </c>
      <c r="F740" t="s">
        <v>1519</v>
      </c>
      <c r="G740" t="s">
        <v>1521</v>
      </c>
      <c r="H740" t="s">
        <v>1528</v>
      </c>
      <c r="I740" t="s">
        <v>2236</v>
      </c>
      <c r="J740">
        <v>2399.2199999999998</v>
      </c>
      <c r="K740">
        <v>3</v>
      </c>
      <c r="L740">
        <v>0.2</v>
      </c>
      <c r="M740">
        <v>668.55</v>
      </c>
    </row>
    <row r="741" spans="1:13" x14ac:dyDescent="0.3">
      <c r="A741" t="s">
        <v>752</v>
      </c>
      <c r="B741" s="2">
        <v>45775</v>
      </c>
      <c r="C741" s="2">
        <v>45781</v>
      </c>
      <c r="D741" t="s">
        <v>1503</v>
      </c>
      <c r="E741" t="s">
        <v>1515</v>
      </c>
      <c r="F741" t="s">
        <v>1519</v>
      </c>
      <c r="G741" t="s">
        <v>1521</v>
      </c>
      <c r="H741" t="s">
        <v>1526</v>
      </c>
      <c r="I741" t="s">
        <v>2237</v>
      </c>
      <c r="J741">
        <v>4810.7299999999996</v>
      </c>
      <c r="K741">
        <v>1</v>
      </c>
      <c r="L741">
        <v>0</v>
      </c>
      <c r="M741">
        <v>1466.03</v>
      </c>
    </row>
    <row r="742" spans="1:13" x14ac:dyDescent="0.3">
      <c r="A742" t="s">
        <v>753</v>
      </c>
      <c r="B742" s="2">
        <v>46103</v>
      </c>
      <c r="C742" s="2">
        <v>46108</v>
      </c>
      <c r="D742" t="s">
        <v>1504</v>
      </c>
      <c r="E742" t="s">
        <v>1515</v>
      </c>
      <c r="F742" t="s">
        <v>1518</v>
      </c>
      <c r="G742" t="s">
        <v>1521</v>
      </c>
      <c r="H742" t="s">
        <v>1528</v>
      </c>
      <c r="I742" t="s">
        <v>2238</v>
      </c>
      <c r="J742">
        <v>1708.09</v>
      </c>
      <c r="K742">
        <v>5</v>
      </c>
      <c r="L742">
        <v>0</v>
      </c>
      <c r="M742">
        <v>-101.74</v>
      </c>
    </row>
    <row r="743" spans="1:13" x14ac:dyDescent="0.3">
      <c r="A743" t="s">
        <v>754</v>
      </c>
      <c r="B743" s="2">
        <v>45364</v>
      </c>
      <c r="C743" s="2">
        <v>45368</v>
      </c>
      <c r="D743" t="s">
        <v>1505</v>
      </c>
      <c r="E743" t="s">
        <v>1515</v>
      </c>
      <c r="F743" t="s">
        <v>1517</v>
      </c>
      <c r="G743" t="s">
        <v>1521</v>
      </c>
      <c r="H743" t="s">
        <v>1528</v>
      </c>
      <c r="I743" t="s">
        <v>2092</v>
      </c>
      <c r="J743">
        <v>3684.85</v>
      </c>
      <c r="K743">
        <v>10</v>
      </c>
      <c r="L743">
        <v>0.05</v>
      </c>
      <c r="M743">
        <v>316.8</v>
      </c>
    </row>
    <row r="744" spans="1:13" x14ac:dyDescent="0.3">
      <c r="A744" t="s">
        <v>755</v>
      </c>
      <c r="B744" s="2">
        <v>45982</v>
      </c>
      <c r="C744" s="2">
        <v>45983</v>
      </c>
      <c r="D744" t="s">
        <v>1506</v>
      </c>
      <c r="E744" t="s">
        <v>1515</v>
      </c>
      <c r="G744" t="s">
        <v>1521</v>
      </c>
      <c r="H744" t="s">
        <v>1528</v>
      </c>
      <c r="I744" t="s">
        <v>2239</v>
      </c>
      <c r="J744">
        <v>3380.37</v>
      </c>
      <c r="K744">
        <v>2</v>
      </c>
      <c r="L744">
        <v>0</v>
      </c>
      <c r="M744">
        <v>88.52</v>
      </c>
    </row>
    <row r="745" spans="1:13" x14ac:dyDescent="0.3">
      <c r="A745" t="s">
        <v>756</v>
      </c>
      <c r="B745" s="2">
        <v>45566</v>
      </c>
      <c r="C745" s="2">
        <v>45572</v>
      </c>
      <c r="D745" t="s">
        <v>1507</v>
      </c>
      <c r="E745" t="s">
        <v>1513</v>
      </c>
      <c r="F745" t="s">
        <v>1516</v>
      </c>
      <c r="G745" t="s">
        <v>1520</v>
      </c>
      <c r="H745" t="s">
        <v>1524</v>
      </c>
      <c r="I745" t="s">
        <v>2240</v>
      </c>
      <c r="J745">
        <v>1136.1099999999999</v>
      </c>
      <c r="K745">
        <v>5</v>
      </c>
      <c r="L745">
        <v>0.1</v>
      </c>
      <c r="M745">
        <v>-106.57</v>
      </c>
    </row>
    <row r="746" spans="1:13" x14ac:dyDescent="0.3">
      <c r="A746" t="s">
        <v>757</v>
      </c>
      <c r="B746" s="2">
        <v>45768</v>
      </c>
      <c r="C746" s="2">
        <v>45772</v>
      </c>
      <c r="D746" t="s">
        <v>1508</v>
      </c>
      <c r="E746" t="s">
        <v>1513</v>
      </c>
      <c r="F746" t="s">
        <v>1517</v>
      </c>
      <c r="G746" t="s">
        <v>1522</v>
      </c>
      <c r="H746" t="s">
        <v>1527</v>
      </c>
      <c r="I746" t="s">
        <v>2241</v>
      </c>
      <c r="J746">
        <v>4754.92</v>
      </c>
      <c r="K746">
        <v>2</v>
      </c>
      <c r="M746">
        <v>1553.85</v>
      </c>
    </row>
    <row r="747" spans="1:13" x14ac:dyDescent="0.3">
      <c r="A747" t="s">
        <v>758</v>
      </c>
      <c r="B747" s="2">
        <v>45852</v>
      </c>
      <c r="C747" s="2">
        <v>45862</v>
      </c>
      <c r="D747" t="s">
        <v>1509</v>
      </c>
      <c r="E747" t="s">
        <v>1514</v>
      </c>
      <c r="F747" t="s">
        <v>1519</v>
      </c>
      <c r="G747" t="s">
        <v>1521</v>
      </c>
      <c r="H747" t="s">
        <v>1528</v>
      </c>
      <c r="I747" t="s">
        <v>2242</v>
      </c>
      <c r="J747">
        <v>4025.84</v>
      </c>
      <c r="K747">
        <v>3</v>
      </c>
      <c r="L747">
        <v>0</v>
      </c>
      <c r="M747">
        <v>735.16</v>
      </c>
    </row>
    <row r="748" spans="1:13" x14ac:dyDescent="0.3">
      <c r="A748" t="s">
        <v>759</v>
      </c>
      <c r="B748" s="2">
        <v>46064</v>
      </c>
      <c r="C748" s="2">
        <v>46066</v>
      </c>
      <c r="E748" t="s">
        <v>1515</v>
      </c>
      <c r="F748" t="s">
        <v>1519</v>
      </c>
      <c r="G748" t="s">
        <v>1521</v>
      </c>
      <c r="H748" t="s">
        <v>1528</v>
      </c>
      <c r="I748" t="s">
        <v>2243</v>
      </c>
      <c r="J748">
        <v>3211.96</v>
      </c>
      <c r="K748">
        <v>5</v>
      </c>
      <c r="L748">
        <v>0.15</v>
      </c>
      <c r="M748">
        <v>580.47</v>
      </c>
    </row>
    <row r="749" spans="1:13" x14ac:dyDescent="0.3">
      <c r="A749" t="s">
        <v>760</v>
      </c>
      <c r="B749" s="2">
        <v>45345</v>
      </c>
      <c r="C749" s="2">
        <v>45347</v>
      </c>
      <c r="D749" t="s">
        <v>1510</v>
      </c>
      <c r="E749" t="s">
        <v>1513</v>
      </c>
      <c r="F749" t="s">
        <v>1519</v>
      </c>
      <c r="G749" t="s">
        <v>1521</v>
      </c>
      <c r="H749" t="s">
        <v>1530</v>
      </c>
      <c r="I749" t="s">
        <v>2244</v>
      </c>
      <c r="J749">
        <v>1422.57</v>
      </c>
      <c r="K749">
        <v>1</v>
      </c>
      <c r="L749">
        <v>0.15</v>
      </c>
      <c r="M749">
        <v>19.52</v>
      </c>
    </row>
    <row r="750" spans="1:13" x14ac:dyDescent="0.3">
      <c r="A750" t="s">
        <v>761</v>
      </c>
      <c r="B750" s="2">
        <v>45570</v>
      </c>
      <c r="C750" s="2">
        <v>45578</v>
      </c>
      <c r="D750" t="s">
        <v>1511</v>
      </c>
      <c r="E750" t="s">
        <v>1515</v>
      </c>
      <c r="F750" t="s">
        <v>1518</v>
      </c>
      <c r="G750" t="s">
        <v>1521</v>
      </c>
      <c r="H750" t="s">
        <v>1530</v>
      </c>
      <c r="I750" t="s">
        <v>2245</v>
      </c>
      <c r="J750">
        <v>393.52</v>
      </c>
      <c r="K750">
        <v>4</v>
      </c>
      <c r="L750">
        <v>0.2</v>
      </c>
      <c r="M750">
        <v>6.28</v>
      </c>
    </row>
    <row r="751" spans="1:13" x14ac:dyDescent="0.3">
      <c r="A751" t="s">
        <v>762</v>
      </c>
      <c r="B751" s="2">
        <v>46104</v>
      </c>
      <c r="C751" s="2">
        <v>46113</v>
      </c>
      <c r="D751" t="s">
        <v>1512</v>
      </c>
      <c r="E751" t="s">
        <v>1514</v>
      </c>
      <c r="F751" t="s">
        <v>1519</v>
      </c>
      <c r="G751" t="s">
        <v>1522</v>
      </c>
      <c r="H751" t="s">
        <v>1531</v>
      </c>
      <c r="I751" t="s">
        <v>2246</v>
      </c>
      <c r="J751">
        <v>3855.1</v>
      </c>
      <c r="K751">
        <v>4</v>
      </c>
      <c r="L751">
        <v>0.2</v>
      </c>
      <c r="M751">
        <v>593.04999999999995</v>
      </c>
    </row>
    <row r="752" spans="1:13" x14ac:dyDescent="0.3">
      <c r="A752" t="s">
        <v>638</v>
      </c>
      <c r="B752" s="2">
        <v>46081</v>
      </c>
      <c r="C752" s="2">
        <v>46087</v>
      </c>
      <c r="D752" t="s">
        <v>1392</v>
      </c>
      <c r="E752" t="s">
        <v>1515</v>
      </c>
      <c r="F752" t="s">
        <v>1519</v>
      </c>
      <c r="G752" t="s">
        <v>1521</v>
      </c>
      <c r="H752" t="s">
        <v>1528</v>
      </c>
      <c r="I752" t="s">
        <v>2134</v>
      </c>
      <c r="J752">
        <v>4232.03</v>
      </c>
      <c r="K752">
        <v>7</v>
      </c>
      <c r="M752">
        <v>155.84</v>
      </c>
    </row>
    <row r="753" spans="1:13" x14ac:dyDescent="0.3">
      <c r="A753" t="s">
        <v>331</v>
      </c>
      <c r="B753" s="2">
        <v>45990</v>
      </c>
      <c r="C753" s="2">
        <v>45992</v>
      </c>
      <c r="D753" t="s">
        <v>1091</v>
      </c>
      <c r="E753" t="s">
        <v>1515</v>
      </c>
      <c r="F753" t="s">
        <v>1517</v>
      </c>
      <c r="G753" t="s">
        <v>1521</v>
      </c>
      <c r="H753" t="s">
        <v>1526</v>
      </c>
      <c r="I753" t="s">
        <v>1842</v>
      </c>
      <c r="J753">
        <v>102.21</v>
      </c>
      <c r="K753">
        <v>5</v>
      </c>
      <c r="L753">
        <v>0.05</v>
      </c>
      <c r="M753">
        <v>8.27</v>
      </c>
    </row>
    <row r="754" spans="1:13" x14ac:dyDescent="0.3">
      <c r="A754" t="s">
        <v>352</v>
      </c>
      <c r="B754" s="2">
        <v>46145</v>
      </c>
      <c r="C754" s="2">
        <v>46146</v>
      </c>
      <c r="D754" t="s">
        <v>1111</v>
      </c>
      <c r="E754" t="s">
        <v>1513</v>
      </c>
      <c r="F754" t="s">
        <v>1519</v>
      </c>
      <c r="G754" t="s">
        <v>1522</v>
      </c>
      <c r="H754" t="s">
        <v>1531</v>
      </c>
      <c r="I754" t="s">
        <v>1863</v>
      </c>
      <c r="J754">
        <v>2871.87</v>
      </c>
      <c r="K754">
        <v>9</v>
      </c>
      <c r="L754">
        <v>0.1</v>
      </c>
      <c r="M754">
        <v>368.38</v>
      </c>
    </row>
    <row r="755" spans="1:13" x14ac:dyDescent="0.3">
      <c r="A755" t="s">
        <v>611</v>
      </c>
      <c r="B755" s="2">
        <v>45174</v>
      </c>
      <c r="C755" s="2">
        <v>45175</v>
      </c>
      <c r="D755" t="s">
        <v>1365</v>
      </c>
      <c r="E755" t="s">
        <v>1513</v>
      </c>
      <c r="F755" t="s">
        <v>1519</v>
      </c>
      <c r="G755" t="s">
        <v>1522</v>
      </c>
      <c r="H755" t="s">
        <v>1529</v>
      </c>
      <c r="I755" t="s">
        <v>2109</v>
      </c>
      <c r="J755">
        <v>803.14</v>
      </c>
      <c r="K755">
        <v>9</v>
      </c>
      <c r="L755">
        <v>0</v>
      </c>
      <c r="M755">
        <v>-78.489999999999995</v>
      </c>
    </row>
    <row r="756" spans="1:13" x14ac:dyDescent="0.3">
      <c r="A756" t="s">
        <v>103</v>
      </c>
      <c r="B756" s="2">
        <v>46054</v>
      </c>
      <c r="C756" s="2">
        <v>46064</v>
      </c>
      <c r="D756" t="s">
        <v>872</v>
      </c>
      <c r="E756" t="s">
        <v>1514</v>
      </c>
      <c r="F756" t="s">
        <v>1518</v>
      </c>
      <c r="G756" t="s">
        <v>1520</v>
      </c>
      <c r="H756" t="s">
        <v>1524</v>
      </c>
      <c r="I756" t="s">
        <v>1622</v>
      </c>
      <c r="J756">
        <v>3000.83</v>
      </c>
      <c r="K756">
        <v>10</v>
      </c>
      <c r="L756">
        <v>0.05</v>
      </c>
      <c r="M756">
        <v>680.08</v>
      </c>
    </row>
    <row r="757" spans="1:13" x14ac:dyDescent="0.3">
      <c r="A757" t="s">
        <v>679</v>
      </c>
      <c r="B757" s="2">
        <v>45913</v>
      </c>
      <c r="C757" s="2">
        <v>45916</v>
      </c>
      <c r="D757" t="s">
        <v>1432</v>
      </c>
      <c r="E757" t="s">
        <v>1513</v>
      </c>
      <c r="F757" t="s">
        <v>1518</v>
      </c>
      <c r="G757" t="s">
        <v>1521</v>
      </c>
      <c r="H757" t="s">
        <v>1526</v>
      </c>
      <c r="I757" t="s">
        <v>2171</v>
      </c>
      <c r="J757">
        <v>2141.19</v>
      </c>
      <c r="K757">
        <v>10</v>
      </c>
      <c r="L757">
        <v>0</v>
      </c>
      <c r="M757">
        <v>384.29</v>
      </c>
    </row>
    <row r="758" spans="1:13" x14ac:dyDescent="0.3">
      <c r="A758" t="s">
        <v>275</v>
      </c>
      <c r="B758" s="2">
        <v>45980</v>
      </c>
      <c r="C758" s="2">
        <v>45983</v>
      </c>
      <c r="D758" t="s">
        <v>1038</v>
      </c>
      <c r="E758" t="s">
        <v>1514</v>
      </c>
      <c r="F758" t="s">
        <v>1519</v>
      </c>
      <c r="G758" t="s">
        <v>1522</v>
      </c>
      <c r="H758" t="s">
        <v>1529</v>
      </c>
      <c r="I758" t="s">
        <v>1790</v>
      </c>
      <c r="J758">
        <v>2590.58</v>
      </c>
      <c r="K758">
        <v>8</v>
      </c>
      <c r="L758">
        <v>0.2</v>
      </c>
      <c r="M758">
        <v>-435.85</v>
      </c>
    </row>
    <row r="759" spans="1:13" x14ac:dyDescent="0.3">
      <c r="A759" t="s">
        <v>97</v>
      </c>
      <c r="B759" s="2">
        <v>45138</v>
      </c>
      <c r="C759" s="2">
        <v>45147</v>
      </c>
      <c r="D759" t="s">
        <v>866</v>
      </c>
      <c r="E759" t="s">
        <v>1514</v>
      </c>
      <c r="F759" t="s">
        <v>1519</v>
      </c>
      <c r="G759" t="s">
        <v>1522</v>
      </c>
      <c r="H759" t="s">
        <v>1527</v>
      </c>
      <c r="I759" t="s">
        <v>1616</v>
      </c>
      <c r="J759">
        <v>4756.84</v>
      </c>
      <c r="K759">
        <v>3</v>
      </c>
      <c r="L759">
        <v>0.05</v>
      </c>
      <c r="M759">
        <v>-385.25</v>
      </c>
    </row>
    <row r="760" spans="1:13" x14ac:dyDescent="0.3">
      <c r="A760" t="s">
        <v>598</v>
      </c>
      <c r="B760" s="2">
        <v>45545</v>
      </c>
      <c r="C760" s="2">
        <v>45548</v>
      </c>
      <c r="D760" t="s">
        <v>1352</v>
      </c>
      <c r="E760" t="s">
        <v>1514</v>
      </c>
      <c r="F760" t="s">
        <v>1516</v>
      </c>
      <c r="G760" t="s">
        <v>1521</v>
      </c>
      <c r="H760" t="s">
        <v>1530</v>
      </c>
      <c r="I760" t="s">
        <v>2096</v>
      </c>
      <c r="J760">
        <v>4278.3500000000004</v>
      </c>
      <c r="K760">
        <v>3</v>
      </c>
      <c r="M760">
        <v>-303.57</v>
      </c>
    </row>
    <row r="761" spans="1:13" x14ac:dyDescent="0.3">
      <c r="A761" t="s">
        <v>98</v>
      </c>
      <c r="B761" s="2">
        <v>45760</v>
      </c>
      <c r="C761" s="2">
        <v>45769</v>
      </c>
      <c r="D761" t="s">
        <v>867</v>
      </c>
      <c r="E761" t="s">
        <v>1514</v>
      </c>
      <c r="F761" t="s">
        <v>1517</v>
      </c>
      <c r="G761" t="s">
        <v>1520</v>
      </c>
      <c r="H761" t="s">
        <v>1525</v>
      </c>
      <c r="I761" t="s">
        <v>1617</v>
      </c>
      <c r="J761">
        <v>3004.11</v>
      </c>
      <c r="K761">
        <v>2</v>
      </c>
      <c r="L761">
        <v>0.05</v>
      </c>
      <c r="M761">
        <v>-111.35</v>
      </c>
    </row>
    <row r="762" spans="1:13" x14ac:dyDescent="0.3">
      <c r="A762" t="s">
        <v>580</v>
      </c>
      <c r="B762" s="2">
        <v>45774</v>
      </c>
      <c r="C762" s="2">
        <v>45778</v>
      </c>
      <c r="D762" t="s">
        <v>1334</v>
      </c>
      <c r="E762" t="s">
        <v>1513</v>
      </c>
      <c r="F762" t="s">
        <v>1516</v>
      </c>
      <c r="G762" t="s">
        <v>1522</v>
      </c>
      <c r="H762" t="s">
        <v>1531</v>
      </c>
      <c r="I762" t="s">
        <v>2080</v>
      </c>
      <c r="J762">
        <v>4189.8599999999997</v>
      </c>
      <c r="K762">
        <v>6</v>
      </c>
      <c r="L762">
        <v>0.05</v>
      </c>
      <c r="M762">
        <v>957.03</v>
      </c>
    </row>
    <row r="763" spans="1:13" x14ac:dyDescent="0.3">
      <c r="A763" t="s">
        <v>677</v>
      </c>
      <c r="B763" s="2">
        <v>46133</v>
      </c>
      <c r="C763" s="2">
        <v>46141</v>
      </c>
      <c r="D763" t="s">
        <v>1430</v>
      </c>
      <c r="E763" t="s">
        <v>1514</v>
      </c>
      <c r="F763" t="s">
        <v>1516</v>
      </c>
      <c r="G763" t="s">
        <v>1520</v>
      </c>
      <c r="H763" t="s">
        <v>1523</v>
      </c>
      <c r="I763" t="s">
        <v>2169</v>
      </c>
      <c r="J763">
        <v>2311.66</v>
      </c>
      <c r="K763">
        <v>1</v>
      </c>
      <c r="L763">
        <v>0.05</v>
      </c>
      <c r="M763">
        <v>197.15</v>
      </c>
    </row>
    <row r="764" spans="1:13" x14ac:dyDescent="0.3">
      <c r="A764" t="s">
        <v>229</v>
      </c>
      <c r="B764" s="2">
        <v>45098</v>
      </c>
      <c r="C764" s="2">
        <v>45103</v>
      </c>
      <c r="D764" t="s">
        <v>993</v>
      </c>
      <c r="E764" t="s">
        <v>1515</v>
      </c>
      <c r="F764" t="s">
        <v>1517</v>
      </c>
      <c r="G764" t="s">
        <v>1520</v>
      </c>
      <c r="H764" t="s">
        <v>1525</v>
      </c>
      <c r="I764" t="s">
        <v>1745</v>
      </c>
      <c r="J764">
        <v>669.59</v>
      </c>
      <c r="K764">
        <v>5</v>
      </c>
      <c r="L764">
        <v>0.2</v>
      </c>
      <c r="M764">
        <v>62.55</v>
      </c>
    </row>
    <row r="765" spans="1:13" x14ac:dyDescent="0.3">
      <c r="A765" t="s">
        <v>202</v>
      </c>
      <c r="B765" s="2">
        <v>45975</v>
      </c>
      <c r="C765" s="2">
        <v>45979</v>
      </c>
      <c r="D765" t="s">
        <v>967</v>
      </c>
      <c r="E765" t="s">
        <v>1515</v>
      </c>
      <c r="F765" t="s">
        <v>1518</v>
      </c>
      <c r="G765" t="s">
        <v>1522</v>
      </c>
      <c r="H765" t="s">
        <v>1529</v>
      </c>
      <c r="I765" t="s">
        <v>1719</v>
      </c>
      <c r="J765">
        <v>1540.7</v>
      </c>
      <c r="K765">
        <v>1</v>
      </c>
      <c r="L765">
        <v>0.05</v>
      </c>
      <c r="M765">
        <v>47.61</v>
      </c>
    </row>
    <row r="766" spans="1:13" x14ac:dyDescent="0.3">
      <c r="A766" t="s">
        <v>32</v>
      </c>
      <c r="B766" s="2">
        <v>45662</v>
      </c>
      <c r="C766" s="2">
        <v>45665</v>
      </c>
      <c r="D766" t="s">
        <v>801</v>
      </c>
      <c r="E766" t="s">
        <v>1515</v>
      </c>
      <c r="F766" t="s">
        <v>1518</v>
      </c>
      <c r="G766" t="s">
        <v>1522</v>
      </c>
      <c r="H766" t="s">
        <v>1527</v>
      </c>
      <c r="I766" t="s">
        <v>1551</v>
      </c>
      <c r="J766">
        <v>685.54</v>
      </c>
      <c r="K766">
        <v>8</v>
      </c>
      <c r="L766">
        <v>0.2</v>
      </c>
      <c r="M766">
        <v>-74.849999999999994</v>
      </c>
    </row>
    <row r="767" spans="1:13" x14ac:dyDescent="0.3">
      <c r="A767" t="s">
        <v>286</v>
      </c>
      <c r="B767" s="2">
        <v>46031</v>
      </c>
      <c r="C767" s="2">
        <v>46034</v>
      </c>
      <c r="D767" t="s">
        <v>1049</v>
      </c>
      <c r="E767" t="s">
        <v>1514</v>
      </c>
      <c r="F767" t="s">
        <v>1516</v>
      </c>
      <c r="G767" t="s">
        <v>1522</v>
      </c>
      <c r="H767" t="s">
        <v>1529</v>
      </c>
      <c r="I767" t="s">
        <v>1800</v>
      </c>
      <c r="J767">
        <v>4929.1899999999996</v>
      </c>
      <c r="K767">
        <v>9</v>
      </c>
      <c r="L767">
        <v>0.05</v>
      </c>
      <c r="M767">
        <v>135.35</v>
      </c>
    </row>
    <row r="768" spans="1:13" x14ac:dyDescent="0.3">
      <c r="A768" t="s">
        <v>327</v>
      </c>
      <c r="B768" s="2">
        <v>45928</v>
      </c>
      <c r="C768" s="2">
        <v>45933</v>
      </c>
      <c r="D768" t="s">
        <v>1087</v>
      </c>
      <c r="E768" t="s">
        <v>1514</v>
      </c>
      <c r="F768" t="s">
        <v>1516</v>
      </c>
      <c r="G768" t="s">
        <v>1522</v>
      </c>
      <c r="H768" t="s">
        <v>1527</v>
      </c>
      <c r="I768" t="s">
        <v>1838</v>
      </c>
      <c r="J768">
        <v>1248</v>
      </c>
      <c r="K768">
        <v>3</v>
      </c>
      <c r="M768">
        <v>40.840000000000003</v>
      </c>
    </row>
    <row r="769" spans="1:13" x14ac:dyDescent="0.3">
      <c r="A769" t="s">
        <v>388</v>
      </c>
      <c r="B769" s="2">
        <v>45745</v>
      </c>
      <c r="C769" s="2">
        <v>45752</v>
      </c>
      <c r="D769" t="s">
        <v>1146</v>
      </c>
      <c r="E769" t="s">
        <v>1513</v>
      </c>
      <c r="F769" t="s">
        <v>1518</v>
      </c>
      <c r="G769" t="s">
        <v>1521</v>
      </c>
      <c r="H769" t="s">
        <v>1530</v>
      </c>
      <c r="I769" t="s">
        <v>1898</v>
      </c>
      <c r="J769">
        <v>4252.58</v>
      </c>
      <c r="K769">
        <v>5</v>
      </c>
      <c r="L769">
        <v>0</v>
      </c>
      <c r="M769">
        <v>-370.58</v>
      </c>
    </row>
    <row r="770" spans="1:13" x14ac:dyDescent="0.3">
      <c r="A770" t="s">
        <v>73</v>
      </c>
      <c r="B770" s="2">
        <v>45691</v>
      </c>
      <c r="C770" s="2">
        <v>45695</v>
      </c>
      <c r="D770" t="s">
        <v>842</v>
      </c>
      <c r="E770" t="s">
        <v>1514</v>
      </c>
      <c r="F770" t="s">
        <v>1519</v>
      </c>
      <c r="G770" t="s">
        <v>1520</v>
      </c>
      <c r="H770" t="s">
        <v>1524</v>
      </c>
      <c r="I770" t="s">
        <v>1592</v>
      </c>
      <c r="J770">
        <v>1409.26</v>
      </c>
      <c r="K770">
        <v>2</v>
      </c>
      <c r="M770">
        <v>-60.39</v>
      </c>
    </row>
    <row r="771" spans="1:13" x14ac:dyDescent="0.3">
      <c r="A771" t="s">
        <v>563</v>
      </c>
      <c r="B771" s="2">
        <v>45896</v>
      </c>
      <c r="C771" s="2">
        <v>45900</v>
      </c>
      <c r="D771" t="s">
        <v>1317</v>
      </c>
      <c r="E771" t="s">
        <v>1515</v>
      </c>
      <c r="F771" t="s">
        <v>1518</v>
      </c>
      <c r="G771" t="s">
        <v>1520</v>
      </c>
      <c r="H771" t="s">
        <v>1524</v>
      </c>
      <c r="I771" t="s">
        <v>2063</v>
      </c>
      <c r="J771">
        <v>2095.48</v>
      </c>
      <c r="K771">
        <v>9</v>
      </c>
      <c r="L771">
        <v>0.15</v>
      </c>
      <c r="M771">
        <v>-213.12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2400-BC92-4BCD-90EE-F3F6D704D487}">
  <dimension ref="A1:T771"/>
  <sheetViews>
    <sheetView workbookViewId="0">
      <selection activeCell="D2" sqref="D2"/>
    </sheetView>
  </sheetViews>
  <sheetFormatPr defaultRowHeight="14.4" x14ac:dyDescent="0.3"/>
  <cols>
    <col min="1" max="1" width="14.5546875" style="6" customWidth="1"/>
    <col min="2" max="2" width="16.5546875" style="7" customWidth="1"/>
    <col min="3" max="3" width="16.6640625" style="8" customWidth="1"/>
    <col min="4" max="4" width="28.6640625" style="9" bestFit="1" customWidth="1"/>
    <col min="5" max="6" width="19.33203125" customWidth="1"/>
    <col min="7" max="7" width="20.5546875" customWidth="1"/>
    <col min="8" max="8" width="24.21875" customWidth="1"/>
    <col min="9" max="9" width="24.109375" customWidth="1"/>
    <col min="10" max="10" width="14.77734375" bestFit="1" customWidth="1"/>
    <col min="11" max="11" width="15.109375" customWidth="1"/>
    <col min="12" max="12" width="16.21875" customWidth="1"/>
    <col min="13" max="13" width="22.5546875" customWidth="1"/>
    <col min="14" max="14" width="24.44140625" customWidth="1"/>
    <col min="15" max="16" width="23" bestFit="1" customWidth="1"/>
  </cols>
  <sheetData>
    <row r="1" spans="1:20" ht="27" customHeight="1" x14ac:dyDescent="0.3">
      <c r="A1" s="10" t="s">
        <v>0</v>
      </c>
      <c r="B1" s="11" t="s">
        <v>1</v>
      </c>
      <c r="C1" s="10" t="s">
        <v>2</v>
      </c>
      <c r="D1" s="10" t="s">
        <v>2249</v>
      </c>
      <c r="E1" s="10" t="s">
        <v>2248</v>
      </c>
      <c r="F1" s="10" t="s">
        <v>4</v>
      </c>
      <c r="G1" s="10" t="s">
        <v>2250</v>
      </c>
      <c r="H1" s="10" t="s">
        <v>5</v>
      </c>
      <c r="I1" s="10" t="s">
        <v>2251</v>
      </c>
      <c r="J1" s="10" t="s">
        <v>6</v>
      </c>
      <c r="K1" s="10" t="s">
        <v>2252</v>
      </c>
      <c r="L1" s="10" t="s">
        <v>7</v>
      </c>
      <c r="M1" s="10" t="s">
        <v>2253</v>
      </c>
      <c r="N1" s="10" t="s">
        <v>8</v>
      </c>
      <c r="O1" s="10" t="s">
        <v>2255</v>
      </c>
      <c r="P1" s="10" t="s">
        <v>2254</v>
      </c>
      <c r="Q1" s="10" t="s">
        <v>9</v>
      </c>
      <c r="R1" s="10" t="s">
        <v>10</v>
      </c>
      <c r="S1" s="10" t="s">
        <v>11</v>
      </c>
      <c r="T1" s="12" t="s">
        <v>12</v>
      </c>
    </row>
    <row r="2" spans="1:20" ht="15.6" x14ac:dyDescent="0.3">
      <c r="A2" s="13" t="s">
        <v>13</v>
      </c>
      <c r="B2" s="14">
        <v>45177</v>
      </c>
      <c r="C2" s="15">
        <v>45178</v>
      </c>
      <c r="D2" s="16" t="str">
        <f>TRIM('data cleaning'!$E2)</f>
        <v>Traci Sanchez</v>
      </c>
      <c r="E2" s="17" t="s">
        <v>782</v>
      </c>
      <c r="F2" s="17" t="str">
        <f>TRIM('data cleaning'!$G2)</f>
        <v>Consumer</v>
      </c>
      <c r="G2" s="17" t="s">
        <v>1513</v>
      </c>
      <c r="H2" s="17" t="str">
        <f>TRIM('data cleaning'!$I2)</f>
        <v>North</v>
      </c>
      <c r="I2" s="17" t="s">
        <v>1516</v>
      </c>
      <c r="J2" s="17" t="str">
        <f>TRIM('data cleaning'!$K2)</f>
        <v>Office Supplies</v>
      </c>
      <c r="K2" s="17" t="s">
        <v>1520</v>
      </c>
      <c r="L2" s="17" t="str">
        <f>TRIM('data cleaning'!$M2)</f>
        <v>Binders</v>
      </c>
      <c r="M2" s="17" t="s">
        <v>1523</v>
      </c>
      <c r="N2" s="17" t="str">
        <f>PROPER('data cleaning'!$O2)</f>
        <v>Happy Binders</v>
      </c>
      <c r="O2" s="17" t="str">
        <f>TRIM('data cleaning'!$P2)</f>
        <v>Happy Binders</v>
      </c>
      <c r="P2" s="17" t="s">
        <v>1532</v>
      </c>
      <c r="Q2" s="17">
        <v>3720.67</v>
      </c>
      <c r="R2" s="17">
        <v>4</v>
      </c>
      <c r="S2" s="17">
        <v>0.05</v>
      </c>
      <c r="T2" s="18">
        <v>-458.59</v>
      </c>
    </row>
    <row r="3" spans="1:20" ht="15.6" x14ac:dyDescent="0.3">
      <c r="A3" s="19" t="s">
        <v>14</v>
      </c>
      <c r="B3" s="20">
        <v>46086</v>
      </c>
      <c r="C3" s="21">
        <v>46087</v>
      </c>
      <c r="D3" s="22" t="str">
        <f>TRIM('data cleaning'!$E3)</f>
        <v>Norman Jordan</v>
      </c>
      <c r="E3" s="23" t="s">
        <v>783</v>
      </c>
      <c r="F3" s="23" t="str">
        <f>TRIM('data cleaning'!$G3)</f>
        <v>Consumer</v>
      </c>
      <c r="G3" s="23" t="s">
        <v>1513</v>
      </c>
      <c r="H3" s="23" t="str">
        <f>TRIM('data cleaning'!$I3)</f>
        <v>South</v>
      </c>
      <c r="I3" s="23" t="s">
        <v>1517</v>
      </c>
      <c r="J3" s="23" t="str">
        <f>TRIM('data cleaning'!$K3)</f>
        <v>Office Supplies</v>
      </c>
      <c r="K3" s="23" t="s">
        <v>1520</v>
      </c>
      <c r="L3" s="23" t="str">
        <f>TRIM('data cleaning'!$M3)</f>
        <v>Paper</v>
      </c>
      <c r="M3" s="23" t="s">
        <v>1524</v>
      </c>
      <c r="N3" s="23" t="str">
        <f>PROPER('data cleaning'!$O3)</f>
        <v>Fight Paper</v>
      </c>
      <c r="O3" s="23" t="str">
        <f>TRIM('data cleaning'!$P3)</f>
        <v>Fight Paper</v>
      </c>
      <c r="P3" s="23" t="s">
        <v>1533</v>
      </c>
      <c r="Q3" s="23">
        <v>197.5</v>
      </c>
      <c r="R3" s="23">
        <v>4</v>
      </c>
      <c r="S3" s="23">
        <v>0.05</v>
      </c>
      <c r="T3" s="24">
        <v>15.39</v>
      </c>
    </row>
    <row r="4" spans="1:20" ht="15.6" x14ac:dyDescent="0.3">
      <c r="A4" s="13" t="s">
        <v>15</v>
      </c>
      <c r="B4" s="14">
        <v>45235</v>
      </c>
      <c r="C4" s="15">
        <v>45244</v>
      </c>
      <c r="D4" s="16" t="str">
        <f>TRIM('data cleaning'!$E4)</f>
        <v>Thomas Scott</v>
      </c>
      <c r="E4" s="17" t="s">
        <v>784</v>
      </c>
      <c r="F4" s="17" t="str">
        <f>TRIM('data cleaning'!$G4)</f>
        <v>Consumer</v>
      </c>
      <c r="G4" s="17" t="s">
        <v>1513</v>
      </c>
      <c r="H4" s="17" t="str">
        <f>TRIM('data cleaning'!$I4)</f>
        <v>South</v>
      </c>
      <c r="I4" s="17" t="s">
        <v>1517</v>
      </c>
      <c r="J4" s="17" t="str">
        <f>TRIM('data cleaning'!$K4)</f>
        <v>Office Supplies</v>
      </c>
      <c r="K4" s="17" t="s">
        <v>1520</v>
      </c>
      <c r="L4" s="17" t="str">
        <f>TRIM('data cleaning'!$M4)</f>
        <v>Storage</v>
      </c>
      <c r="M4" s="17" t="s">
        <v>1525</v>
      </c>
      <c r="N4" s="17" t="str">
        <f>PROPER('data cleaning'!$O4)</f>
        <v>Process Storage</v>
      </c>
      <c r="O4" s="17" t="str">
        <f>TRIM('data cleaning'!$P4)</f>
        <v>Process Storage</v>
      </c>
      <c r="P4" s="17" t="s">
        <v>1534</v>
      </c>
      <c r="Q4" s="17">
        <v>2126.62</v>
      </c>
      <c r="R4" s="17">
        <v>8</v>
      </c>
      <c r="S4" s="17">
        <v>0.2</v>
      </c>
      <c r="T4" s="18">
        <v>-99.94</v>
      </c>
    </row>
    <row r="5" spans="1:20" ht="15.6" x14ac:dyDescent="0.3">
      <c r="A5" s="19" t="s">
        <v>16</v>
      </c>
      <c r="B5" s="20">
        <v>45523</v>
      </c>
      <c r="C5" s="21">
        <v>45529</v>
      </c>
      <c r="D5" s="22" t="str">
        <f>TRIM('data cleaning'!$E5)</f>
        <v>Samuel Diaz</v>
      </c>
      <c r="E5" s="23" t="s">
        <v>785</v>
      </c>
      <c r="F5" s="23" t="str">
        <f>TRIM('data cleaning'!$G5)</f>
        <v>Corporate</v>
      </c>
      <c r="G5" s="23" t="s">
        <v>1514</v>
      </c>
      <c r="H5" s="23" t="str">
        <f>TRIM('data cleaning'!$I5)</f>
        <v>North</v>
      </c>
      <c r="I5" s="23" t="s">
        <v>1516</v>
      </c>
      <c r="J5" s="23" t="str">
        <f>TRIM('data cleaning'!$K5)</f>
        <v>Office Supplies</v>
      </c>
      <c r="K5" s="23" t="s">
        <v>1520</v>
      </c>
      <c r="L5" s="23" t="str">
        <f>TRIM('data cleaning'!$M5)</f>
        <v>Paper</v>
      </c>
      <c r="M5" s="23" t="s">
        <v>1524</v>
      </c>
      <c r="N5" s="23" t="str">
        <f>PROPER('data cleaning'!$O5)</f>
        <v>Prepare Paper</v>
      </c>
      <c r="O5" s="23" t="str">
        <f>TRIM('data cleaning'!$P5)</f>
        <v>Prepare Paper</v>
      </c>
      <c r="P5" s="23" t="s">
        <v>1535</v>
      </c>
      <c r="Q5" s="23">
        <v>1425.46</v>
      </c>
      <c r="R5" s="23">
        <v>4</v>
      </c>
      <c r="S5" s="23">
        <v>0.1</v>
      </c>
      <c r="T5" s="24">
        <v>-204.96</v>
      </c>
    </row>
    <row r="6" spans="1:20" ht="15.6" x14ac:dyDescent="0.3">
      <c r="A6" s="13" t="s">
        <v>17</v>
      </c>
      <c r="B6" s="14">
        <v>45860</v>
      </c>
      <c r="C6" s="15">
        <v>45870</v>
      </c>
      <c r="D6" s="16" t="str">
        <f>TRIM('data cleaning'!$E6)</f>
        <v>Tiffany Ruiz</v>
      </c>
      <c r="E6" s="17" t="s">
        <v>786</v>
      </c>
      <c r="F6" s="17" t="str">
        <f>TRIM('data cleaning'!$G6)</f>
        <v>Consumer</v>
      </c>
      <c r="G6" s="17" t="s">
        <v>1513</v>
      </c>
      <c r="H6" s="17" t="str">
        <f>TRIM('data cleaning'!$I6)</f>
        <v>West</v>
      </c>
      <c r="I6" s="17" t="s">
        <v>1518</v>
      </c>
      <c r="J6" s="17" t="str">
        <f>TRIM('data cleaning'!$K6)</f>
        <v>Technology</v>
      </c>
      <c r="K6" s="17" t="s">
        <v>1521</v>
      </c>
      <c r="L6" s="17" t="str">
        <f>TRIM('data cleaning'!$M6)</f>
        <v>Accessories</v>
      </c>
      <c r="M6" s="17" t="s">
        <v>1526</v>
      </c>
      <c r="N6" s="17" t="str">
        <f>PROPER('data cleaning'!$O6)</f>
        <v>Coach Accessories</v>
      </c>
      <c r="O6" s="17" t="str">
        <f>TRIM('data cleaning'!$P6)</f>
        <v>Coach Accessories</v>
      </c>
      <c r="P6" s="17" t="s">
        <v>1536</v>
      </c>
      <c r="Q6" s="17">
        <v>1359.38</v>
      </c>
      <c r="R6" s="17">
        <v>1</v>
      </c>
      <c r="S6" s="17"/>
      <c r="T6" s="18">
        <v>71.62</v>
      </c>
    </row>
    <row r="7" spans="1:20" ht="15.6" x14ac:dyDescent="0.3">
      <c r="A7" s="19" t="s">
        <v>18</v>
      </c>
      <c r="B7" s="20">
        <v>45335</v>
      </c>
      <c r="C7" s="21">
        <v>45340</v>
      </c>
      <c r="D7" s="22" t="str">
        <f>TRIM('data cleaning'!$E7)</f>
        <v>Stephanie Rodriguez</v>
      </c>
      <c r="E7" s="23" t="s">
        <v>787</v>
      </c>
      <c r="F7" s="23" t="str">
        <f>TRIM('data cleaning'!$G7)</f>
        <v>Home Office</v>
      </c>
      <c r="G7" s="23" t="s">
        <v>1515</v>
      </c>
      <c r="H7" s="23" t="str">
        <f>TRIM('data cleaning'!$I7)</f>
        <v>North</v>
      </c>
      <c r="I7" s="23" t="s">
        <v>1516</v>
      </c>
      <c r="J7" s="23" t="str">
        <f>TRIM('data cleaning'!$K7)</f>
        <v>Furniture</v>
      </c>
      <c r="K7" s="23" t="s">
        <v>1522</v>
      </c>
      <c r="L7" s="23" t="str">
        <f>TRIM('data cleaning'!$M7)</f>
        <v>Bookcases</v>
      </c>
      <c r="M7" s="23" t="s">
        <v>1527</v>
      </c>
      <c r="N7" s="23" t="str">
        <f>PROPER('data cleaning'!$O7)</f>
        <v>Task Bookcases</v>
      </c>
      <c r="O7" s="23" t="str">
        <f>TRIM('data cleaning'!$P7)</f>
        <v>Task Bookcases</v>
      </c>
      <c r="P7" s="23" t="s">
        <v>1537</v>
      </c>
      <c r="Q7" s="23">
        <v>4155.55</v>
      </c>
      <c r="R7" s="23">
        <v>10</v>
      </c>
      <c r="S7" s="23">
        <v>0.1</v>
      </c>
      <c r="T7" s="24">
        <v>488.46</v>
      </c>
    </row>
    <row r="8" spans="1:20" ht="15.6" x14ac:dyDescent="0.3">
      <c r="A8" s="13" t="s">
        <v>19</v>
      </c>
      <c r="B8" s="14">
        <v>46018</v>
      </c>
      <c r="C8" s="15">
        <v>46022</v>
      </c>
      <c r="D8" s="16" t="str">
        <f>TRIM('data cleaning'!$E8)</f>
        <v>Barbara Mora</v>
      </c>
      <c r="E8" s="17" t="s">
        <v>788</v>
      </c>
      <c r="F8" s="17" t="str">
        <f>TRIM('data cleaning'!$G8)</f>
        <v>Corporate</v>
      </c>
      <c r="G8" s="17" t="s">
        <v>1514</v>
      </c>
      <c r="H8" s="17" t="str">
        <f>TRIM('data cleaning'!$I8)</f>
        <v>East</v>
      </c>
      <c r="I8" s="17" t="s">
        <v>1519</v>
      </c>
      <c r="J8" s="17" t="str">
        <f>TRIM('data cleaning'!$K8)</f>
        <v>Furniture</v>
      </c>
      <c r="K8" s="17" t="s">
        <v>1522</v>
      </c>
      <c r="L8" s="17" t="str">
        <f>TRIM('data cleaning'!$M8)</f>
        <v>Bookcases</v>
      </c>
      <c r="M8" s="17" t="s">
        <v>1527</v>
      </c>
      <c r="N8" s="17" t="str">
        <f>PROPER('data cleaning'!$O8)</f>
        <v>Available Bookcases</v>
      </c>
      <c r="O8" s="17" t="str">
        <f>TRIM('data cleaning'!$P8)</f>
        <v>Available Bookcases</v>
      </c>
      <c r="P8" s="17" t="s">
        <v>1538</v>
      </c>
      <c r="Q8" s="17">
        <v>3876.69</v>
      </c>
      <c r="R8" s="17">
        <v>2</v>
      </c>
      <c r="S8" s="17">
        <v>0.05</v>
      </c>
      <c r="T8" s="18">
        <v>1072.1600000000001</v>
      </c>
    </row>
    <row r="9" spans="1:20" ht="15.6" x14ac:dyDescent="0.3">
      <c r="A9" s="19" t="s">
        <v>20</v>
      </c>
      <c r="B9" s="20">
        <v>45288</v>
      </c>
      <c r="C9" s="21">
        <v>45294</v>
      </c>
      <c r="D9" s="22" t="str">
        <f>TRIM('data cleaning'!$E9)</f>
        <v>Gloria Brown</v>
      </c>
      <c r="E9" s="23" t="s">
        <v>789</v>
      </c>
      <c r="F9" s="23" t="str">
        <f>TRIM('data cleaning'!$G9)</f>
        <v>Home Office</v>
      </c>
      <c r="G9" s="23" t="s">
        <v>1515</v>
      </c>
      <c r="H9" s="23" t="str">
        <f>TRIM('data cleaning'!$I9)</f>
        <v>North</v>
      </c>
      <c r="I9" s="23" t="s">
        <v>1516</v>
      </c>
      <c r="J9" s="23" t="str">
        <f>TRIM('data cleaning'!$K9)</f>
        <v>Technology</v>
      </c>
      <c r="K9" s="23" t="s">
        <v>1521</v>
      </c>
      <c r="L9" s="23" t="str">
        <f>TRIM('data cleaning'!$M9)</f>
        <v>Laptops</v>
      </c>
      <c r="M9" s="23" t="s">
        <v>1528</v>
      </c>
      <c r="N9" s="23" t="str">
        <f>PROPER('data cleaning'!$O9)</f>
        <v>Beautiful Laptops</v>
      </c>
      <c r="O9" s="23" t="str">
        <f>TRIM('data cleaning'!$P9)</f>
        <v>Beautiful Laptops</v>
      </c>
      <c r="P9" s="23" t="s">
        <v>1539</v>
      </c>
      <c r="Q9" s="23">
        <v>855.14</v>
      </c>
      <c r="R9" s="23">
        <v>6</v>
      </c>
      <c r="S9" s="23">
        <v>0.05</v>
      </c>
      <c r="T9" s="24">
        <v>144.16999999999999</v>
      </c>
    </row>
    <row r="10" spans="1:20" ht="15.6" x14ac:dyDescent="0.3">
      <c r="A10" s="13" t="s">
        <v>21</v>
      </c>
      <c r="B10" s="14">
        <v>45374</v>
      </c>
      <c r="C10" s="15">
        <v>45377</v>
      </c>
      <c r="D10" s="16" t="str">
        <f>TRIM('data cleaning'!$E10)</f>
        <v>Stephen Adkins</v>
      </c>
      <c r="E10" s="17" t="s">
        <v>790</v>
      </c>
      <c r="F10" s="17" t="str">
        <f>TRIM('data cleaning'!$G10)</f>
        <v>Corporate</v>
      </c>
      <c r="G10" s="17" t="s">
        <v>1514</v>
      </c>
      <c r="H10" s="17" t="str">
        <f>TRIM('data cleaning'!$I10)</f>
        <v>South</v>
      </c>
      <c r="I10" s="17" t="s">
        <v>1517</v>
      </c>
      <c r="J10" s="17" t="str">
        <f>TRIM('data cleaning'!$K10)</f>
        <v>Office Supplies</v>
      </c>
      <c r="K10" s="17" t="s">
        <v>1520</v>
      </c>
      <c r="L10" s="17" t="str">
        <f>TRIM('data cleaning'!$M10)</f>
        <v>Storage</v>
      </c>
      <c r="M10" s="17" t="s">
        <v>1525</v>
      </c>
      <c r="N10" s="17" t="str">
        <f>PROPER('data cleaning'!$O10)</f>
        <v>Purpose Storage</v>
      </c>
      <c r="O10" s="17" t="str">
        <f>TRIM('data cleaning'!$P10)</f>
        <v>Purpose Storage</v>
      </c>
      <c r="P10" s="17" t="s">
        <v>1540</v>
      </c>
      <c r="Q10" s="17">
        <v>2693.99</v>
      </c>
      <c r="R10" s="17">
        <v>4</v>
      </c>
      <c r="S10" s="17">
        <v>0.05</v>
      </c>
      <c r="T10" s="18">
        <v>146.13</v>
      </c>
    </row>
    <row r="11" spans="1:20" ht="15.6" x14ac:dyDescent="0.3">
      <c r="A11" s="19" t="s">
        <v>22</v>
      </c>
      <c r="B11" s="20">
        <v>46080</v>
      </c>
      <c r="C11" s="21">
        <v>46081</v>
      </c>
      <c r="D11" s="22" t="str">
        <f>TRIM('data cleaning'!$E11)</f>
        <v>Rachel Mathews</v>
      </c>
      <c r="E11" s="23" t="s">
        <v>791</v>
      </c>
      <c r="F11" s="23" t="str">
        <f>TRIM('data cleaning'!$G11)</f>
        <v>Consumer</v>
      </c>
      <c r="G11" s="23" t="s">
        <v>1513</v>
      </c>
      <c r="H11" s="23" t="str">
        <f>TRIM('data cleaning'!$I11)</f>
        <v>South</v>
      </c>
      <c r="I11" s="23" t="s">
        <v>1517</v>
      </c>
      <c r="J11" s="23" t="str">
        <f>TRIM('data cleaning'!$K11)</f>
        <v>Office Supplies</v>
      </c>
      <c r="K11" s="23" t="s">
        <v>1520</v>
      </c>
      <c r="L11" s="23" t="str">
        <f>TRIM('data cleaning'!$M11)</f>
        <v>Paper</v>
      </c>
      <c r="M11" s="23" t="s">
        <v>1524</v>
      </c>
      <c r="N11" s="23" t="str">
        <f>PROPER('data cleaning'!$O11)</f>
        <v>Last Paper</v>
      </c>
      <c r="O11" s="23" t="str">
        <f>TRIM('data cleaning'!$P11)</f>
        <v>Last Paper</v>
      </c>
      <c r="P11" s="23" t="s">
        <v>1541</v>
      </c>
      <c r="Q11" s="23">
        <v>1183.79</v>
      </c>
      <c r="R11" s="23">
        <v>1</v>
      </c>
      <c r="S11" s="23">
        <v>0.1</v>
      </c>
      <c r="T11" s="24">
        <v>24.43</v>
      </c>
    </row>
    <row r="12" spans="1:20" ht="15.6" x14ac:dyDescent="0.3">
      <c r="A12" s="13" t="s">
        <v>23</v>
      </c>
      <c r="B12" s="14">
        <v>45524</v>
      </c>
      <c r="C12" s="15">
        <v>45530</v>
      </c>
      <c r="D12" s="16" t="str">
        <f>TRIM('data cleaning'!$E12)</f>
        <v>Jacqueline Johnson</v>
      </c>
      <c r="E12" s="17" t="s">
        <v>792</v>
      </c>
      <c r="F12" s="17" t="str">
        <f>TRIM('data cleaning'!$G12)</f>
        <v>Home Office</v>
      </c>
      <c r="G12" s="17" t="s">
        <v>1515</v>
      </c>
      <c r="H12" s="17" t="str">
        <f>TRIM('data cleaning'!$I12)</f>
        <v>West</v>
      </c>
      <c r="I12" s="17" t="s">
        <v>1518</v>
      </c>
      <c r="J12" s="17" t="str">
        <f>TRIM('data cleaning'!$K12)</f>
        <v>Office Supplies</v>
      </c>
      <c r="K12" s="17" t="s">
        <v>1520</v>
      </c>
      <c r="L12" s="17" t="str">
        <f>TRIM('data cleaning'!$M12)</f>
        <v>Storage</v>
      </c>
      <c r="M12" s="17" t="s">
        <v>1525</v>
      </c>
      <c r="N12" s="17" t="str">
        <f>PROPER('data cleaning'!$O12)</f>
        <v>Prepare Storage</v>
      </c>
      <c r="O12" s="17" t="str">
        <f>TRIM('data cleaning'!$P12)</f>
        <v>Prepare Storage</v>
      </c>
      <c r="P12" s="17" t="s">
        <v>1542</v>
      </c>
      <c r="Q12" s="17">
        <v>1102.5</v>
      </c>
      <c r="R12" s="17">
        <v>8</v>
      </c>
      <c r="S12" s="17">
        <v>0.15</v>
      </c>
      <c r="T12" s="18">
        <v>315.95</v>
      </c>
    </row>
    <row r="13" spans="1:20" ht="15.6" x14ac:dyDescent="0.3">
      <c r="A13" s="19" t="s">
        <v>24</v>
      </c>
      <c r="B13" s="20">
        <v>45574</v>
      </c>
      <c r="C13" s="21">
        <v>45577</v>
      </c>
      <c r="D13" s="22" t="str">
        <f>TRIM('data cleaning'!$E13)</f>
        <v>Kevin Anderson</v>
      </c>
      <c r="E13" s="23" t="s">
        <v>793</v>
      </c>
      <c r="F13" s="23" t="str">
        <f>TRIM('data cleaning'!$G13)</f>
        <v>Home Office</v>
      </c>
      <c r="G13" s="23" t="s">
        <v>1515</v>
      </c>
      <c r="H13" s="23" t="str">
        <f>TRIM('data cleaning'!$I13)</f>
        <v>West</v>
      </c>
      <c r="I13" s="23" t="s">
        <v>1518</v>
      </c>
      <c r="J13" s="23" t="str">
        <f>TRIM('data cleaning'!$K13)</f>
        <v>Furniture</v>
      </c>
      <c r="K13" s="23" t="s">
        <v>1522</v>
      </c>
      <c r="L13" s="23" t="str">
        <f>TRIM('data cleaning'!$M13)</f>
        <v>Tables</v>
      </c>
      <c r="M13" s="23" t="s">
        <v>1529</v>
      </c>
      <c r="N13" s="23" t="str">
        <f>PROPER('data cleaning'!$O13)</f>
        <v>Live Tables</v>
      </c>
      <c r="O13" s="23" t="str">
        <f>TRIM('data cleaning'!$P13)</f>
        <v>Live Tables</v>
      </c>
      <c r="P13" s="23" t="s">
        <v>1543</v>
      </c>
      <c r="Q13" s="23">
        <v>1270.81</v>
      </c>
      <c r="R13" s="23">
        <v>9</v>
      </c>
      <c r="S13" s="23">
        <v>0.2</v>
      </c>
      <c r="T13" s="24">
        <v>-70.52</v>
      </c>
    </row>
    <row r="14" spans="1:20" ht="15.6" x14ac:dyDescent="0.3">
      <c r="A14" s="13" t="s">
        <v>25</v>
      </c>
      <c r="B14" s="14">
        <v>45524</v>
      </c>
      <c r="C14" s="15">
        <v>45530</v>
      </c>
      <c r="D14" s="16" t="str">
        <f>TRIM('data cleaning'!$E14)</f>
        <v>Kenneth Sullivan</v>
      </c>
      <c r="E14" s="17" t="s">
        <v>794</v>
      </c>
      <c r="F14" s="17" t="str">
        <f>TRIM('data cleaning'!$G14)</f>
        <v>Consumer</v>
      </c>
      <c r="G14" s="17" t="s">
        <v>1513</v>
      </c>
      <c r="H14" s="17" t="str">
        <f>TRIM('data cleaning'!$I14)</f>
        <v>North</v>
      </c>
      <c r="I14" s="17" t="s">
        <v>1516</v>
      </c>
      <c r="J14" s="17" t="str">
        <f>TRIM('data cleaning'!$K14)</f>
        <v>Office Supplies</v>
      </c>
      <c r="K14" s="17" t="s">
        <v>1520</v>
      </c>
      <c r="L14" s="17" t="str">
        <f>TRIM('data cleaning'!$M14)</f>
        <v>Paper</v>
      </c>
      <c r="M14" s="17" t="s">
        <v>1524</v>
      </c>
      <c r="N14" s="17" t="str">
        <f>PROPER('data cleaning'!$O14)</f>
        <v>Example Paper</v>
      </c>
      <c r="O14" s="17" t="str">
        <f>TRIM('data cleaning'!$P14)</f>
        <v>Example Paper</v>
      </c>
      <c r="P14" s="17" t="s">
        <v>1544</v>
      </c>
      <c r="Q14" s="17">
        <v>1135.6400000000001</v>
      </c>
      <c r="R14" s="17">
        <v>3</v>
      </c>
      <c r="S14" s="17">
        <v>0.2</v>
      </c>
      <c r="T14" s="18">
        <v>81.12</v>
      </c>
    </row>
    <row r="15" spans="1:20" ht="15.6" x14ac:dyDescent="0.3">
      <c r="A15" s="19" t="s">
        <v>26</v>
      </c>
      <c r="B15" s="20">
        <v>45338</v>
      </c>
      <c r="C15" s="21">
        <v>45341</v>
      </c>
      <c r="D15" s="22" t="str">
        <f>TRIM('data cleaning'!$E15)</f>
        <v>John Bates</v>
      </c>
      <c r="E15" s="23" t="s">
        <v>795</v>
      </c>
      <c r="F15" s="23" t="str">
        <f>TRIM('data cleaning'!$G15)</f>
        <v>Corporate</v>
      </c>
      <c r="G15" s="23" t="s">
        <v>1514</v>
      </c>
      <c r="H15" s="23" t="str">
        <f>TRIM('data cleaning'!$I15)</f>
        <v>West</v>
      </c>
      <c r="I15" s="23" t="s">
        <v>1518</v>
      </c>
      <c r="J15" s="23" t="str">
        <f>TRIM('data cleaning'!$K15)</f>
        <v>Furniture</v>
      </c>
      <c r="K15" s="23" t="s">
        <v>1522</v>
      </c>
      <c r="L15" s="23" t="str">
        <f>TRIM('data cleaning'!$M15)</f>
        <v>Bookcases</v>
      </c>
      <c r="M15" s="23" t="s">
        <v>1527</v>
      </c>
      <c r="N15" s="23" t="str">
        <f>PROPER('data cleaning'!$O15)</f>
        <v>Individual Bookcases</v>
      </c>
      <c r="O15" s="23" t="str">
        <f>TRIM('data cleaning'!$P15)</f>
        <v>Individual Bookcases</v>
      </c>
      <c r="P15" s="23" t="s">
        <v>1545</v>
      </c>
      <c r="Q15" s="23">
        <v>3970.79</v>
      </c>
      <c r="R15" s="23">
        <v>7</v>
      </c>
      <c r="S15" s="23">
        <v>0.2</v>
      </c>
      <c r="T15" s="24">
        <v>-655.42</v>
      </c>
    </row>
    <row r="16" spans="1:20" ht="15.6" x14ac:dyDescent="0.3">
      <c r="A16" s="13" t="s">
        <v>27</v>
      </c>
      <c r="B16" s="14">
        <v>45214</v>
      </c>
      <c r="C16" s="15">
        <v>45223</v>
      </c>
      <c r="D16" s="16" t="str">
        <f>TRIM('data cleaning'!$E16)</f>
        <v>Patrick Horn</v>
      </c>
      <c r="E16" s="17" t="s">
        <v>796</v>
      </c>
      <c r="F16" s="17" t="str">
        <f>TRIM('data cleaning'!$G16)</f>
        <v>Home Office</v>
      </c>
      <c r="G16" s="17" t="s">
        <v>1515</v>
      </c>
      <c r="H16" s="17" t="str">
        <f>TRIM('data cleaning'!$I16)</f>
        <v>East</v>
      </c>
      <c r="I16" s="17" t="s">
        <v>1519</v>
      </c>
      <c r="J16" s="17" t="str">
        <f>TRIM('data cleaning'!$K16)</f>
        <v>Office Supplies</v>
      </c>
      <c r="K16" s="17" t="s">
        <v>1520</v>
      </c>
      <c r="L16" s="17" t="str">
        <f>TRIM('data cleaning'!$M16)</f>
        <v>Paper</v>
      </c>
      <c r="M16" s="17" t="s">
        <v>1524</v>
      </c>
      <c r="N16" s="17" t="str">
        <f>PROPER('data cleaning'!$O16)</f>
        <v>Tough Paper</v>
      </c>
      <c r="O16" s="17" t="str">
        <f>TRIM('data cleaning'!$P16)</f>
        <v>Tough Paper</v>
      </c>
      <c r="P16" s="17" t="s">
        <v>1546</v>
      </c>
      <c r="Q16" s="17">
        <v>4310.8599999999997</v>
      </c>
      <c r="R16" s="17">
        <v>1</v>
      </c>
      <c r="S16" s="17"/>
      <c r="T16" s="18">
        <v>846.64</v>
      </c>
    </row>
    <row r="17" spans="1:20" ht="15.6" x14ac:dyDescent="0.3">
      <c r="A17" s="19" t="s">
        <v>28</v>
      </c>
      <c r="B17" s="20">
        <v>45297</v>
      </c>
      <c r="C17" s="21">
        <v>45299</v>
      </c>
      <c r="D17" s="22" t="str">
        <f>TRIM('data cleaning'!$E17)</f>
        <v>Danny Clark</v>
      </c>
      <c r="E17" s="23" t="s">
        <v>797</v>
      </c>
      <c r="F17" s="23" t="str">
        <f>TRIM('data cleaning'!$G17)</f>
        <v>Home Office</v>
      </c>
      <c r="G17" s="23" t="s">
        <v>1515</v>
      </c>
      <c r="H17" s="23" t="str">
        <f>TRIM('data cleaning'!$I17)</f>
        <v>East</v>
      </c>
      <c r="I17" s="23" t="s">
        <v>1519</v>
      </c>
      <c r="J17" s="23" t="str">
        <f>TRIM('data cleaning'!$K17)</f>
        <v>Office Supplies</v>
      </c>
      <c r="K17" s="23" t="s">
        <v>1520</v>
      </c>
      <c r="L17" s="23" t="str">
        <f>TRIM('data cleaning'!$M17)</f>
        <v>Paper</v>
      </c>
      <c r="M17" s="23" t="s">
        <v>1524</v>
      </c>
      <c r="N17" s="23" t="str">
        <f>PROPER('data cleaning'!$O17)</f>
        <v>Cover Paper</v>
      </c>
      <c r="O17" s="23" t="str">
        <f>TRIM('data cleaning'!$P17)</f>
        <v>Cover Paper</v>
      </c>
      <c r="P17" s="23" t="s">
        <v>1547</v>
      </c>
      <c r="Q17" s="23">
        <v>1502.83</v>
      </c>
      <c r="R17" s="23">
        <v>3</v>
      </c>
      <c r="S17" s="23">
        <v>0.15</v>
      </c>
      <c r="T17" s="24">
        <v>-297.88</v>
      </c>
    </row>
    <row r="18" spans="1:20" ht="15.6" x14ac:dyDescent="0.3">
      <c r="A18" s="13" t="s">
        <v>29</v>
      </c>
      <c r="B18" s="14">
        <v>45233</v>
      </c>
      <c r="C18" s="15">
        <v>45242</v>
      </c>
      <c r="D18" s="16" t="str">
        <f>TRIM('data cleaning'!$E18)</f>
        <v>Thomas Olson</v>
      </c>
      <c r="E18" s="17" t="s">
        <v>798</v>
      </c>
      <c r="F18" s="17" t="str">
        <f>TRIM('data cleaning'!$G18)</f>
        <v>Consumer</v>
      </c>
      <c r="G18" s="17" t="s">
        <v>1513</v>
      </c>
      <c r="H18" s="17" t="str">
        <f>TRIM('data cleaning'!$I18)</f>
        <v>South</v>
      </c>
      <c r="I18" s="17" t="s">
        <v>1517</v>
      </c>
      <c r="J18" s="17" t="str">
        <f>TRIM('data cleaning'!$K18)</f>
        <v>Office Supplies</v>
      </c>
      <c r="K18" s="17" t="s">
        <v>1520</v>
      </c>
      <c r="L18" s="17" t="str">
        <f>TRIM('data cleaning'!$M18)</f>
        <v>Binders</v>
      </c>
      <c r="M18" s="17" t="s">
        <v>1523</v>
      </c>
      <c r="N18" s="17" t="str">
        <f>PROPER('data cleaning'!$O18)</f>
        <v>Thousand Binders</v>
      </c>
      <c r="O18" s="17" t="str">
        <f>TRIM('data cleaning'!$P18)</f>
        <v>Thousand Binders</v>
      </c>
      <c r="P18" s="17" t="s">
        <v>1548</v>
      </c>
      <c r="Q18" s="17">
        <v>4567.51</v>
      </c>
      <c r="R18" s="17">
        <v>5</v>
      </c>
      <c r="S18" s="17"/>
      <c r="T18" s="18">
        <v>361.81</v>
      </c>
    </row>
    <row r="19" spans="1:20" ht="15.6" x14ac:dyDescent="0.3">
      <c r="A19" s="19" t="s">
        <v>30</v>
      </c>
      <c r="B19" s="20">
        <v>45669</v>
      </c>
      <c r="C19" s="21">
        <v>45678</v>
      </c>
      <c r="D19" s="22" t="str">
        <f>TRIM('data cleaning'!$E19)</f>
        <v>Jeffrey Levy</v>
      </c>
      <c r="E19" s="23" t="s">
        <v>799</v>
      </c>
      <c r="F19" s="23" t="str">
        <f>TRIM('data cleaning'!$G19)</f>
        <v>Corporate</v>
      </c>
      <c r="G19" s="23" t="s">
        <v>1514</v>
      </c>
      <c r="H19" s="23" t="str">
        <f>TRIM('data cleaning'!$I19)</f>
        <v>North</v>
      </c>
      <c r="I19" s="23" t="s">
        <v>1516</v>
      </c>
      <c r="J19" s="23" t="str">
        <f>TRIM('data cleaning'!$K19)</f>
        <v>Technology</v>
      </c>
      <c r="K19" s="23" t="s">
        <v>1521</v>
      </c>
      <c r="L19" s="23" t="str">
        <f>TRIM('data cleaning'!$M19)</f>
        <v>Phones</v>
      </c>
      <c r="M19" s="23" t="s">
        <v>1530</v>
      </c>
      <c r="N19" s="23" t="str">
        <f>PROPER('data cleaning'!$O19)</f>
        <v>Ahead Phones</v>
      </c>
      <c r="O19" s="23" t="str">
        <f>TRIM('data cleaning'!$P19)</f>
        <v>Ahead Phones</v>
      </c>
      <c r="P19" s="23" t="s">
        <v>1549</v>
      </c>
      <c r="Q19" s="23">
        <v>4769.82</v>
      </c>
      <c r="R19" s="23">
        <v>9</v>
      </c>
      <c r="S19" s="23">
        <v>0</v>
      </c>
      <c r="T19" s="24">
        <v>617.30999999999995</v>
      </c>
    </row>
    <row r="20" spans="1:20" ht="15.6" x14ac:dyDescent="0.3">
      <c r="A20" s="13" t="s">
        <v>31</v>
      </c>
      <c r="B20" s="14">
        <v>45262</v>
      </c>
      <c r="C20" s="15">
        <v>45267</v>
      </c>
      <c r="D20" s="16" t="str">
        <f>TRIM('data cleaning'!$E20)</f>
        <v>James Hamilton</v>
      </c>
      <c r="E20" s="17" t="s">
        <v>800</v>
      </c>
      <c r="F20" s="17" t="str">
        <f>TRIM('data cleaning'!$G20)</f>
        <v>Consumer</v>
      </c>
      <c r="G20" s="17" t="s">
        <v>1513</v>
      </c>
      <c r="H20" s="17" t="str">
        <f>TRIM('data cleaning'!$I20)</f>
        <v>West</v>
      </c>
      <c r="I20" s="17" t="s">
        <v>1518</v>
      </c>
      <c r="J20" s="17" t="str">
        <f>TRIM('data cleaning'!$K20)</f>
        <v>Furniture</v>
      </c>
      <c r="K20" s="17" t="s">
        <v>1522</v>
      </c>
      <c r="L20" s="17" t="str">
        <f>TRIM('data cleaning'!$M20)</f>
        <v>Tables</v>
      </c>
      <c r="M20" s="17" t="s">
        <v>1529</v>
      </c>
      <c r="N20" s="17" t="str">
        <f>PROPER('data cleaning'!$O20)</f>
        <v>Build Tables</v>
      </c>
      <c r="O20" s="17" t="str">
        <f>TRIM('data cleaning'!$P20)</f>
        <v>Build Tables</v>
      </c>
      <c r="P20" s="17" t="s">
        <v>1550</v>
      </c>
      <c r="Q20" s="17">
        <v>1235.29</v>
      </c>
      <c r="R20" s="17">
        <v>4</v>
      </c>
      <c r="S20" s="17">
        <v>0.2</v>
      </c>
      <c r="T20" s="18">
        <v>396.31</v>
      </c>
    </row>
    <row r="21" spans="1:20" ht="15.6" x14ac:dyDescent="0.3">
      <c r="A21" s="19" t="s">
        <v>32</v>
      </c>
      <c r="B21" s="20">
        <v>45662</v>
      </c>
      <c r="C21" s="21">
        <v>45665</v>
      </c>
      <c r="D21" s="22" t="str">
        <f>TRIM('data cleaning'!$E21)</f>
        <v>Joshua Smith</v>
      </c>
      <c r="E21" s="23" t="s">
        <v>801</v>
      </c>
      <c r="F21" s="23" t="str">
        <f>TRIM('data cleaning'!$G21)</f>
        <v>Home Office</v>
      </c>
      <c r="G21" s="23" t="s">
        <v>1515</v>
      </c>
      <c r="H21" s="23" t="str">
        <f>TRIM('data cleaning'!$I21)</f>
        <v>West</v>
      </c>
      <c r="I21" s="23" t="s">
        <v>1518</v>
      </c>
      <c r="J21" s="23" t="str">
        <f>TRIM('data cleaning'!$K21)</f>
        <v>Furniture</v>
      </c>
      <c r="K21" s="23" t="s">
        <v>1522</v>
      </c>
      <c r="L21" s="23" t="str">
        <f>TRIM('data cleaning'!$M21)</f>
        <v>Bookcases</v>
      </c>
      <c r="M21" s="23" t="s">
        <v>1527</v>
      </c>
      <c r="N21" s="23" t="str">
        <f>PROPER('data cleaning'!$O21)</f>
        <v>Cell Bookcases</v>
      </c>
      <c r="O21" s="23" t="str">
        <f>TRIM('data cleaning'!$P21)</f>
        <v>Cell Bookcases</v>
      </c>
      <c r="P21" s="23" t="s">
        <v>1551</v>
      </c>
      <c r="Q21" s="23">
        <v>685.54</v>
      </c>
      <c r="R21" s="23">
        <v>8</v>
      </c>
      <c r="S21" s="23">
        <v>0.2</v>
      </c>
      <c r="T21" s="24">
        <v>-74.849999999999994</v>
      </c>
    </row>
    <row r="22" spans="1:20" ht="15.6" x14ac:dyDescent="0.3">
      <c r="A22" s="13" t="s">
        <v>33</v>
      </c>
      <c r="B22" s="14">
        <v>46154</v>
      </c>
      <c r="C22" s="15">
        <v>46158</v>
      </c>
      <c r="D22" s="16" t="str">
        <f>TRIM('data cleaning'!$E22)</f>
        <v>Lorraine Ruiz</v>
      </c>
      <c r="E22" s="17" t="s">
        <v>802</v>
      </c>
      <c r="F22" s="17" t="str">
        <f>TRIM('data cleaning'!$G22)</f>
        <v>Corporate</v>
      </c>
      <c r="G22" s="17" t="s">
        <v>1514</v>
      </c>
      <c r="H22" s="17" t="str">
        <f>TRIM('data cleaning'!$I22)</f>
        <v>West</v>
      </c>
      <c r="I22" s="17" t="s">
        <v>1518</v>
      </c>
      <c r="J22" s="17" t="str">
        <f>TRIM('data cleaning'!$K22)</f>
        <v>Furniture</v>
      </c>
      <c r="K22" s="17" t="s">
        <v>1522</v>
      </c>
      <c r="L22" s="17" t="str">
        <f>TRIM('data cleaning'!$M22)</f>
        <v>Bookcases</v>
      </c>
      <c r="M22" s="17" t="s">
        <v>1527</v>
      </c>
      <c r="N22" s="17" t="str">
        <f>PROPER('data cleaning'!$O22)</f>
        <v>Suddenly Bookcases</v>
      </c>
      <c r="O22" s="17" t="str">
        <f>TRIM('data cleaning'!$P22)</f>
        <v>Suddenly Bookcases</v>
      </c>
      <c r="P22" s="17" t="s">
        <v>1552</v>
      </c>
      <c r="Q22" s="17">
        <v>3579.1</v>
      </c>
      <c r="R22" s="17">
        <v>7</v>
      </c>
      <c r="S22" s="17"/>
      <c r="T22" s="18">
        <v>563.47</v>
      </c>
    </row>
    <row r="23" spans="1:20" ht="15.6" x14ac:dyDescent="0.3">
      <c r="A23" s="19" t="s">
        <v>34</v>
      </c>
      <c r="B23" s="20">
        <v>45989</v>
      </c>
      <c r="C23" s="21">
        <v>45993</v>
      </c>
      <c r="D23" s="22" t="str">
        <f>TRIM('data cleaning'!$E23)</f>
        <v>Terri Miller</v>
      </c>
      <c r="E23" s="23" t="s">
        <v>803</v>
      </c>
      <c r="F23" s="23" t="str">
        <f>TRIM('data cleaning'!$G23)</f>
        <v>Home Office</v>
      </c>
      <c r="G23" s="23" t="s">
        <v>1515</v>
      </c>
      <c r="H23" s="23" t="str">
        <f>TRIM('data cleaning'!$I23)</f>
        <v>South</v>
      </c>
      <c r="I23" s="23" t="s">
        <v>1517</v>
      </c>
      <c r="J23" s="23" t="str">
        <f>TRIM('data cleaning'!$K23)</f>
        <v>Furniture</v>
      </c>
      <c r="K23" s="23" t="s">
        <v>1522</v>
      </c>
      <c r="L23" s="23" t="str">
        <f>TRIM('data cleaning'!$M23)</f>
        <v>Chairs</v>
      </c>
      <c r="M23" s="23" t="s">
        <v>1531</v>
      </c>
      <c r="N23" s="23" t="str">
        <f>PROPER('data cleaning'!$O23)</f>
        <v>Forget Chairs</v>
      </c>
      <c r="O23" s="23" t="str">
        <f>TRIM('data cleaning'!$P23)</f>
        <v>Forget Chairs</v>
      </c>
      <c r="P23" s="23" t="s">
        <v>1553</v>
      </c>
      <c r="Q23" s="23">
        <v>366.93</v>
      </c>
      <c r="R23" s="23">
        <v>1</v>
      </c>
      <c r="S23" s="23">
        <v>0.2</v>
      </c>
      <c r="T23" s="24">
        <v>38.4</v>
      </c>
    </row>
    <row r="24" spans="1:20" ht="15.6" x14ac:dyDescent="0.3">
      <c r="A24" s="13" t="s">
        <v>35</v>
      </c>
      <c r="B24" s="14">
        <v>45383</v>
      </c>
      <c r="C24" s="15">
        <v>45384</v>
      </c>
      <c r="D24" s="16" t="str">
        <f>TRIM('data cleaning'!$E24)</f>
        <v>Stacey Lewis</v>
      </c>
      <c r="E24" s="17" t="s">
        <v>804</v>
      </c>
      <c r="F24" s="17" t="str">
        <f>TRIM('data cleaning'!$G24)</f>
        <v>Consumer</v>
      </c>
      <c r="G24" s="17" t="s">
        <v>1513</v>
      </c>
      <c r="H24" s="17" t="str">
        <f>TRIM('data cleaning'!$I24)</f>
        <v>East</v>
      </c>
      <c r="I24" s="17" t="s">
        <v>1519</v>
      </c>
      <c r="J24" s="17" t="str">
        <f>TRIM('data cleaning'!$K24)</f>
        <v>Furniture</v>
      </c>
      <c r="K24" s="17" t="s">
        <v>1522</v>
      </c>
      <c r="L24" s="17" t="str">
        <f>TRIM('data cleaning'!$M24)</f>
        <v>Chairs</v>
      </c>
      <c r="M24" s="17" t="s">
        <v>1531</v>
      </c>
      <c r="N24" s="17" t="str">
        <f>PROPER('data cleaning'!$O24)</f>
        <v>Than Chairs</v>
      </c>
      <c r="O24" s="17" t="str">
        <f>TRIM('data cleaning'!$P24)</f>
        <v>Than Chairs</v>
      </c>
      <c r="P24" s="17" t="s">
        <v>1554</v>
      </c>
      <c r="Q24" s="17">
        <v>1183.26</v>
      </c>
      <c r="R24" s="17">
        <v>1</v>
      </c>
      <c r="S24" s="17">
        <v>0.1</v>
      </c>
      <c r="T24" s="18">
        <v>-190.54</v>
      </c>
    </row>
    <row r="25" spans="1:20" ht="15.6" x14ac:dyDescent="0.3">
      <c r="A25" s="19" t="s">
        <v>36</v>
      </c>
      <c r="B25" s="20">
        <v>45796</v>
      </c>
      <c r="C25" s="21">
        <v>45800</v>
      </c>
      <c r="D25" s="22" t="str">
        <f>TRIM('data cleaning'!$E25)</f>
        <v>Amanda Roberts</v>
      </c>
      <c r="E25" s="23" t="s">
        <v>805</v>
      </c>
      <c r="F25" s="23" t="str">
        <f>TRIM('data cleaning'!$G25)</f>
        <v>Corporate</v>
      </c>
      <c r="G25" s="23" t="s">
        <v>1514</v>
      </c>
      <c r="H25" s="23" t="str">
        <f>TRIM('data cleaning'!$I25)</f>
        <v>West</v>
      </c>
      <c r="I25" s="23" t="s">
        <v>1518</v>
      </c>
      <c r="J25" s="23" t="str">
        <f>TRIM('data cleaning'!$K25)</f>
        <v>Office Supplies</v>
      </c>
      <c r="K25" s="23" t="s">
        <v>1520</v>
      </c>
      <c r="L25" s="23" t="str">
        <f>TRIM('data cleaning'!$M25)</f>
        <v>Paper</v>
      </c>
      <c r="M25" s="23" t="s">
        <v>1524</v>
      </c>
      <c r="N25" s="23" t="str">
        <f>PROPER('data cleaning'!$O25)</f>
        <v>Culture Paper</v>
      </c>
      <c r="O25" s="23" t="str">
        <f>TRIM('data cleaning'!$P25)</f>
        <v>Culture Paper</v>
      </c>
      <c r="P25" s="23" t="s">
        <v>1555</v>
      </c>
      <c r="Q25" s="23">
        <v>2719.21</v>
      </c>
      <c r="R25" s="23">
        <v>10</v>
      </c>
      <c r="S25" s="23">
        <v>0.2</v>
      </c>
      <c r="T25" s="24">
        <v>163.07</v>
      </c>
    </row>
    <row r="26" spans="1:20" ht="15.6" x14ac:dyDescent="0.3">
      <c r="A26" s="13" t="s">
        <v>37</v>
      </c>
      <c r="B26" s="14">
        <v>45564</v>
      </c>
      <c r="C26" s="15">
        <v>45566</v>
      </c>
      <c r="D26" s="16" t="str">
        <f>TRIM('data cleaning'!$E26)</f>
        <v>William Fernandez</v>
      </c>
      <c r="E26" s="17" t="s">
        <v>806</v>
      </c>
      <c r="F26" s="17" t="str">
        <f>TRIM('data cleaning'!$G26)</f>
        <v>Home Office</v>
      </c>
      <c r="G26" s="17" t="s">
        <v>1515</v>
      </c>
      <c r="H26" s="17" t="str">
        <f>TRIM('data cleaning'!$I26)</f>
        <v>North</v>
      </c>
      <c r="I26" s="17" t="s">
        <v>1516</v>
      </c>
      <c r="J26" s="17" t="str">
        <f>TRIM('data cleaning'!$K26)</f>
        <v>Furniture</v>
      </c>
      <c r="K26" s="17" t="s">
        <v>1522</v>
      </c>
      <c r="L26" s="17" t="str">
        <f>TRIM('data cleaning'!$M26)</f>
        <v>Chairs</v>
      </c>
      <c r="M26" s="17" t="s">
        <v>1531</v>
      </c>
      <c r="N26" s="17" t="str">
        <f>PROPER('data cleaning'!$O26)</f>
        <v>Cultural Chairs</v>
      </c>
      <c r="O26" s="17" t="str">
        <f>TRIM('data cleaning'!$P26)</f>
        <v>Cultural Chairs</v>
      </c>
      <c r="P26" s="17" t="s">
        <v>1556</v>
      </c>
      <c r="Q26" s="17">
        <v>3311.96</v>
      </c>
      <c r="R26" s="17">
        <v>6</v>
      </c>
      <c r="S26" s="17">
        <v>0.15</v>
      </c>
      <c r="T26" s="18">
        <v>86.46</v>
      </c>
    </row>
    <row r="27" spans="1:20" ht="15.6" x14ac:dyDescent="0.3">
      <c r="A27" s="19" t="s">
        <v>38</v>
      </c>
      <c r="B27" s="20">
        <v>45647</v>
      </c>
      <c r="C27" s="21">
        <v>45649</v>
      </c>
      <c r="D27" s="22" t="str">
        <f>TRIM('data cleaning'!$E27)</f>
        <v>Nicholas Taylor</v>
      </c>
      <c r="E27" s="23" t="s">
        <v>807</v>
      </c>
      <c r="F27" s="23" t="str">
        <f>TRIM('data cleaning'!$G27)</f>
        <v>Consumer</v>
      </c>
      <c r="G27" s="23" t="s">
        <v>1513</v>
      </c>
      <c r="H27" s="23" t="str">
        <f>TRIM('data cleaning'!$I27)</f>
        <v>West</v>
      </c>
      <c r="I27" s="23" t="s">
        <v>1518</v>
      </c>
      <c r="J27" s="23" t="str">
        <f>TRIM('data cleaning'!$K27)</f>
        <v>Office Supplies</v>
      </c>
      <c r="K27" s="23" t="s">
        <v>1520</v>
      </c>
      <c r="L27" s="23" t="str">
        <f>TRIM('data cleaning'!$M27)</f>
        <v>Storage</v>
      </c>
      <c r="M27" s="23" t="s">
        <v>1525</v>
      </c>
      <c r="N27" s="23" t="str">
        <f>PROPER('data cleaning'!$O27)</f>
        <v>Make Storage</v>
      </c>
      <c r="O27" s="23" t="str">
        <f>TRIM('data cleaning'!$P27)</f>
        <v>Make Storage</v>
      </c>
      <c r="P27" s="23" t="s">
        <v>1557</v>
      </c>
      <c r="Q27" s="23">
        <v>350.03</v>
      </c>
      <c r="R27" s="23">
        <v>6</v>
      </c>
      <c r="S27" s="23">
        <v>0</v>
      </c>
      <c r="T27" s="24">
        <v>-22.14</v>
      </c>
    </row>
    <row r="28" spans="1:20" ht="15.6" x14ac:dyDescent="0.3">
      <c r="A28" s="13" t="s">
        <v>39</v>
      </c>
      <c r="B28" s="14">
        <v>45441</v>
      </c>
      <c r="C28" s="15">
        <v>45444</v>
      </c>
      <c r="D28" s="16" t="str">
        <f>TRIM('data cleaning'!$E28)</f>
        <v>Amanda Roy</v>
      </c>
      <c r="E28" s="17" t="s">
        <v>808</v>
      </c>
      <c r="F28" s="17" t="str">
        <f>TRIM('data cleaning'!$G28)</f>
        <v>Home Office</v>
      </c>
      <c r="G28" s="17" t="s">
        <v>1515</v>
      </c>
      <c r="H28" s="17" t="str">
        <f>TRIM('data cleaning'!$I28)</f>
        <v>North</v>
      </c>
      <c r="I28" s="17" t="s">
        <v>1516</v>
      </c>
      <c r="J28" s="17" t="str">
        <f>TRIM('data cleaning'!$K28)</f>
        <v>Furniture</v>
      </c>
      <c r="K28" s="17" t="s">
        <v>1522</v>
      </c>
      <c r="L28" s="17" t="str">
        <f>TRIM('data cleaning'!$M28)</f>
        <v>Tables</v>
      </c>
      <c r="M28" s="17" t="s">
        <v>1529</v>
      </c>
      <c r="N28" s="17" t="str">
        <f>PROPER('data cleaning'!$O28)</f>
        <v>His Tables</v>
      </c>
      <c r="O28" s="17" t="str">
        <f>TRIM('data cleaning'!$P28)</f>
        <v>His Tables</v>
      </c>
      <c r="P28" s="17" t="s">
        <v>1558</v>
      </c>
      <c r="Q28" s="17">
        <v>1428.8</v>
      </c>
      <c r="R28" s="17">
        <v>4</v>
      </c>
      <c r="S28" s="17">
        <v>0</v>
      </c>
      <c r="T28" s="18">
        <v>62.47</v>
      </c>
    </row>
    <row r="29" spans="1:20" ht="15.6" x14ac:dyDescent="0.3">
      <c r="A29" s="19" t="s">
        <v>40</v>
      </c>
      <c r="B29" s="20">
        <v>45683</v>
      </c>
      <c r="C29" s="21">
        <v>45692</v>
      </c>
      <c r="D29" s="22" t="str">
        <f>TRIM('data cleaning'!$E29)</f>
        <v>Charles Moore</v>
      </c>
      <c r="E29" s="23" t="s">
        <v>809</v>
      </c>
      <c r="F29" s="23" t="str">
        <f>TRIM('data cleaning'!$G29)</f>
        <v>Corporate</v>
      </c>
      <c r="G29" s="23" t="s">
        <v>1514</v>
      </c>
      <c r="H29" s="23" t="str">
        <f>TRIM('data cleaning'!$I29)</f>
        <v>West</v>
      </c>
      <c r="I29" s="23" t="s">
        <v>1518</v>
      </c>
      <c r="J29" s="23" t="str">
        <f>TRIM('data cleaning'!$K29)</f>
        <v>Furniture</v>
      </c>
      <c r="K29" s="23" t="s">
        <v>1522</v>
      </c>
      <c r="L29" s="23" t="str">
        <f>TRIM('data cleaning'!$M29)</f>
        <v>Bookcases</v>
      </c>
      <c r="M29" s="23" t="s">
        <v>1527</v>
      </c>
      <c r="N29" s="23" t="str">
        <f>PROPER('data cleaning'!$O29)</f>
        <v>Yeah Bookcases</v>
      </c>
      <c r="O29" s="23" t="str">
        <f>TRIM('data cleaning'!$P29)</f>
        <v>Yeah Bookcases</v>
      </c>
      <c r="P29" s="23" t="s">
        <v>1559</v>
      </c>
      <c r="Q29" s="23">
        <v>4188.34</v>
      </c>
      <c r="R29" s="23">
        <v>2</v>
      </c>
      <c r="S29" s="23">
        <v>0.05</v>
      </c>
      <c r="T29" s="24">
        <v>-454.56</v>
      </c>
    </row>
    <row r="30" spans="1:20" ht="15.6" x14ac:dyDescent="0.3">
      <c r="A30" s="13" t="s">
        <v>41</v>
      </c>
      <c r="B30" s="14">
        <v>45352</v>
      </c>
      <c r="C30" s="15">
        <v>45353</v>
      </c>
      <c r="D30" s="16" t="str">
        <f>TRIM('data cleaning'!$E30)</f>
        <v>Linda Wells</v>
      </c>
      <c r="E30" s="17" t="s">
        <v>810</v>
      </c>
      <c r="F30" s="17" t="str">
        <f>TRIM('data cleaning'!$G30)</f>
        <v>Corporate</v>
      </c>
      <c r="G30" s="17" t="s">
        <v>1514</v>
      </c>
      <c r="H30" s="17" t="str">
        <f>TRIM('data cleaning'!$I30)</f>
        <v>East</v>
      </c>
      <c r="I30" s="17" t="s">
        <v>1519</v>
      </c>
      <c r="J30" s="17" t="str">
        <f>TRIM('data cleaning'!$K30)</f>
        <v>Furniture</v>
      </c>
      <c r="K30" s="17" t="s">
        <v>1522</v>
      </c>
      <c r="L30" s="17" t="str">
        <f>TRIM('data cleaning'!$M30)</f>
        <v>Tables</v>
      </c>
      <c r="M30" s="17" t="s">
        <v>1529</v>
      </c>
      <c r="N30" s="17" t="str">
        <f>PROPER('data cleaning'!$O30)</f>
        <v>Important Tables</v>
      </c>
      <c r="O30" s="17" t="str">
        <f>TRIM('data cleaning'!$P30)</f>
        <v>Important Tables</v>
      </c>
      <c r="P30" s="17" t="s">
        <v>1560</v>
      </c>
      <c r="Q30" s="17">
        <v>864.95</v>
      </c>
      <c r="R30" s="17">
        <v>1</v>
      </c>
      <c r="S30" s="17">
        <v>0.15</v>
      </c>
      <c r="T30" s="18">
        <v>-46.83</v>
      </c>
    </row>
    <row r="31" spans="1:20" ht="15.6" x14ac:dyDescent="0.3">
      <c r="A31" s="19" t="s">
        <v>42</v>
      </c>
      <c r="B31" s="20">
        <v>45088</v>
      </c>
      <c r="C31" s="21">
        <v>45097</v>
      </c>
      <c r="D31" s="22" t="str">
        <f>TRIM('data cleaning'!$E31)</f>
        <v>Daniel King</v>
      </c>
      <c r="E31" s="23" t="s">
        <v>811</v>
      </c>
      <c r="F31" s="23" t="str">
        <f>TRIM('data cleaning'!$G31)</f>
        <v>Consumer</v>
      </c>
      <c r="G31" s="23" t="s">
        <v>1513</v>
      </c>
      <c r="H31" s="23" t="str">
        <f>TRIM('data cleaning'!$I31)</f>
        <v>North</v>
      </c>
      <c r="I31" s="23" t="s">
        <v>1516</v>
      </c>
      <c r="J31" s="23" t="str">
        <f>TRIM('data cleaning'!$K31)</f>
        <v>Technology</v>
      </c>
      <c r="K31" s="23" t="s">
        <v>1521</v>
      </c>
      <c r="L31" s="23" t="str">
        <f>TRIM('data cleaning'!$M31)</f>
        <v>Laptops</v>
      </c>
      <c r="M31" s="23" t="s">
        <v>1528</v>
      </c>
      <c r="N31" s="23" t="str">
        <f>PROPER('data cleaning'!$O31)</f>
        <v>Themselves Laptops</v>
      </c>
      <c r="O31" s="23" t="str">
        <f>TRIM('data cleaning'!$P31)</f>
        <v>Themselves Laptops</v>
      </c>
      <c r="P31" s="23" t="s">
        <v>1561</v>
      </c>
      <c r="Q31" s="23">
        <v>3326.26</v>
      </c>
      <c r="R31" s="23">
        <v>8</v>
      </c>
      <c r="S31" s="23">
        <v>0.05</v>
      </c>
      <c r="T31" s="24">
        <v>-317.83999999999997</v>
      </c>
    </row>
    <row r="32" spans="1:20" ht="15.6" x14ac:dyDescent="0.3">
      <c r="A32" s="13" t="s">
        <v>43</v>
      </c>
      <c r="B32" s="14">
        <v>46145</v>
      </c>
      <c r="C32" s="15">
        <v>46154</v>
      </c>
      <c r="D32" s="16" t="str">
        <f>TRIM('data cleaning'!$E32)</f>
        <v>Ricardo Ramirez</v>
      </c>
      <c r="E32" s="17" t="s">
        <v>812</v>
      </c>
      <c r="F32" s="17" t="str">
        <f>TRIM('data cleaning'!$G32)</f>
        <v>Corporate</v>
      </c>
      <c r="G32" s="17" t="s">
        <v>1514</v>
      </c>
      <c r="H32" s="17" t="str">
        <f>TRIM('data cleaning'!$I32)</f>
        <v>South</v>
      </c>
      <c r="I32" s="17" t="s">
        <v>1517</v>
      </c>
      <c r="J32" s="17" t="str">
        <f>TRIM('data cleaning'!$K32)</f>
        <v>Office Supplies</v>
      </c>
      <c r="K32" s="17" t="s">
        <v>1520</v>
      </c>
      <c r="L32" s="17" t="str">
        <f>TRIM('data cleaning'!$M32)</f>
        <v>Storage</v>
      </c>
      <c r="M32" s="17" t="s">
        <v>1525</v>
      </c>
      <c r="N32" s="17" t="str">
        <f>PROPER('data cleaning'!$O32)</f>
        <v>Growth Storage</v>
      </c>
      <c r="O32" s="17" t="str">
        <f>TRIM('data cleaning'!$P32)</f>
        <v>Growth Storage</v>
      </c>
      <c r="P32" s="17" t="s">
        <v>1562</v>
      </c>
      <c r="Q32" s="17">
        <v>351.74</v>
      </c>
      <c r="R32" s="17">
        <v>6</v>
      </c>
      <c r="S32" s="17">
        <v>0</v>
      </c>
      <c r="T32" s="18">
        <v>-60.65</v>
      </c>
    </row>
    <row r="33" spans="1:20" ht="15.6" x14ac:dyDescent="0.3">
      <c r="A33" s="19" t="s">
        <v>44</v>
      </c>
      <c r="B33" s="20">
        <v>45961</v>
      </c>
      <c r="C33" s="21">
        <v>45963</v>
      </c>
      <c r="D33" s="22" t="str">
        <f>TRIM('data cleaning'!$E33)</f>
        <v>Erika Ellis</v>
      </c>
      <c r="E33" s="23" t="s">
        <v>813</v>
      </c>
      <c r="F33" s="23" t="str">
        <f>TRIM('data cleaning'!$G33)</f>
        <v>Consumer</v>
      </c>
      <c r="G33" s="23" t="s">
        <v>1513</v>
      </c>
      <c r="H33" s="23" t="str">
        <f>TRIM('data cleaning'!$I33)</f>
        <v>West</v>
      </c>
      <c r="I33" s="23" t="s">
        <v>1518</v>
      </c>
      <c r="J33" s="23" t="str">
        <f>TRIM('data cleaning'!$K33)</f>
        <v>Furniture</v>
      </c>
      <c r="K33" s="23" t="s">
        <v>1522</v>
      </c>
      <c r="L33" s="23" t="str">
        <f>TRIM('data cleaning'!$M33)</f>
        <v>Bookcases</v>
      </c>
      <c r="M33" s="23" t="s">
        <v>1527</v>
      </c>
      <c r="N33" s="23" t="str">
        <f>PROPER('data cleaning'!$O33)</f>
        <v>One Bookcases</v>
      </c>
      <c r="O33" s="23" t="str">
        <f>TRIM('data cleaning'!$P33)</f>
        <v>One Bookcases</v>
      </c>
      <c r="P33" s="23" t="s">
        <v>1563</v>
      </c>
      <c r="Q33" s="23">
        <v>4264.1499999999996</v>
      </c>
      <c r="R33" s="23">
        <v>2</v>
      </c>
      <c r="S33" s="23">
        <v>0.2</v>
      </c>
      <c r="T33" s="24">
        <v>-693.44</v>
      </c>
    </row>
    <row r="34" spans="1:20" ht="15.6" x14ac:dyDescent="0.3">
      <c r="A34" s="13" t="s">
        <v>45</v>
      </c>
      <c r="B34" s="14">
        <v>46008</v>
      </c>
      <c r="C34" s="15">
        <v>46012</v>
      </c>
      <c r="D34" s="16" t="str">
        <f>TRIM('data cleaning'!$E34)</f>
        <v>Pamela Norman</v>
      </c>
      <c r="E34" s="17" t="s">
        <v>814</v>
      </c>
      <c r="F34" s="17" t="str">
        <f>TRIM('data cleaning'!$G34)</f>
        <v>Home Office</v>
      </c>
      <c r="G34" s="17" t="s">
        <v>1515</v>
      </c>
      <c r="H34" s="17" t="str">
        <f>TRIM('data cleaning'!$I34)</f>
        <v>East</v>
      </c>
      <c r="I34" s="17" t="s">
        <v>1519</v>
      </c>
      <c r="J34" s="17" t="str">
        <f>TRIM('data cleaning'!$K34)</f>
        <v>Furniture</v>
      </c>
      <c r="K34" s="17" t="s">
        <v>1522</v>
      </c>
      <c r="L34" s="17" t="str">
        <f>TRIM('data cleaning'!$M34)</f>
        <v>Bookcases</v>
      </c>
      <c r="M34" s="17" t="s">
        <v>1527</v>
      </c>
      <c r="N34" s="17" t="str">
        <f>PROPER('data cleaning'!$O34)</f>
        <v>Wait Bookcases</v>
      </c>
      <c r="O34" s="17" t="str">
        <f>TRIM('data cleaning'!$P34)</f>
        <v>Wait Bookcases</v>
      </c>
      <c r="P34" s="17" t="s">
        <v>1564</v>
      </c>
      <c r="Q34" s="17">
        <v>2915.65</v>
      </c>
      <c r="R34" s="17">
        <v>1</v>
      </c>
      <c r="S34" s="17">
        <v>0.2</v>
      </c>
      <c r="T34" s="18">
        <v>-451.66</v>
      </c>
    </row>
    <row r="35" spans="1:20" ht="15.6" x14ac:dyDescent="0.3">
      <c r="A35" s="19" t="s">
        <v>46</v>
      </c>
      <c r="B35" s="20">
        <v>45368</v>
      </c>
      <c r="C35" s="21">
        <v>45374</v>
      </c>
      <c r="D35" s="22" t="str">
        <f>TRIM('data cleaning'!$E35)</f>
        <v>Dennis Stewart</v>
      </c>
      <c r="E35" s="23" t="s">
        <v>815</v>
      </c>
      <c r="F35" s="23" t="str">
        <f>TRIM('data cleaning'!$G35)</f>
        <v>Corporate</v>
      </c>
      <c r="G35" s="23" t="s">
        <v>1514</v>
      </c>
      <c r="H35" s="23" t="str">
        <f>TRIM('data cleaning'!$I35)</f>
        <v>West</v>
      </c>
      <c r="I35" s="23" t="s">
        <v>1518</v>
      </c>
      <c r="J35" s="23" t="str">
        <f>TRIM('data cleaning'!$K35)</f>
        <v>Technology</v>
      </c>
      <c r="K35" s="23" t="s">
        <v>1521</v>
      </c>
      <c r="L35" s="23" t="str">
        <f>TRIM('data cleaning'!$M35)</f>
        <v>Phones</v>
      </c>
      <c r="M35" s="23" t="s">
        <v>1530</v>
      </c>
      <c r="N35" s="23" t="str">
        <f>PROPER('data cleaning'!$O35)</f>
        <v>Stay Phones</v>
      </c>
      <c r="O35" s="23" t="str">
        <f>TRIM('data cleaning'!$P35)</f>
        <v>Stay Phones</v>
      </c>
      <c r="P35" s="23" t="s">
        <v>1565</v>
      </c>
      <c r="Q35" s="23">
        <v>1231.5</v>
      </c>
      <c r="R35" s="23">
        <v>7</v>
      </c>
      <c r="S35" s="23">
        <v>0.05</v>
      </c>
      <c r="T35" s="24">
        <v>208.65</v>
      </c>
    </row>
    <row r="36" spans="1:20" ht="15.6" x14ac:dyDescent="0.3">
      <c r="A36" s="13" t="s">
        <v>47</v>
      </c>
      <c r="B36" s="14">
        <v>45782</v>
      </c>
      <c r="C36" s="15">
        <v>45783</v>
      </c>
      <c r="D36" s="16" t="str">
        <f>TRIM('data cleaning'!$E36)</f>
        <v>Ms. Colleen Smith DDS</v>
      </c>
      <c r="E36" s="17" t="s">
        <v>816</v>
      </c>
      <c r="F36" s="17" t="str">
        <f>TRIM('data cleaning'!$G36)</f>
        <v>Consumer</v>
      </c>
      <c r="G36" s="17" t="s">
        <v>1513</v>
      </c>
      <c r="H36" s="17" t="str">
        <f>TRIM('data cleaning'!$I36)</f>
        <v>East</v>
      </c>
      <c r="I36" s="17" t="s">
        <v>1519</v>
      </c>
      <c r="J36" s="17" t="str">
        <f>TRIM('data cleaning'!$K36)</f>
        <v>Technology</v>
      </c>
      <c r="K36" s="17" t="s">
        <v>1521</v>
      </c>
      <c r="L36" s="17" t="str">
        <f>TRIM('data cleaning'!$M36)</f>
        <v>Phones</v>
      </c>
      <c r="M36" s="17" t="s">
        <v>1530</v>
      </c>
      <c r="N36" s="17" t="str">
        <f>PROPER('data cleaning'!$O36)</f>
        <v>Available Phones</v>
      </c>
      <c r="O36" s="17" t="str">
        <f>TRIM('data cleaning'!$P36)</f>
        <v>Available Phones</v>
      </c>
      <c r="P36" s="17" t="s">
        <v>1566</v>
      </c>
      <c r="Q36" s="17">
        <v>2318.5100000000002</v>
      </c>
      <c r="R36" s="17">
        <v>10</v>
      </c>
      <c r="S36" s="17">
        <v>0</v>
      </c>
      <c r="T36" s="18">
        <v>-370.28</v>
      </c>
    </row>
    <row r="37" spans="1:20" ht="15.6" x14ac:dyDescent="0.3">
      <c r="A37" s="19" t="s">
        <v>48</v>
      </c>
      <c r="B37" s="20">
        <v>45724</v>
      </c>
      <c r="C37" s="21">
        <v>45726</v>
      </c>
      <c r="D37" s="22" t="str">
        <f>TRIM('data cleaning'!$E37)</f>
        <v>Katelyn Williams</v>
      </c>
      <c r="E37" s="23" t="s">
        <v>817</v>
      </c>
      <c r="F37" s="23" t="str">
        <f>TRIM('data cleaning'!$G37)</f>
        <v>Home Office</v>
      </c>
      <c r="G37" s="23" t="s">
        <v>1515</v>
      </c>
      <c r="H37" s="23" t="str">
        <f>TRIM('data cleaning'!$I37)</f>
        <v>East</v>
      </c>
      <c r="I37" s="23" t="s">
        <v>1519</v>
      </c>
      <c r="J37" s="23" t="str">
        <f>TRIM('data cleaning'!$K37)</f>
        <v>Furniture</v>
      </c>
      <c r="K37" s="23" t="s">
        <v>1522</v>
      </c>
      <c r="L37" s="23" t="str">
        <f>TRIM('data cleaning'!$M37)</f>
        <v>Tables</v>
      </c>
      <c r="M37" s="23" t="s">
        <v>1529</v>
      </c>
      <c r="N37" s="23" t="str">
        <f>PROPER('data cleaning'!$O37)</f>
        <v>Son Tables</v>
      </c>
      <c r="O37" s="23" t="str">
        <f>TRIM('data cleaning'!$P37)</f>
        <v>Son Tables</v>
      </c>
      <c r="P37" s="23" t="s">
        <v>1567</v>
      </c>
      <c r="Q37" s="23">
        <v>4402.3900000000003</v>
      </c>
      <c r="R37" s="23">
        <v>6</v>
      </c>
      <c r="S37" s="23">
        <v>0.1</v>
      </c>
      <c r="T37" s="24">
        <v>-498.52</v>
      </c>
    </row>
    <row r="38" spans="1:20" ht="15.6" x14ac:dyDescent="0.3">
      <c r="A38" s="13" t="s">
        <v>49</v>
      </c>
      <c r="B38" s="14" t="s">
        <v>763</v>
      </c>
      <c r="C38" s="15">
        <v>45246</v>
      </c>
      <c r="D38" s="16" t="str">
        <f>TRIM('data cleaning'!$E38)</f>
        <v>Shannon Wagner</v>
      </c>
      <c r="E38" s="17" t="s">
        <v>818</v>
      </c>
      <c r="F38" s="17" t="str">
        <f>TRIM('data cleaning'!$G38)</f>
        <v>Consumer</v>
      </c>
      <c r="G38" s="17" t="s">
        <v>1513</v>
      </c>
      <c r="H38" s="17" t="str">
        <f>TRIM('data cleaning'!$I38)</f>
        <v>South</v>
      </c>
      <c r="I38" s="17" t="s">
        <v>1517</v>
      </c>
      <c r="J38" s="17" t="str">
        <f>TRIM('data cleaning'!$K38)</f>
        <v>Office Supplies</v>
      </c>
      <c r="K38" s="17" t="s">
        <v>1520</v>
      </c>
      <c r="L38" s="17" t="str">
        <f>TRIM('data cleaning'!$M38)</f>
        <v>Storage</v>
      </c>
      <c r="M38" s="17" t="s">
        <v>1525</v>
      </c>
      <c r="N38" s="17" t="str">
        <f>PROPER('data cleaning'!$O38)</f>
        <v>With Storage</v>
      </c>
      <c r="O38" s="17" t="str">
        <f>TRIM('data cleaning'!$P38)</f>
        <v>With Storage</v>
      </c>
      <c r="P38" s="17" t="s">
        <v>1568</v>
      </c>
      <c r="Q38" s="17">
        <v>88.72</v>
      </c>
      <c r="R38" s="17">
        <v>9</v>
      </c>
      <c r="S38" s="17">
        <v>0.1</v>
      </c>
      <c r="T38" s="18">
        <v>27.72</v>
      </c>
    </row>
    <row r="39" spans="1:20" ht="15.6" x14ac:dyDescent="0.3">
      <c r="A39" s="19" t="s">
        <v>50</v>
      </c>
      <c r="B39" s="20">
        <v>45815</v>
      </c>
      <c r="C39" s="21">
        <v>45817</v>
      </c>
      <c r="D39" s="22" t="str">
        <f>TRIM('data cleaning'!$E39)</f>
        <v>Kelli Johnson</v>
      </c>
      <c r="E39" s="23" t="s">
        <v>819</v>
      </c>
      <c r="F39" s="23" t="str">
        <f>TRIM('data cleaning'!$G39)</f>
        <v>Consumer</v>
      </c>
      <c r="G39" s="23" t="s">
        <v>1513</v>
      </c>
      <c r="H39" s="23" t="str">
        <f>TRIM('data cleaning'!$I39)</f>
        <v>East</v>
      </c>
      <c r="I39" s="23" t="s">
        <v>1519</v>
      </c>
      <c r="J39" s="23" t="str">
        <f>TRIM('data cleaning'!$K39)</f>
        <v>Technology</v>
      </c>
      <c r="K39" s="23" t="s">
        <v>1521</v>
      </c>
      <c r="L39" s="23" t="str">
        <f>TRIM('data cleaning'!$M39)</f>
        <v>Phones</v>
      </c>
      <c r="M39" s="23" t="s">
        <v>1530</v>
      </c>
      <c r="N39" s="23" t="str">
        <f>PROPER('data cleaning'!$O39)</f>
        <v>This Phones</v>
      </c>
      <c r="O39" s="23" t="str">
        <f>TRIM('data cleaning'!$P39)</f>
        <v>This Phones</v>
      </c>
      <c r="P39" s="23" t="s">
        <v>1569</v>
      </c>
      <c r="Q39" s="23">
        <v>3724.96</v>
      </c>
      <c r="R39" s="23">
        <v>3</v>
      </c>
      <c r="S39" s="23">
        <v>0.1</v>
      </c>
      <c r="T39" s="24">
        <v>-167.75</v>
      </c>
    </row>
    <row r="40" spans="1:20" ht="15.6" x14ac:dyDescent="0.3">
      <c r="A40" s="13" t="s">
        <v>51</v>
      </c>
      <c r="B40" s="14">
        <v>45087</v>
      </c>
      <c r="C40" s="15">
        <v>45092</v>
      </c>
      <c r="D40" s="16" t="str">
        <f>TRIM('data cleaning'!$E40)</f>
        <v>Rebecca Blake</v>
      </c>
      <c r="E40" s="17" t="s">
        <v>820</v>
      </c>
      <c r="F40" s="17" t="str">
        <f>TRIM('data cleaning'!$G40)</f>
        <v>Corporate</v>
      </c>
      <c r="G40" s="17" t="s">
        <v>1514</v>
      </c>
      <c r="H40" s="17" t="str">
        <f>TRIM('data cleaning'!$I40)</f>
        <v>East</v>
      </c>
      <c r="I40" s="17" t="s">
        <v>1519</v>
      </c>
      <c r="J40" s="17" t="str">
        <f>TRIM('data cleaning'!$K40)</f>
        <v>Furniture</v>
      </c>
      <c r="K40" s="17" t="s">
        <v>1522</v>
      </c>
      <c r="L40" s="17" t="str">
        <f>TRIM('data cleaning'!$M40)</f>
        <v>Bookcases</v>
      </c>
      <c r="M40" s="17" t="s">
        <v>1527</v>
      </c>
      <c r="N40" s="17" t="str">
        <f>PROPER('data cleaning'!$O40)</f>
        <v>Throughout Bookcases</v>
      </c>
      <c r="O40" s="17" t="str">
        <f>TRIM('data cleaning'!$P40)</f>
        <v>Throughout Bookcases</v>
      </c>
      <c r="P40" s="17" t="s">
        <v>1570</v>
      </c>
      <c r="Q40" s="17">
        <v>2551.77</v>
      </c>
      <c r="R40" s="17">
        <v>5</v>
      </c>
      <c r="S40" s="17">
        <v>0</v>
      </c>
      <c r="T40" s="18">
        <v>-380.82</v>
      </c>
    </row>
    <row r="41" spans="1:20" ht="15.6" x14ac:dyDescent="0.3">
      <c r="A41" s="19" t="s">
        <v>52</v>
      </c>
      <c r="B41" s="20">
        <v>46089</v>
      </c>
      <c r="C41" s="21">
        <v>46095</v>
      </c>
      <c r="D41" s="22" t="str">
        <f>TRIM('data cleaning'!$E41)</f>
        <v>Brian Gallagher</v>
      </c>
      <c r="E41" s="23" t="s">
        <v>821</v>
      </c>
      <c r="F41" s="23" t="str">
        <f>TRIM('data cleaning'!$G41)</f>
        <v>Home Office</v>
      </c>
      <c r="G41" s="23" t="s">
        <v>1515</v>
      </c>
      <c r="H41" s="23" t="str">
        <f>TRIM('data cleaning'!$I41)</f>
        <v>West</v>
      </c>
      <c r="I41" s="23" t="s">
        <v>1518</v>
      </c>
      <c r="J41" s="23" t="str">
        <f>TRIM('data cleaning'!$K41)</f>
        <v>Furniture</v>
      </c>
      <c r="K41" s="23" t="s">
        <v>1522</v>
      </c>
      <c r="L41" s="23" t="str">
        <f>TRIM('data cleaning'!$M41)</f>
        <v>Chairs</v>
      </c>
      <c r="M41" s="23" t="s">
        <v>1531</v>
      </c>
      <c r="N41" s="23" t="str">
        <f>PROPER('data cleaning'!$O41)</f>
        <v>According Chairs</v>
      </c>
      <c r="O41" s="23" t="str">
        <f>TRIM('data cleaning'!$P41)</f>
        <v>According Chairs</v>
      </c>
      <c r="P41" s="23" t="s">
        <v>1571</v>
      </c>
      <c r="Q41" s="23">
        <v>3867.04</v>
      </c>
      <c r="R41" s="23">
        <v>5</v>
      </c>
      <c r="S41" s="23">
        <v>0.05</v>
      </c>
      <c r="T41" s="24">
        <v>803.1</v>
      </c>
    </row>
    <row r="42" spans="1:20" ht="15.6" x14ac:dyDescent="0.3">
      <c r="A42" s="13" t="s">
        <v>53</v>
      </c>
      <c r="B42" s="14">
        <v>45846</v>
      </c>
      <c r="C42" s="15">
        <v>45848</v>
      </c>
      <c r="D42" s="16" t="str">
        <f>TRIM('data cleaning'!$E42)</f>
        <v>Melissa Burgess</v>
      </c>
      <c r="E42" s="17" t="s">
        <v>822</v>
      </c>
      <c r="F42" s="17" t="str">
        <f>TRIM('data cleaning'!$G42)</f>
        <v>Corporate</v>
      </c>
      <c r="G42" s="17" t="s">
        <v>1514</v>
      </c>
      <c r="H42" s="17" t="str">
        <f>TRIM('data cleaning'!$I42)</f>
        <v>South</v>
      </c>
      <c r="I42" s="17" t="s">
        <v>1517</v>
      </c>
      <c r="J42" s="17" t="str">
        <f>TRIM('data cleaning'!$K42)</f>
        <v>Office Supplies</v>
      </c>
      <c r="K42" s="17" t="s">
        <v>1520</v>
      </c>
      <c r="L42" s="17" t="str">
        <f>TRIM('data cleaning'!$M42)</f>
        <v>Binders</v>
      </c>
      <c r="M42" s="17" t="s">
        <v>1523</v>
      </c>
      <c r="N42" s="17" t="str">
        <f>PROPER('data cleaning'!$O42)</f>
        <v>Three Binders</v>
      </c>
      <c r="O42" s="17" t="str">
        <f>TRIM('data cleaning'!$P42)</f>
        <v>Three Binders</v>
      </c>
      <c r="P42" s="17" t="s">
        <v>1572</v>
      </c>
      <c r="Q42" s="17">
        <v>422.46</v>
      </c>
      <c r="R42" s="17">
        <v>3</v>
      </c>
      <c r="S42" s="17">
        <v>0.2</v>
      </c>
      <c r="T42" s="18">
        <v>-76.12</v>
      </c>
    </row>
    <row r="43" spans="1:20" ht="15.6" x14ac:dyDescent="0.3">
      <c r="A43" s="19" t="s">
        <v>54</v>
      </c>
      <c r="B43" s="20">
        <v>46158</v>
      </c>
      <c r="C43" s="21">
        <v>46159</v>
      </c>
      <c r="D43" s="22" t="str">
        <f>TRIM('data cleaning'!$E43)</f>
        <v>Jenna Hill</v>
      </c>
      <c r="E43" s="23" t="s">
        <v>823</v>
      </c>
      <c r="F43" s="23" t="str">
        <f>TRIM('data cleaning'!$G43)</f>
        <v>Consumer</v>
      </c>
      <c r="G43" s="23" t="s">
        <v>1513</v>
      </c>
      <c r="H43" s="23" t="str">
        <f>TRIM('data cleaning'!$I43)</f>
        <v>North</v>
      </c>
      <c r="I43" s="23" t="s">
        <v>1516</v>
      </c>
      <c r="J43" s="23" t="str">
        <f>TRIM('data cleaning'!$K43)</f>
        <v>Technology</v>
      </c>
      <c r="K43" s="23" t="s">
        <v>1521</v>
      </c>
      <c r="L43" s="23" t="str">
        <f>TRIM('data cleaning'!$M43)</f>
        <v>Phones</v>
      </c>
      <c r="M43" s="23" t="s">
        <v>1530</v>
      </c>
      <c r="N43" s="23" t="str">
        <f>PROPER('data cleaning'!$O43)</f>
        <v>Employee Phones</v>
      </c>
      <c r="O43" s="23" t="str">
        <f>TRIM('data cleaning'!$P43)</f>
        <v>Employee Phones</v>
      </c>
      <c r="P43" s="23" t="s">
        <v>1573</v>
      </c>
      <c r="Q43" s="23">
        <v>1575.88</v>
      </c>
      <c r="R43" s="23">
        <v>1</v>
      </c>
      <c r="S43" s="23">
        <v>0.1</v>
      </c>
      <c r="T43" s="24">
        <v>-133.1</v>
      </c>
    </row>
    <row r="44" spans="1:20" ht="15.6" x14ac:dyDescent="0.3">
      <c r="A44" s="13" t="s">
        <v>55</v>
      </c>
      <c r="B44" s="14">
        <v>46057</v>
      </c>
      <c r="C44" s="15">
        <v>46064</v>
      </c>
      <c r="D44" s="16" t="str">
        <f>TRIM('data cleaning'!$E44)</f>
        <v>Steven Moody</v>
      </c>
      <c r="E44" s="17" t="s">
        <v>824</v>
      </c>
      <c r="F44" s="17" t="str">
        <f>TRIM('data cleaning'!$G44)</f>
        <v>Consumer</v>
      </c>
      <c r="G44" s="17" t="s">
        <v>1513</v>
      </c>
      <c r="H44" s="17" t="str">
        <f>TRIM('data cleaning'!$I44)</f>
        <v>West</v>
      </c>
      <c r="I44" s="17" t="s">
        <v>1518</v>
      </c>
      <c r="J44" s="17" t="str">
        <f>TRIM('data cleaning'!$K44)</f>
        <v>Technology</v>
      </c>
      <c r="K44" s="17" t="s">
        <v>1521</v>
      </c>
      <c r="L44" s="17" t="str">
        <f>TRIM('data cleaning'!$M44)</f>
        <v>Laptops</v>
      </c>
      <c r="M44" s="17" t="s">
        <v>1528</v>
      </c>
      <c r="N44" s="17" t="str">
        <f>PROPER('data cleaning'!$O44)</f>
        <v>Writer Laptops</v>
      </c>
      <c r="O44" s="17" t="str">
        <f>TRIM('data cleaning'!$P44)</f>
        <v>Writer Laptops</v>
      </c>
      <c r="P44" s="17" t="s">
        <v>1574</v>
      </c>
      <c r="Q44" s="17">
        <v>4870.49</v>
      </c>
      <c r="R44" s="17">
        <v>3</v>
      </c>
      <c r="S44" s="17">
        <v>0.05</v>
      </c>
      <c r="T44" s="18">
        <v>1341.98</v>
      </c>
    </row>
    <row r="45" spans="1:20" ht="15.6" x14ac:dyDescent="0.3">
      <c r="A45" s="19" t="s">
        <v>56</v>
      </c>
      <c r="B45" s="20">
        <v>45839</v>
      </c>
      <c r="C45" s="21">
        <v>45845</v>
      </c>
      <c r="D45" s="22" t="str">
        <f>TRIM('data cleaning'!$E45)</f>
        <v>Donald Prince</v>
      </c>
      <c r="E45" s="23" t="s">
        <v>825</v>
      </c>
      <c r="F45" s="23" t="str">
        <f>TRIM('data cleaning'!$G45)</f>
        <v>Consumer</v>
      </c>
      <c r="G45" s="23" t="s">
        <v>1513</v>
      </c>
      <c r="H45" s="23" t="str">
        <f>TRIM('data cleaning'!$I45)</f>
        <v>East</v>
      </c>
      <c r="I45" s="23" t="s">
        <v>1519</v>
      </c>
      <c r="J45" s="23" t="str">
        <f>TRIM('data cleaning'!$K45)</f>
        <v>Furniture</v>
      </c>
      <c r="K45" s="23" t="s">
        <v>1522</v>
      </c>
      <c r="L45" s="23" t="str">
        <f>TRIM('data cleaning'!$M45)</f>
        <v>Chairs</v>
      </c>
      <c r="M45" s="23" t="s">
        <v>1531</v>
      </c>
      <c r="N45" s="23" t="str">
        <f>PROPER('data cleaning'!$O45)</f>
        <v>Development Chairs</v>
      </c>
      <c r="O45" s="23" t="str">
        <f>TRIM('data cleaning'!$P45)</f>
        <v>Development Chairs</v>
      </c>
      <c r="P45" s="23" t="s">
        <v>1575</v>
      </c>
      <c r="Q45" s="23">
        <v>3922.81</v>
      </c>
      <c r="R45" s="23">
        <v>7</v>
      </c>
      <c r="S45" s="23"/>
      <c r="T45" s="24">
        <v>1079.7</v>
      </c>
    </row>
    <row r="46" spans="1:20" ht="15.6" x14ac:dyDescent="0.3">
      <c r="A46" s="13" t="s">
        <v>57</v>
      </c>
      <c r="B46" s="14">
        <v>45549</v>
      </c>
      <c r="C46" s="15">
        <v>45551</v>
      </c>
      <c r="D46" s="16" t="str">
        <f>TRIM('data cleaning'!$E46)</f>
        <v>Michael Robinson</v>
      </c>
      <c r="E46" s="17" t="s">
        <v>826</v>
      </c>
      <c r="F46" s="17" t="str">
        <f>TRIM('data cleaning'!$G46)</f>
        <v>Corporate</v>
      </c>
      <c r="G46" s="17" t="s">
        <v>1514</v>
      </c>
      <c r="H46" s="17" t="str">
        <f>TRIM('data cleaning'!$I46)</f>
        <v>East</v>
      </c>
      <c r="I46" s="17" t="s">
        <v>1519</v>
      </c>
      <c r="J46" s="17" t="str">
        <f>TRIM('data cleaning'!$K46)</f>
        <v>Furniture</v>
      </c>
      <c r="K46" s="17" t="s">
        <v>1522</v>
      </c>
      <c r="L46" s="17" t="str">
        <f>TRIM('data cleaning'!$M46)</f>
        <v>Bookcases</v>
      </c>
      <c r="M46" s="17" t="s">
        <v>1527</v>
      </c>
      <c r="N46" s="17" t="str">
        <f>PROPER('data cleaning'!$O46)</f>
        <v>These Bookcases</v>
      </c>
      <c r="O46" s="17" t="str">
        <f>TRIM('data cleaning'!$P46)</f>
        <v>These Bookcases</v>
      </c>
      <c r="P46" s="17" t="s">
        <v>1576</v>
      </c>
      <c r="Q46" s="17">
        <v>1943.58</v>
      </c>
      <c r="R46" s="17">
        <v>1</v>
      </c>
      <c r="S46" s="17">
        <v>0.15</v>
      </c>
      <c r="T46" s="18">
        <v>-150.94</v>
      </c>
    </row>
    <row r="47" spans="1:20" ht="15.6" x14ac:dyDescent="0.3">
      <c r="A47" s="19" t="s">
        <v>58</v>
      </c>
      <c r="B47" s="20">
        <v>45230</v>
      </c>
      <c r="C47" s="21">
        <v>45234</v>
      </c>
      <c r="D47" s="22" t="str">
        <f>TRIM('data cleaning'!$E47)</f>
        <v>Christina Cooper</v>
      </c>
      <c r="E47" s="23" t="s">
        <v>827</v>
      </c>
      <c r="F47" s="23" t="str">
        <f>TRIM('data cleaning'!$G47)</f>
        <v>Consumer</v>
      </c>
      <c r="G47" s="23" t="s">
        <v>1513</v>
      </c>
      <c r="H47" s="23" t="str">
        <f>TRIM('data cleaning'!$I47)</f>
        <v>East</v>
      </c>
      <c r="I47" s="23" t="s">
        <v>1519</v>
      </c>
      <c r="J47" s="23" t="str">
        <f>TRIM('data cleaning'!$K47)</f>
        <v>Technology</v>
      </c>
      <c r="K47" s="23" t="s">
        <v>1521</v>
      </c>
      <c r="L47" s="23" t="str">
        <f>TRIM('data cleaning'!$M47)</f>
        <v>Phones</v>
      </c>
      <c r="M47" s="23" t="s">
        <v>1530</v>
      </c>
      <c r="N47" s="23" t="str">
        <f>PROPER('data cleaning'!$O47)</f>
        <v>Live Phones</v>
      </c>
      <c r="O47" s="23" t="str">
        <f>TRIM('data cleaning'!$P47)</f>
        <v>Live Phones</v>
      </c>
      <c r="P47" s="23" t="s">
        <v>1577</v>
      </c>
      <c r="Q47" s="23">
        <v>167.14</v>
      </c>
      <c r="R47" s="23">
        <v>4</v>
      </c>
      <c r="S47" s="23">
        <v>0.15</v>
      </c>
      <c r="T47" s="24">
        <v>-3.25</v>
      </c>
    </row>
    <row r="48" spans="1:20" ht="15.6" x14ac:dyDescent="0.3">
      <c r="A48" s="13" t="s">
        <v>59</v>
      </c>
      <c r="B48" s="14">
        <v>45757</v>
      </c>
      <c r="C48" s="15">
        <v>45766</v>
      </c>
      <c r="D48" s="16" t="str">
        <f>TRIM('data cleaning'!$E48)</f>
        <v>David Anderson</v>
      </c>
      <c r="E48" s="17" t="s">
        <v>828</v>
      </c>
      <c r="F48" s="17" t="str">
        <f>TRIM('data cleaning'!$G48)</f>
        <v>Consumer</v>
      </c>
      <c r="G48" s="17" t="s">
        <v>1513</v>
      </c>
      <c r="H48" s="17" t="str">
        <f>TRIM('data cleaning'!$I48)</f>
        <v>East</v>
      </c>
      <c r="I48" s="17" t="s">
        <v>1519</v>
      </c>
      <c r="J48" s="17" t="str">
        <f>TRIM('data cleaning'!$K48)</f>
        <v>Technology</v>
      </c>
      <c r="K48" s="17" t="s">
        <v>1521</v>
      </c>
      <c r="L48" s="17" t="str">
        <f>TRIM('data cleaning'!$M48)</f>
        <v>Laptops</v>
      </c>
      <c r="M48" s="17" t="s">
        <v>1528</v>
      </c>
      <c r="N48" s="17" t="str">
        <f>PROPER('data cleaning'!$O48)</f>
        <v>Interesting Laptops</v>
      </c>
      <c r="O48" s="17" t="str">
        <f>TRIM('data cleaning'!$P48)</f>
        <v>Interesting Laptops</v>
      </c>
      <c r="P48" s="17" t="s">
        <v>1578</v>
      </c>
      <c r="Q48" s="17">
        <v>2028.41</v>
      </c>
      <c r="R48" s="17">
        <v>9</v>
      </c>
      <c r="S48" s="17">
        <v>0.1</v>
      </c>
      <c r="T48" s="18">
        <v>642.15</v>
      </c>
    </row>
    <row r="49" spans="1:20" ht="15.6" x14ac:dyDescent="0.3">
      <c r="A49" s="19" t="s">
        <v>60</v>
      </c>
      <c r="B49" s="20">
        <v>45409</v>
      </c>
      <c r="C49" s="21">
        <v>45414</v>
      </c>
      <c r="D49" s="22" t="str">
        <f>TRIM('data cleaning'!$E49)</f>
        <v>Ann Conner</v>
      </c>
      <c r="E49" s="23" t="s">
        <v>829</v>
      </c>
      <c r="F49" s="23" t="str">
        <f>TRIM('data cleaning'!$G49)</f>
        <v>Corporate</v>
      </c>
      <c r="G49" s="23" t="s">
        <v>1514</v>
      </c>
      <c r="H49" s="23" t="str">
        <f>TRIM('data cleaning'!$I49)</f>
        <v>West</v>
      </c>
      <c r="I49" s="23" t="s">
        <v>1518</v>
      </c>
      <c r="J49" s="23" t="str">
        <f>TRIM('data cleaning'!$K49)</f>
        <v>Furniture</v>
      </c>
      <c r="K49" s="23" t="s">
        <v>1522</v>
      </c>
      <c r="L49" s="23" t="str">
        <f>TRIM('data cleaning'!$M49)</f>
        <v>Bookcases</v>
      </c>
      <c r="M49" s="23" t="s">
        <v>1527</v>
      </c>
      <c r="N49" s="23" t="str">
        <f>PROPER('data cleaning'!$O49)</f>
        <v>Effort Bookcases</v>
      </c>
      <c r="O49" s="23" t="str">
        <f>TRIM('data cleaning'!$P49)</f>
        <v>Effort Bookcases</v>
      </c>
      <c r="P49" s="23" t="s">
        <v>1579</v>
      </c>
      <c r="Q49" s="23">
        <v>239.37</v>
      </c>
      <c r="R49" s="23">
        <v>10</v>
      </c>
      <c r="S49" s="23">
        <v>0.15</v>
      </c>
      <c r="T49" s="24">
        <v>-2.36</v>
      </c>
    </row>
    <row r="50" spans="1:20" ht="15.6" x14ac:dyDescent="0.3">
      <c r="A50" s="13" t="s">
        <v>61</v>
      </c>
      <c r="B50" s="14">
        <v>46007</v>
      </c>
      <c r="C50" s="15">
        <v>46009</v>
      </c>
      <c r="D50" s="16" t="str">
        <f>TRIM('data cleaning'!$E50)</f>
        <v>David Morgan</v>
      </c>
      <c r="E50" s="17" t="s">
        <v>830</v>
      </c>
      <c r="F50" s="17" t="str">
        <f>TRIM('data cleaning'!$G50)</f>
        <v>Home Office</v>
      </c>
      <c r="G50" s="17" t="s">
        <v>1515</v>
      </c>
      <c r="H50" s="17" t="str">
        <f>TRIM('data cleaning'!$I50)</f>
        <v>West</v>
      </c>
      <c r="I50" s="17" t="s">
        <v>1518</v>
      </c>
      <c r="J50" s="17" t="str">
        <f>TRIM('data cleaning'!$K50)</f>
        <v>Office Supplies</v>
      </c>
      <c r="K50" s="17" t="s">
        <v>1520</v>
      </c>
      <c r="L50" s="17" t="str">
        <f>TRIM('data cleaning'!$M50)</f>
        <v>Storage</v>
      </c>
      <c r="M50" s="17" t="s">
        <v>1525</v>
      </c>
      <c r="N50" s="17" t="str">
        <f>PROPER('data cleaning'!$O50)</f>
        <v>Man Storage</v>
      </c>
      <c r="O50" s="17" t="str">
        <f>TRIM('data cleaning'!$P50)</f>
        <v>Man Storage</v>
      </c>
      <c r="P50" s="17" t="s">
        <v>1580</v>
      </c>
      <c r="Q50" s="17">
        <v>1956.72</v>
      </c>
      <c r="R50" s="17">
        <v>10</v>
      </c>
      <c r="S50" s="17">
        <v>0.05</v>
      </c>
      <c r="T50" s="18">
        <v>-117.21</v>
      </c>
    </row>
    <row r="51" spans="1:20" ht="15.6" x14ac:dyDescent="0.3">
      <c r="A51" s="19" t="s">
        <v>62</v>
      </c>
      <c r="B51" s="20">
        <v>45715</v>
      </c>
      <c r="C51" s="21">
        <v>45724</v>
      </c>
      <c r="D51" s="22" t="str">
        <f>TRIM('data cleaning'!$E51)</f>
        <v>Andrea Carrillo</v>
      </c>
      <c r="E51" s="23" t="s">
        <v>831</v>
      </c>
      <c r="F51" s="23" t="str">
        <f>TRIM('data cleaning'!$G51)</f>
        <v>Home Office</v>
      </c>
      <c r="G51" s="23" t="s">
        <v>1515</v>
      </c>
      <c r="H51" s="23" t="str">
        <f>TRIM('data cleaning'!$I51)</f>
        <v>East</v>
      </c>
      <c r="I51" s="23" t="s">
        <v>1519</v>
      </c>
      <c r="J51" s="23" t="str">
        <f>TRIM('data cleaning'!$K51)</f>
        <v>Furniture</v>
      </c>
      <c r="K51" s="23" t="s">
        <v>1522</v>
      </c>
      <c r="L51" s="23" t="str">
        <f>TRIM('data cleaning'!$M51)</f>
        <v>Bookcases</v>
      </c>
      <c r="M51" s="23" t="s">
        <v>1527</v>
      </c>
      <c r="N51" s="23" t="str">
        <f>PROPER('data cleaning'!$O51)</f>
        <v>Chair Bookcases</v>
      </c>
      <c r="O51" s="23" t="str">
        <f>TRIM('data cleaning'!$P51)</f>
        <v>Chair Bookcases</v>
      </c>
      <c r="P51" s="23" t="s">
        <v>1581</v>
      </c>
      <c r="Q51" s="23">
        <v>3449.94</v>
      </c>
      <c r="R51" s="23">
        <v>4</v>
      </c>
      <c r="S51" s="23">
        <v>0.1</v>
      </c>
      <c r="T51" s="24">
        <v>128.38</v>
      </c>
    </row>
    <row r="52" spans="1:20" ht="15.6" x14ac:dyDescent="0.3">
      <c r="A52" s="13" t="s">
        <v>63</v>
      </c>
      <c r="B52" s="14">
        <v>45385</v>
      </c>
      <c r="C52" s="15">
        <v>45387</v>
      </c>
      <c r="D52" s="16" t="str">
        <f>TRIM('data cleaning'!$E52)</f>
        <v>Laura James</v>
      </c>
      <c r="E52" s="17" t="s">
        <v>832</v>
      </c>
      <c r="F52" s="17" t="str">
        <f>TRIM('data cleaning'!$G52)</f>
        <v>Corporate</v>
      </c>
      <c r="G52" s="17" t="s">
        <v>1514</v>
      </c>
      <c r="H52" s="17" t="str">
        <f>TRIM('data cleaning'!$I52)</f>
        <v>East</v>
      </c>
      <c r="I52" s="17" t="s">
        <v>1519</v>
      </c>
      <c r="J52" s="17" t="str">
        <f>TRIM('data cleaning'!$K52)</f>
        <v>Office Supplies</v>
      </c>
      <c r="K52" s="17" t="s">
        <v>1520</v>
      </c>
      <c r="L52" s="17" t="str">
        <f>TRIM('data cleaning'!$M52)</f>
        <v>Paper</v>
      </c>
      <c r="M52" s="17" t="s">
        <v>1524</v>
      </c>
      <c r="N52" s="17" t="str">
        <f>PROPER('data cleaning'!$O52)</f>
        <v>News Paper</v>
      </c>
      <c r="O52" s="17" t="str">
        <f>TRIM('data cleaning'!$P52)</f>
        <v>News Paper</v>
      </c>
      <c r="P52" s="17" t="s">
        <v>1582</v>
      </c>
      <c r="Q52" s="17">
        <v>3612.78</v>
      </c>
      <c r="R52" s="17">
        <v>5</v>
      </c>
      <c r="S52" s="17">
        <v>0.2</v>
      </c>
      <c r="T52" s="18">
        <v>-108</v>
      </c>
    </row>
    <row r="53" spans="1:20" ht="15.6" x14ac:dyDescent="0.3">
      <c r="A53" s="19" t="s">
        <v>64</v>
      </c>
      <c r="B53" s="20">
        <v>45830</v>
      </c>
      <c r="C53" s="21">
        <v>45835</v>
      </c>
      <c r="D53" s="22" t="str">
        <f>TRIM('data cleaning'!$E53)</f>
        <v>Charles Torres</v>
      </c>
      <c r="E53" s="23" t="s">
        <v>833</v>
      </c>
      <c r="F53" s="23" t="str">
        <f>TRIM('data cleaning'!$G53)</f>
        <v>Corporate</v>
      </c>
      <c r="G53" s="23" t="s">
        <v>1514</v>
      </c>
      <c r="H53" s="23" t="str">
        <f>TRIM('data cleaning'!$I53)</f>
        <v>South</v>
      </c>
      <c r="I53" s="23" t="s">
        <v>1517</v>
      </c>
      <c r="J53" s="23" t="str">
        <f>TRIM('data cleaning'!$K53)</f>
        <v>Technology</v>
      </c>
      <c r="K53" s="23" t="s">
        <v>1521</v>
      </c>
      <c r="L53" s="23" t="str">
        <f>TRIM('data cleaning'!$M53)</f>
        <v>Laptops</v>
      </c>
      <c r="M53" s="23" t="s">
        <v>1528</v>
      </c>
      <c r="N53" s="23" t="str">
        <f>PROPER('data cleaning'!$O53)</f>
        <v>Open Laptops</v>
      </c>
      <c r="O53" s="23" t="str">
        <f>TRIM('data cleaning'!$P53)</f>
        <v>Open Laptops</v>
      </c>
      <c r="P53" s="23" t="s">
        <v>1583</v>
      </c>
      <c r="Q53" s="23">
        <v>2794.34</v>
      </c>
      <c r="R53" s="23">
        <v>4</v>
      </c>
      <c r="S53" s="23">
        <v>0.15</v>
      </c>
      <c r="T53" s="24">
        <v>463.05</v>
      </c>
    </row>
    <row r="54" spans="1:20" ht="15.6" x14ac:dyDescent="0.3">
      <c r="A54" s="13" t="s">
        <v>65</v>
      </c>
      <c r="B54" s="14" t="s">
        <v>764</v>
      </c>
      <c r="C54" s="15">
        <v>45320</v>
      </c>
      <c r="D54" s="16" t="str">
        <f>TRIM('data cleaning'!$E54)</f>
        <v>Alexander Taylor</v>
      </c>
      <c r="E54" s="17" t="s">
        <v>834</v>
      </c>
      <c r="F54" s="17" t="str">
        <f>TRIM('data cleaning'!$G54)</f>
        <v>Corporate</v>
      </c>
      <c r="G54" s="17" t="s">
        <v>1514</v>
      </c>
      <c r="H54" s="17" t="str">
        <f>TRIM('data cleaning'!$I54)</f>
        <v>East</v>
      </c>
      <c r="I54" s="17" t="s">
        <v>1519</v>
      </c>
      <c r="J54" s="17" t="str">
        <f>TRIM('data cleaning'!$K54)</f>
        <v>Office Supplies</v>
      </c>
      <c r="K54" s="17" t="s">
        <v>1520</v>
      </c>
      <c r="L54" s="17" t="str">
        <f>TRIM('data cleaning'!$M54)</f>
        <v>Storage</v>
      </c>
      <c r="M54" s="17" t="s">
        <v>1525</v>
      </c>
      <c r="N54" s="17" t="str">
        <f>PROPER('data cleaning'!$O54)</f>
        <v>History Storage</v>
      </c>
      <c r="O54" s="17" t="str">
        <f>TRIM('data cleaning'!$P54)</f>
        <v>History Storage</v>
      </c>
      <c r="P54" s="17" t="s">
        <v>1584</v>
      </c>
      <c r="Q54" s="17">
        <v>2060.0700000000002</v>
      </c>
      <c r="R54" s="17">
        <v>1</v>
      </c>
      <c r="S54" s="17">
        <v>0.1</v>
      </c>
      <c r="T54" s="18">
        <v>-86.93</v>
      </c>
    </row>
    <row r="55" spans="1:20" ht="15.6" x14ac:dyDescent="0.3">
      <c r="A55" s="19" t="s">
        <v>66</v>
      </c>
      <c r="B55" s="20">
        <v>45939</v>
      </c>
      <c r="C55" s="21">
        <v>45947</v>
      </c>
      <c r="D55" s="22" t="str">
        <f>TRIM('data cleaning'!$E55)</f>
        <v>Walter Lindsey</v>
      </c>
      <c r="E55" s="23" t="s">
        <v>835</v>
      </c>
      <c r="F55" s="23" t="str">
        <f>TRIM('data cleaning'!$G55)</f>
        <v>Home Office</v>
      </c>
      <c r="G55" s="23" t="s">
        <v>1515</v>
      </c>
      <c r="H55" s="23" t="str">
        <f>TRIM('data cleaning'!$I55)</f>
        <v>South</v>
      </c>
      <c r="I55" s="23" t="s">
        <v>1517</v>
      </c>
      <c r="J55" s="23" t="str">
        <f>TRIM('data cleaning'!$K55)</f>
        <v>Technology</v>
      </c>
      <c r="K55" s="23" t="s">
        <v>1521</v>
      </c>
      <c r="L55" s="23" t="str">
        <f>TRIM('data cleaning'!$M55)</f>
        <v>Accessories</v>
      </c>
      <c r="M55" s="23" t="s">
        <v>1526</v>
      </c>
      <c r="N55" s="23" t="str">
        <f>PROPER('data cleaning'!$O55)</f>
        <v>Stay Accessories</v>
      </c>
      <c r="O55" s="23" t="str">
        <f>TRIM('data cleaning'!$P55)</f>
        <v>Stay Accessories</v>
      </c>
      <c r="P55" s="23" t="s">
        <v>1585</v>
      </c>
      <c r="Q55" s="23">
        <v>3394.35</v>
      </c>
      <c r="R55" s="23">
        <v>9</v>
      </c>
      <c r="S55" s="23">
        <v>0.15</v>
      </c>
      <c r="T55" s="24">
        <v>802.95</v>
      </c>
    </row>
    <row r="56" spans="1:20" ht="15.6" x14ac:dyDescent="0.3">
      <c r="A56" s="13" t="s">
        <v>67</v>
      </c>
      <c r="B56" s="14">
        <v>45720</v>
      </c>
      <c r="C56" s="15">
        <v>45725</v>
      </c>
      <c r="D56" s="16" t="str">
        <f>TRIM('data cleaning'!$E56)</f>
        <v>Jennifer Downs</v>
      </c>
      <c r="E56" s="17" t="s">
        <v>836</v>
      </c>
      <c r="F56" s="17" t="str">
        <f>TRIM('data cleaning'!$G56)</f>
        <v>Consumer</v>
      </c>
      <c r="G56" s="17" t="s">
        <v>1513</v>
      </c>
      <c r="H56" s="17" t="str">
        <f>TRIM('data cleaning'!$I56)</f>
        <v>East</v>
      </c>
      <c r="I56" s="17" t="s">
        <v>1519</v>
      </c>
      <c r="J56" s="17" t="str">
        <f>TRIM('data cleaning'!$K56)</f>
        <v>Office Supplies</v>
      </c>
      <c r="K56" s="17" t="s">
        <v>1520</v>
      </c>
      <c r="L56" s="17" t="str">
        <f>TRIM('data cleaning'!$M56)</f>
        <v>Binders</v>
      </c>
      <c r="M56" s="17" t="s">
        <v>1523</v>
      </c>
      <c r="N56" s="17" t="str">
        <f>PROPER('data cleaning'!$O56)</f>
        <v>Support Binders</v>
      </c>
      <c r="O56" s="17" t="str">
        <f>TRIM('data cleaning'!$P56)</f>
        <v>Support Binders</v>
      </c>
      <c r="P56" s="17" t="s">
        <v>1586</v>
      </c>
      <c r="Q56" s="17">
        <v>2601.4899999999998</v>
      </c>
      <c r="R56" s="17">
        <v>10</v>
      </c>
      <c r="S56" s="17">
        <v>0.1</v>
      </c>
      <c r="T56" s="18">
        <v>-386.68</v>
      </c>
    </row>
    <row r="57" spans="1:20" ht="15.6" x14ac:dyDescent="0.3">
      <c r="A57" s="19" t="s">
        <v>68</v>
      </c>
      <c r="B57" s="20">
        <v>45424</v>
      </c>
      <c r="C57" s="21">
        <v>45427</v>
      </c>
      <c r="D57" s="22" t="str">
        <f>TRIM('data cleaning'!$E57)</f>
        <v>Tara Ferguson</v>
      </c>
      <c r="E57" s="23" t="s">
        <v>837</v>
      </c>
      <c r="F57" s="23" t="str">
        <f>TRIM('data cleaning'!$G57)</f>
        <v>Consumer</v>
      </c>
      <c r="G57" s="23" t="s">
        <v>1513</v>
      </c>
      <c r="H57" s="23" t="str">
        <f>TRIM('data cleaning'!$I57)</f>
        <v>West</v>
      </c>
      <c r="I57" s="23" t="s">
        <v>1518</v>
      </c>
      <c r="J57" s="23" t="str">
        <f>TRIM('data cleaning'!$K57)</f>
        <v>Furniture</v>
      </c>
      <c r="K57" s="23" t="s">
        <v>1522</v>
      </c>
      <c r="L57" s="23" t="str">
        <f>TRIM('data cleaning'!$M57)</f>
        <v>Chairs</v>
      </c>
      <c r="M57" s="23" t="s">
        <v>1531</v>
      </c>
      <c r="N57" s="23" t="str">
        <f>PROPER('data cleaning'!$O57)</f>
        <v>Just Chairs</v>
      </c>
      <c r="O57" s="23" t="str">
        <f>TRIM('data cleaning'!$P57)</f>
        <v>Just Chairs</v>
      </c>
      <c r="P57" s="23" t="s">
        <v>1587</v>
      </c>
      <c r="Q57" s="23">
        <v>170.91</v>
      </c>
      <c r="R57" s="23">
        <v>4</v>
      </c>
      <c r="S57" s="23">
        <v>0.15</v>
      </c>
      <c r="T57" s="24">
        <v>23.28</v>
      </c>
    </row>
    <row r="58" spans="1:20" ht="15.6" x14ac:dyDescent="0.3">
      <c r="A58" s="13" t="s">
        <v>69</v>
      </c>
      <c r="B58" s="14">
        <v>45773</v>
      </c>
      <c r="C58" s="15">
        <v>45783</v>
      </c>
      <c r="D58" s="16" t="str">
        <f>TRIM('data cleaning'!$E58)</f>
        <v>Brittany Woodward</v>
      </c>
      <c r="E58" s="17" t="s">
        <v>838</v>
      </c>
      <c r="F58" s="17" t="str">
        <f>TRIM('data cleaning'!$G58)</f>
        <v>Consumer</v>
      </c>
      <c r="G58" s="17" t="s">
        <v>1513</v>
      </c>
      <c r="H58" s="17" t="str">
        <f>TRIM('data cleaning'!$I58)</f>
        <v>North</v>
      </c>
      <c r="I58" s="17" t="s">
        <v>1516</v>
      </c>
      <c r="J58" s="17" t="str">
        <f>TRIM('data cleaning'!$K58)</f>
        <v>Technology</v>
      </c>
      <c r="K58" s="17" t="s">
        <v>1521</v>
      </c>
      <c r="L58" s="17" t="str">
        <f>TRIM('data cleaning'!$M58)</f>
        <v>Laptops</v>
      </c>
      <c r="M58" s="17" t="s">
        <v>1528</v>
      </c>
      <c r="N58" s="17" t="str">
        <f>PROPER('data cleaning'!$O58)</f>
        <v>Laugh Laptops</v>
      </c>
      <c r="O58" s="17" t="str">
        <f>TRIM('data cleaning'!$P58)</f>
        <v>Laugh Laptops</v>
      </c>
      <c r="P58" s="17" t="s">
        <v>1588</v>
      </c>
      <c r="Q58" s="17">
        <v>1012.45</v>
      </c>
      <c r="R58" s="17">
        <v>7</v>
      </c>
      <c r="S58" s="17">
        <v>0.15</v>
      </c>
      <c r="T58" s="18">
        <v>20.059999999999999</v>
      </c>
    </row>
    <row r="59" spans="1:20" ht="15.6" x14ac:dyDescent="0.3">
      <c r="A59" s="19" t="s">
        <v>70</v>
      </c>
      <c r="B59" s="20">
        <v>45366</v>
      </c>
      <c r="C59" s="21">
        <v>45370</v>
      </c>
      <c r="D59" s="22" t="str">
        <f>TRIM('data cleaning'!$E59)</f>
        <v>Johnathan Logan</v>
      </c>
      <c r="E59" s="23" t="s">
        <v>839</v>
      </c>
      <c r="F59" s="23" t="str">
        <f>TRIM('data cleaning'!$G59)</f>
        <v>Consumer</v>
      </c>
      <c r="G59" s="23" t="s">
        <v>1513</v>
      </c>
      <c r="H59" s="23" t="str">
        <f>TRIM('data cleaning'!$I59)</f>
        <v>North</v>
      </c>
      <c r="I59" s="23" t="s">
        <v>1516</v>
      </c>
      <c r="J59" s="23" t="str">
        <f>TRIM('data cleaning'!$K59)</f>
        <v>Furniture</v>
      </c>
      <c r="K59" s="23" t="s">
        <v>1522</v>
      </c>
      <c r="L59" s="23" t="str">
        <f>TRIM('data cleaning'!$M59)</f>
        <v>Tables</v>
      </c>
      <c r="M59" s="23" t="s">
        <v>1529</v>
      </c>
      <c r="N59" s="23" t="str">
        <f>PROPER('data cleaning'!$O59)</f>
        <v>Baby Tables</v>
      </c>
      <c r="O59" s="23" t="str">
        <f>TRIM('data cleaning'!$P59)</f>
        <v>Baby Tables</v>
      </c>
      <c r="P59" s="23" t="s">
        <v>1589</v>
      </c>
      <c r="Q59" s="23">
        <v>920.64</v>
      </c>
      <c r="R59" s="23">
        <v>9</v>
      </c>
      <c r="S59" s="23">
        <v>0.15</v>
      </c>
      <c r="T59" s="24">
        <v>-158.69999999999999</v>
      </c>
    </row>
    <row r="60" spans="1:20" ht="15.6" x14ac:dyDescent="0.3">
      <c r="A60" s="13" t="s">
        <v>71</v>
      </c>
      <c r="B60" s="14">
        <v>45364</v>
      </c>
      <c r="C60" s="15">
        <v>45372</v>
      </c>
      <c r="D60" s="16" t="str">
        <f>TRIM('data cleaning'!$E60)</f>
        <v>Maria Walker</v>
      </c>
      <c r="E60" s="17" t="s">
        <v>840</v>
      </c>
      <c r="F60" s="17" t="str">
        <f>TRIM('data cleaning'!$G60)</f>
        <v>Corporate</v>
      </c>
      <c r="G60" s="17" t="s">
        <v>1514</v>
      </c>
      <c r="H60" s="17" t="str">
        <f>TRIM('data cleaning'!$I60)</f>
        <v>West</v>
      </c>
      <c r="I60" s="17" t="s">
        <v>1518</v>
      </c>
      <c r="J60" s="17" t="str">
        <f>TRIM('data cleaning'!$K60)</f>
        <v>Technology</v>
      </c>
      <c r="K60" s="17" t="s">
        <v>1521</v>
      </c>
      <c r="L60" s="17" t="str">
        <f>TRIM('data cleaning'!$M60)</f>
        <v>Phones</v>
      </c>
      <c r="M60" s="17" t="s">
        <v>1530</v>
      </c>
      <c r="N60" s="17" t="str">
        <f>PROPER('data cleaning'!$O60)</f>
        <v>Memory Phones</v>
      </c>
      <c r="O60" s="17" t="str">
        <f>TRIM('data cleaning'!$P60)</f>
        <v>Memory Phones</v>
      </c>
      <c r="P60" s="17" t="s">
        <v>1590</v>
      </c>
      <c r="Q60" s="17">
        <v>3354.51</v>
      </c>
      <c r="R60" s="17">
        <v>9</v>
      </c>
      <c r="S60" s="17">
        <v>0.2</v>
      </c>
      <c r="T60" s="18">
        <v>-85.49</v>
      </c>
    </row>
    <row r="61" spans="1:20" ht="15.6" x14ac:dyDescent="0.3">
      <c r="A61" s="19" t="s">
        <v>72</v>
      </c>
      <c r="B61" s="20">
        <v>45861</v>
      </c>
      <c r="C61" s="21">
        <v>45864</v>
      </c>
      <c r="D61" s="22" t="str">
        <f>TRIM('data cleaning'!$E61)</f>
        <v>Robert Willis</v>
      </c>
      <c r="E61" s="23" t="s">
        <v>841</v>
      </c>
      <c r="F61" s="23" t="str">
        <f>TRIM('data cleaning'!$G61)</f>
        <v>Consumer</v>
      </c>
      <c r="G61" s="23" t="s">
        <v>1513</v>
      </c>
      <c r="H61" s="23" t="str">
        <f>TRIM('data cleaning'!$I61)</f>
        <v>East</v>
      </c>
      <c r="I61" s="23" t="s">
        <v>1519</v>
      </c>
      <c r="J61" s="23" t="str">
        <f>TRIM('data cleaning'!$K61)</f>
        <v>Office Supplies</v>
      </c>
      <c r="K61" s="23" t="s">
        <v>1520</v>
      </c>
      <c r="L61" s="23" t="str">
        <f>TRIM('data cleaning'!$M61)</f>
        <v>Paper</v>
      </c>
      <c r="M61" s="23" t="s">
        <v>1524</v>
      </c>
      <c r="N61" s="23" t="str">
        <f>PROPER('data cleaning'!$O61)</f>
        <v>Different Paper</v>
      </c>
      <c r="O61" s="23" t="str">
        <f>TRIM('data cleaning'!$P61)</f>
        <v>Different Paper</v>
      </c>
      <c r="P61" s="23" t="s">
        <v>1591</v>
      </c>
      <c r="Q61" s="23">
        <v>3731.09</v>
      </c>
      <c r="R61" s="23">
        <v>8</v>
      </c>
      <c r="S61" s="23">
        <v>0.15</v>
      </c>
      <c r="T61" s="24">
        <v>-214.33</v>
      </c>
    </row>
    <row r="62" spans="1:20" ht="15.6" x14ac:dyDescent="0.3">
      <c r="A62" s="13" t="s">
        <v>73</v>
      </c>
      <c r="B62" s="14">
        <v>45691</v>
      </c>
      <c r="C62" s="15">
        <v>45695</v>
      </c>
      <c r="D62" s="16" t="str">
        <f>TRIM('data cleaning'!$E62)</f>
        <v>Wanda Byrd</v>
      </c>
      <c r="E62" s="17" t="s">
        <v>842</v>
      </c>
      <c r="F62" s="17" t="str">
        <f>TRIM('data cleaning'!$G62)</f>
        <v>Corporate</v>
      </c>
      <c r="G62" s="17" t="s">
        <v>1514</v>
      </c>
      <c r="H62" s="17" t="str">
        <f>TRIM('data cleaning'!$I62)</f>
        <v>East</v>
      </c>
      <c r="I62" s="17" t="s">
        <v>1519</v>
      </c>
      <c r="J62" s="17" t="str">
        <f>TRIM('data cleaning'!$K62)</f>
        <v>Office Supplies</v>
      </c>
      <c r="K62" s="17" t="s">
        <v>1520</v>
      </c>
      <c r="L62" s="17" t="str">
        <f>TRIM('data cleaning'!$M62)</f>
        <v>Paper</v>
      </c>
      <c r="M62" s="17" t="s">
        <v>1524</v>
      </c>
      <c r="N62" s="17" t="str">
        <f>PROPER('data cleaning'!$O62)</f>
        <v>Fact Paper</v>
      </c>
      <c r="O62" s="17" t="str">
        <f>TRIM('data cleaning'!$P62)</f>
        <v>Fact Paper</v>
      </c>
      <c r="P62" s="17" t="s">
        <v>1592</v>
      </c>
      <c r="Q62" s="17">
        <v>1409.26</v>
      </c>
      <c r="R62" s="17">
        <v>2</v>
      </c>
      <c r="S62" s="17"/>
      <c r="T62" s="18">
        <v>-60.39</v>
      </c>
    </row>
    <row r="63" spans="1:20" ht="15.6" x14ac:dyDescent="0.3">
      <c r="A63" s="19" t="s">
        <v>74</v>
      </c>
      <c r="B63" s="20">
        <v>45190</v>
      </c>
      <c r="C63" s="21">
        <v>45192</v>
      </c>
      <c r="D63" s="22" t="str">
        <f>TRIM('data cleaning'!$E63)</f>
        <v>John Potts</v>
      </c>
      <c r="E63" s="23" t="s">
        <v>843</v>
      </c>
      <c r="F63" s="23" t="str">
        <f>TRIM('data cleaning'!$G63)</f>
        <v>Home Office</v>
      </c>
      <c r="G63" s="23" t="s">
        <v>1515</v>
      </c>
      <c r="H63" s="23" t="str">
        <f>TRIM('data cleaning'!$I63)</f>
        <v>South</v>
      </c>
      <c r="I63" s="23" t="s">
        <v>1517</v>
      </c>
      <c r="J63" s="23" t="str">
        <f>TRIM('data cleaning'!$K63)</f>
        <v>Technology</v>
      </c>
      <c r="K63" s="23" t="s">
        <v>1521</v>
      </c>
      <c r="L63" s="23" t="str">
        <f>TRIM('data cleaning'!$M63)</f>
        <v>Laptops</v>
      </c>
      <c r="M63" s="23" t="s">
        <v>1528</v>
      </c>
      <c r="N63" s="23" t="str">
        <f>PROPER('data cleaning'!$O63)</f>
        <v>Shake Laptops</v>
      </c>
      <c r="O63" s="23" t="str">
        <f>TRIM('data cleaning'!$P63)</f>
        <v>Shake Laptops</v>
      </c>
      <c r="P63" s="23" t="s">
        <v>1593</v>
      </c>
      <c r="Q63" s="23">
        <v>734.95</v>
      </c>
      <c r="R63" s="23">
        <v>4</v>
      </c>
      <c r="S63" s="23">
        <v>0.15</v>
      </c>
      <c r="T63" s="24">
        <v>133.52000000000001</v>
      </c>
    </row>
    <row r="64" spans="1:20" ht="15.6" x14ac:dyDescent="0.3">
      <c r="A64" s="13" t="s">
        <v>75</v>
      </c>
      <c r="B64" s="14">
        <v>45390</v>
      </c>
      <c r="C64" s="15">
        <v>45397</v>
      </c>
      <c r="D64" s="16" t="str">
        <f>TRIM('data cleaning'!$E64)</f>
        <v>Monica Kelley</v>
      </c>
      <c r="E64" s="17" t="s">
        <v>844</v>
      </c>
      <c r="F64" s="17" t="str">
        <f>TRIM('data cleaning'!$G64)</f>
        <v>Corporate</v>
      </c>
      <c r="G64" s="17" t="s">
        <v>1514</v>
      </c>
      <c r="H64" s="17" t="str">
        <f>TRIM('data cleaning'!$I64)</f>
        <v>West</v>
      </c>
      <c r="I64" s="17" t="s">
        <v>1518</v>
      </c>
      <c r="J64" s="17" t="str">
        <f>TRIM('data cleaning'!$K64)</f>
        <v>Furniture</v>
      </c>
      <c r="K64" s="17" t="s">
        <v>1522</v>
      </c>
      <c r="L64" s="17" t="str">
        <f>TRIM('data cleaning'!$M64)</f>
        <v>Tables</v>
      </c>
      <c r="M64" s="17" t="s">
        <v>1529</v>
      </c>
      <c r="N64" s="17" t="str">
        <f>PROPER('data cleaning'!$O64)</f>
        <v>Power Tables</v>
      </c>
      <c r="O64" s="17" t="str">
        <f>TRIM('data cleaning'!$P64)</f>
        <v>Power Tables</v>
      </c>
      <c r="P64" s="17" t="s">
        <v>1594</v>
      </c>
      <c r="Q64" s="17">
        <v>1687.86</v>
      </c>
      <c r="R64" s="17">
        <v>8</v>
      </c>
      <c r="S64" s="17">
        <v>0.15</v>
      </c>
      <c r="T64" s="18">
        <v>-279.77</v>
      </c>
    </row>
    <row r="65" spans="1:20" ht="15.6" x14ac:dyDescent="0.3">
      <c r="A65" s="19" t="s">
        <v>76</v>
      </c>
      <c r="B65" s="20">
        <v>45373</v>
      </c>
      <c r="C65" s="21">
        <v>45374</v>
      </c>
      <c r="D65" s="22" t="str">
        <f>TRIM('data cleaning'!$E65)</f>
        <v>Justin Farrell</v>
      </c>
      <c r="E65" s="23" t="s">
        <v>845</v>
      </c>
      <c r="F65" s="23" t="str">
        <f>TRIM('data cleaning'!$G65)</f>
        <v>Corporate</v>
      </c>
      <c r="G65" s="23" t="s">
        <v>1514</v>
      </c>
      <c r="H65" s="23" t="str">
        <f>TRIM('data cleaning'!$I65)</f>
        <v>East</v>
      </c>
      <c r="I65" s="23" t="s">
        <v>1519</v>
      </c>
      <c r="J65" s="23" t="str">
        <f>TRIM('data cleaning'!$K65)</f>
        <v>Office Supplies</v>
      </c>
      <c r="K65" s="23" t="s">
        <v>1520</v>
      </c>
      <c r="L65" s="23" t="str">
        <f>TRIM('data cleaning'!$M65)</f>
        <v>Storage</v>
      </c>
      <c r="M65" s="23" t="s">
        <v>1525</v>
      </c>
      <c r="N65" s="23" t="str">
        <f>PROPER('data cleaning'!$O65)</f>
        <v>These Storage</v>
      </c>
      <c r="O65" s="23" t="str">
        <f>TRIM('data cleaning'!$P65)</f>
        <v>These Storage</v>
      </c>
      <c r="P65" s="23" t="s">
        <v>1595</v>
      </c>
      <c r="Q65" s="23">
        <v>4290.82</v>
      </c>
      <c r="R65" s="23">
        <v>10</v>
      </c>
      <c r="S65" s="23">
        <v>0.15</v>
      </c>
      <c r="T65" s="24">
        <v>267.48</v>
      </c>
    </row>
    <row r="66" spans="1:20" ht="15.6" x14ac:dyDescent="0.3">
      <c r="A66" s="13" t="s">
        <v>77</v>
      </c>
      <c r="B66" s="14">
        <v>46122</v>
      </c>
      <c r="C66" s="15">
        <v>46131</v>
      </c>
      <c r="D66" s="16" t="str">
        <f>TRIM('data cleaning'!$E66)</f>
        <v>Joseph Sanchez</v>
      </c>
      <c r="E66" s="17" t="s">
        <v>846</v>
      </c>
      <c r="F66" s="17" t="str">
        <f>TRIM('data cleaning'!$G66)</f>
        <v>Corporate</v>
      </c>
      <c r="G66" s="17" t="s">
        <v>1514</v>
      </c>
      <c r="H66" s="17" t="str">
        <f>TRIM('data cleaning'!$I66)</f>
        <v>South</v>
      </c>
      <c r="I66" s="17" t="s">
        <v>1517</v>
      </c>
      <c r="J66" s="17" t="str">
        <f>TRIM('data cleaning'!$K66)</f>
        <v>Technology</v>
      </c>
      <c r="K66" s="17" t="s">
        <v>1521</v>
      </c>
      <c r="L66" s="17" t="str">
        <f>TRIM('data cleaning'!$M66)</f>
        <v>Accessories</v>
      </c>
      <c r="M66" s="17" t="s">
        <v>1526</v>
      </c>
      <c r="N66" s="17" t="str">
        <f>PROPER('data cleaning'!$O66)</f>
        <v>Still Accessories</v>
      </c>
      <c r="O66" s="17" t="str">
        <f>TRIM('data cleaning'!$P66)</f>
        <v>Still Accessories</v>
      </c>
      <c r="P66" s="17" t="s">
        <v>1596</v>
      </c>
      <c r="Q66" s="17">
        <v>3750.2</v>
      </c>
      <c r="R66" s="17">
        <v>9</v>
      </c>
      <c r="S66" s="17">
        <v>0.2</v>
      </c>
      <c r="T66" s="18">
        <v>1101.79</v>
      </c>
    </row>
    <row r="67" spans="1:20" ht="15.6" x14ac:dyDescent="0.3">
      <c r="A67" s="19" t="s">
        <v>78</v>
      </c>
      <c r="B67" s="20">
        <v>45482</v>
      </c>
      <c r="C67" s="21">
        <v>45490</v>
      </c>
      <c r="D67" s="22" t="str">
        <f>TRIM('data cleaning'!$E67)</f>
        <v>Kenneth Dunn</v>
      </c>
      <c r="E67" s="23" t="s">
        <v>847</v>
      </c>
      <c r="F67" s="23" t="str">
        <f>TRIM('data cleaning'!$G67)</f>
        <v>Corporate</v>
      </c>
      <c r="G67" s="23" t="s">
        <v>1514</v>
      </c>
      <c r="H67" s="23" t="str">
        <f>TRIM('data cleaning'!$I67)</f>
        <v>South</v>
      </c>
      <c r="I67" s="23" t="s">
        <v>1517</v>
      </c>
      <c r="J67" s="23" t="str">
        <f>TRIM('data cleaning'!$K67)</f>
        <v>Technology</v>
      </c>
      <c r="K67" s="23" t="s">
        <v>1521</v>
      </c>
      <c r="L67" s="23" t="str">
        <f>TRIM('data cleaning'!$M67)</f>
        <v>Accessories</v>
      </c>
      <c r="M67" s="23" t="s">
        <v>1526</v>
      </c>
      <c r="N67" s="23" t="str">
        <f>PROPER('data cleaning'!$O67)</f>
        <v>Interest Accessories</v>
      </c>
      <c r="O67" s="23" t="str">
        <f>TRIM('data cleaning'!$P67)</f>
        <v>Interest Accessories</v>
      </c>
      <c r="P67" s="23" t="s">
        <v>1597</v>
      </c>
      <c r="Q67" s="23">
        <v>193.67</v>
      </c>
      <c r="R67" s="23">
        <v>6</v>
      </c>
      <c r="S67" s="23"/>
      <c r="T67" s="24">
        <v>33.61</v>
      </c>
    </row>
    <row r="68" spans="1:20" ht="15.6" x14ac:dyDescent="0.3">
      <c r="A68" s="13" t="s">
        <v>79</v>
      </c>
      <c r="B68" s="14">
        <v>45134</v>
      </c>
      <c r="C68" s="15">
        <v>45144</v>
      </c>
      <c r="D68" s="16" t="str">
        <f>TRIM('data cleaning'!$E68)</f>
        <v>Christina Henry</v>
      </c>
      <c r="E68" s="17" t="s">
        <v>848</v>
      </c>
      <c r="F68" s="17" t="str">
        <f>TRIM('data cleaning'!$G68)</f>
        <v>Consumer</v>
      </c>
      <c r="G68" s="17" t="s">
        <v>1513</v>
      </c>
      <c r="H68" s="17" t="str">
        <f>TRIM('data cleaning'!$I68)</f>
        <v>North</v>
      </c>
      <c r="I68" s="17" t="s">
        <v>1516</v>
      </c>
      <c r="J68" s="17" t="str">
        <f>TRIM('data cleaning'!$K68)</f>
        <v>Technology</v>
      </c>
      <c r="K68" s="17" t="s">
        <v>1521</v>
      </c>
      <c r="L68" s="17" t="str">
        <f>TRIM('data cleaning'!$M68)</f>
        <v>Phones</v>
      </c>
      <c r="M68" s="17" t="s">
        <v>1530</v>
      </c>
      <c r="N68" s="17" t="str">
        <f>PROPER('data cleaning'!$O68)</f>
        <v>Moment Phones</v>
      </c>
      <c r="O68" s="17" t="str">
        <f>TRIM('data cleaning'!$P68)</f>
        <v>Moment Phones</v>
      </c>
      <c r="P68" s="17" t="s">
        <v>1598</v>
      </c>
      <c r="Q68" s="17">
        <v>2693.91</v>
      </c>
      <c r="R68" s="17">
        <v>7</v>
      </c>
      <c r="S68" s="17">
        <v>0.2</v>
      </c>
      <c r="T68" s="18">
        <v>297.45</v>
      </c>
    </row>
    <row r="69" spans="1:20" ht="15.6" x14ac:dyDescent="0.3">
      <c r="A69" s="19" t="s">
        <v>80</v>
      </c>
      <c r="B69" s="20">
        <v>46123</v>
      </c>
      <c r="C69" s="21">
        <v>46126</v>
      </c>
      <c r="D69" s="22" t="str">
        <f>TRIM('data cleaning'!$E69)</f>
        <v>Jessica Smith</v>
      </c>
      <c r="E69" s="23" t="s">
        <v>849</v>
      </c>
      <c r="F69" s="23" t="str">
        <f>TRIM('data cleaning'!$G69)</f>
        <v>Corporate</v>
      </c>
      <c r="G69" s="23" t="s">
        <v>1514</v>
      </c>
      <c r="H69" s="23" t="str">
        <f>TRIM('data cleaning'!$I69)</f>
        <v>South</v>
      </c>
      <c r="I69" s="23" t="s">
        <v>1517</v>
      </c>
      <c r="J69" s="23" t="str">
        <f>TRIM('data cleaning'!$K69)</f>
        <v>Office Supplies</v>
      </c>
      <c r="K69" s="23" t="s">
        <v>1520</v>
      </c>
      <c r="L69" s="23" t="str">
        <f>TRIM('data cleaning'!$M69)</f>
        <v>Paper</v>
      </c>
      <c r="M69" s="23" t="s">
        <v>1524</v>
      </c>
      <c r="N69" s="23" t="str">
        <f>PROPER('data cleaning'!$O69)</f>
        <v>Write Paper</v>
      </c>
      <c r="O69" s="23" t="str">
        <f>TRIM('data cleaning'!$P69)</f>
        <v>Write Paper</v>
      </c>
      <c r="P69" s="23" t="s">
        <v>1599</v>
      </c>
      <c r="Q69" s="23">
        <v>4340.91</v>
      </c>
      <c r="R69" s="23">
        <v>3</v>
      </c>
      <c r="S69" s="23">
        <v>0</v>
      </c>
      <c r="T69" s="24">
        <v>-247.06</v>
      </c>
    </row>
    <row r="70" spans="1:20" ht="15.6" x14ac:dyDescent="0.3">
      <c r="A70" s="13" t="s">
        <v>81</v>
      </c>
      <c r="B70" s="14">
        <v>45148</v>
      </c>
      <c r="C70" s="15">
        <v>45154</v>
      </c>
      <c r="D70" s="16" t="str">
        <f>TRIM('data cleaning'!$E70)</f>
        <v>Daniel Williamson</v>
      </c>
      <c r="E70" s="17" t="s">
        <v>850</v>
      </c>
      <c r="F70" s="17" t="str">
        <f>TRIM('data cleaning'!$G70)</f>
        <v>Corporate</v>
      </c>
      <c r="G70" s="17" t="s">
        <v>1514</v>
      </c>
      <c r="H70" s="17" t="str">
        <f>TRIM('data cleaning'!$I70)</f>
        <v>East</v>
      </c>
      <c r="I70" s="17" t="s">
        <v>1519</v>
      </c>
      <c r="J70" s="17" t="str">
        <f>TRIM('data cleaning'!$K70)</f>
        <v>Technology</v>
      </c>
      <c r="K70" s="17" t="s">
        <v>1521</v>
      </c>
      <c r="L70" s="17" t="str">
        <f>TRIM('data cleaning'!$M70)</f>
        <v>Accessories</v>
      </c>
      <c r="M70" s="17" t="s">
        <v>1526</v>
      </c>
      <c r="N70" s="17" t="str">
        <f>PROPER('data cleaning'!$O70)</f>
        <v>By Accessories</v>
      </c>
      <c r="O70" s="17" t="str">
        <f>TRIM('data cleaning'!$P70)</f>
        <v>By Accessories</v>
      </c>
      <c r="P70" s="17" t="s">
        <v>1600</v>
      </c>
      <c r="Q70" s="17">
        <v>3818.09</v>
      </c>
      <c r="R70" s="17">
        <v>7</v>
      </c>
      <c r="S70" s="17">
        <v>0.1</v>
      </c>
      <c r="T70" s="18">
        <v>815.56</v>
      </c>
    </row>
    <row r="71" spans="1:20" ht="15.6" x14ac:dyDescent="0.3">
      <c r="A71" s="19" t="s">
        <v>82</v>
      </c>
      <c r="B71" s="20">
        <v>45993</v>
      </c>
      <c r="C71" s="21">
        <v>45994</v>
      </c>
      <c r="D71" s="22" t="str">
        <f>TRIM('data cleaning'!$E71)</f>
        <v>Sean Miranda</v>
      </c>
      <c r="E71" s="23" t="s">
        <v>851</v>
      </c>
      <c r="F71" s="23" t="str">
        <f>TRIM('data cleaning'!$G71)</f>
        <v>Consumer</v>
      </c>
      <c r="G71" s="23" t="s">
        <v>1513</v>
      </c>
      <c r="H71" s="23" t="str">
        <f>TRIM('data cleaning'!$I71)</f>
        <v>North</v>
      </c>
      <c r="I71" s="23" t="s">
        <v>1516</v>
      </c>
      <c r="J71" s="23" t="str">
        <f>TRIM('data cleaning'!$K71)</f>
        <v>Furniture</v>
      </c>
      <c r="K71" s="23" t="s">
        <v>1522</v>
      </c>
      <c r="L71" s="23" t="str">
        <f>TRIM('data cleaning'!$M71)</f>
        <v>Tables</v>
      </c>
      <c r="M71" s="23" t="s">
        <v>1529</v>
      </c>
      <c r="N71" s="23" t="str">
        <f>PROPER('data cleaning'!$O71)</f>
        <v>Number Tables</v>
      </c>
      <c r="O71" s="23" t="str">
        <f>TRIM('data cleaning'!$P71)</f>
        <v>Number Tables</v>
      </c>
      <c r="P71" s="23" t="s">
        <v>1601</v>
      </c>
      <c r="Q71" s="23">
        <v>3757.67</v>
      </c>
      <c r="R71" s="23">
        <v>1</v>
      </c>
      <c r="S71" s="23">
        <v>0.1</v>
      </c>
      <c r="T71" s="24">
        <v>-288.13</v>
      </c>
    </row>
    <row r="72" spans="1:20" ht="15.6" x14ac:dyDescent="0.3">
      <c r="A72" s="13" t="s">
        <v>83</v>
      </c>
      <c r="B72" s="14">
        <v>45264</v>
      </c>
      <c r="C72" s="15">
        <v>45268</v>
      </c>
      <c r="D72" s="16" t="str">
        <f>TRIM('data cleaning'!$E72)</f>
        <v>Kelly Yoder</v>
      </c>
      <c r="E72" s="17" t="s">
        <v>852</v>
      </c>
      <c r="F72" s="17" t="str">
        <f>TRIM('data cleaning'!$G72)</f>
        <v>Corporate</v>
      </c>
      <c r="G72" s="17" t="s">
        <v>1514</v>
      </c>
      <c r="H72" s="17" t="str">
        <f>TRIM('data cleaning'!$I72)</f>
        <v>North</v>
      </c>
      <c r="I72" s="17" t="s">
        <v>1516</v>
      </c>
      <c r="J72" s="17" t="str">
        <f>TRIM('data cleaning'!$K72)</f>
        <v>Furniture</v>
      </c>
      <c r="K72" s="17" t="s">
        <v>1522</v>
      </c>
      <c r="L72" s="17" t="str">
        <f>TRIM('data cleaning'!$M72)</f>
        <v>Chairs</v>
      </c>
      <c r="M72" s="17" t="s">
        <v>1531</v>
      </c>
      <c r="N72" s="17" t="str">
        <f>PROPER('data cleaning'!$O72)</f>
        <v>Next Chairs</v>
      </c>
      <c r="O72" s="17" t="str">
        <f>TRIM('data cleaning'!$P72)</f>
        <v>Next Chairs</v>
      </c>
      <c r="P72" s="17" t="s">
        <v>1602</v>
      </c>
      <c r="Q72" s="17">
        <v>4204.18</v>
      </c>
      <c r="R72" s="17">
        <v>10</v>
      </c>
      <c r="S72" s="17">
        <v>0.05</v>
      </c>
      <c r="T72" s="18">
        <v>-289.25</v>
      </c>
    </row>
    <row r="73" spans="1:20" ht="15.6" x14ac:dyDescent="0.3">
      <c r="A73" s="19" t="s">
        <v>84</v>
      </c>
      <c r="B73" s="20">
        <v>45102</v>
      </c>
      <c r="C73" s="21">
        <v>45110</v>
      </c>
      <c r="D73" s="22" t="str">
        <f>TRIM('data cleaning'!$E73)</f>
        <v>Cristian Graham</v>
      </c>
      <c r="E73" s="23" t="s">
        <v>853</v>
      </c>
      <c r="F73" s="23" t="str">
        <f>TRIM('data cleaning'!$G73)</f>
        <v>Home Office</v>
      </c>
      <c r="G73" s="23" t="s">
        <v>1515</v>
      </c>
      <c r="H73" s="23" t="str">
        <f>TRIM('data cleaning'!$I73)</f>
        <v>North</v>
      </c>
      <c r="I73" s="23" t="s">
        <v>1516</v>
      </c>
      <c r="J73" s="23" t="str">
        <f>TRIM('data cleaning'!$K73)</f>
        <v>Office Supplies</v>
      </c>
      <c r="K73" s="23" t="s">
        <v>1520</v>
      </c>
      <c r="L73" s="23" t="str">
        <f>TRIM('data cleaning'!$M73)</f>
        <v>Binders</v>
      </c>
      <c r="M73" s="23" t="s">
        <v>1523</v>
      </c>
      <c r="N73" s="23" t="str">
        <f>PROPER('data cleaning'!$O73)</f>
        <v>Back Binders</v>
      </c>
      <c r="O73" s="23" t="str">
        <f>TRIM('data cleaning'!$P73)</f>
        <v>Back Binders</v>
      </c>
      <c r="P73" s="23" t="s">
        <v>1603</v>
      </c>
      <c r="Q73" s="23">
        <v>3512.35</v>
      </c>
      <c r="R73" s="23">
        <v>6</v>
      </c>
      <c r="S73" s="23">
        <v>0.05</v>
      </c>
      <c r="T73" s="24">
        <v>467.99</v>
      </c>
    </row>
    <row r="74" spans="1:20" ht="15.6" x14ac:dyDescent="0.3">
      <c r="A74" s="13" t="s">
        <v>85</v>
      </c>
      <c r="B74" s="14">
        <v>45081</v>
      </c>
      <c r="C74" s="15">
        <v>45083</v>
      </c>
      <c r="D74" s="16" t="str">
        <f>TRIM('data cleaning'!$E74)</f>
        <v>Patricia Rojas</v>
      </c>
      <c r="E74" s="17" t="s">
        <v>854</v>
      </c>
      <c r="F74" s="17" t="str">
        <f>TRIM('data cleaning'!$G74)</f>
        <v>Corporate</v>
      </c>
      <c r="G74" s="17" t="s">
        <v>1514</v>
      </c>
      <c r="H74" s="17" t="str">
        <f>TRIM('data cleaning'!$I74)</f>
        <v>West</v>
      </c>
      <c r="I74" s="17" t="s">
        <v>1518</v>
      </c>
      <c r="J74" s="17" t="str">
        <f>TRIM('data cleaning'!$K74)</f>
        <v>Furniture</v>
      </c>
      <c r="K74" s="17" t="s">
        <v>1522</v>
      </c>
      <c r="L74" s="17" t="str">
        <f>TRIM('data cleaning'!$M74)</f>
        <v>Tables</v>
      </c>
      <c r="M74" s="17" t="s">
        <v>1529</v>
      </c>
      <c r="N74" s="17" t="str">
        <f>PROPER('data cleaning'!$O74)</f>
        <v>Despite Tables</v>
      </c>
      <c r="O74" s="17" t="str">
        <f>TRIM('data cleaning'!$P74)</f>
        <v>Despite Tables</v>
      </c>
      <c r="P74" s="17" t="s">
        <v>1604</v>
      </c>
      <c r="Q74" s="17">
        <v>2914.49</v>
      </c>
      <c r="R74" s="17">
        <v>5</v>
      </c>
      <c r="S74" s="17">
        <v>0.2</v>
      </c>
      <c r="T74" s="18">
        <v>502.87</v>
      </c>
    </row>
    <row r="75" spans="1:20" ht="15.6" x14ac:dyDescent="0.3">
      <c r="A75" s="19" t="s">
        <v>86</v>
      </c>
      <c r="B75" s="20">
        <v>45992</v>
      </c>
      <c r="C75" s="21">
        <v>45994</v>
      </c>
      <c r="D75" s="22" t="str">
        <f>TRIM('data cleaning'!$E75)</f>
        <v>Elizabeth Martin</v>
      </c>
      <c r="E75" s="23" t="s">
        <v>855</v>
      </c>
      <c r="F75" s="23" t="str">
        <f>TRIM('data cleaning'!$G75)</f>
        <v>Corporate</v>
      </c>
      <c r="G75" s="23" t="s">
        <v>1514</v>
      </c>
      <c r="H75" s="23" t="str">
        <f>TRIM('data cleaning'!$I75)</f>
        <v>North</v>
      </c>
      <c r="I75" s="23" t="s">
        <v>1516</v>
      </c>
      <c r="J75" s="23" t="str">
        <f>TRIM('data cleaning'!$K75)</f>
        <v>Office Supplies</v>
      </c>
      <c r="K75" s="23" t="s">
        <v>1520</v>
      </c>
      <c r="L75" s="23" t="str">
        <f>TRIM('data cleaning'!$M75)</f>
        <v>Binders</v>
      </c>
      <c r="M75" s="23" t="s">
        <v>1523</v>
      </c>
      <c r="N75" s="23" t="str">
        <f>PROPER('data cleaning'!$O75)</f>
        <v>Generation Binders</v>
      </c>
      <c r="O75" s="23" t="str">
        <f>TRIM('data cleaning'!$P75)</f>
        <v>Generation Binders</v>
      </c>
      <c r="P75" s="23" t="s">
        <v>1605</v>
      </c>
      <c r="Q75" s="23">
        <v>2980.88</v>
      </c>
      <c r="R75" s="23">
        <v>4</v>
      </c>
      <c r="S75" s="23">
        <v>0</v>
      </c>
      <c r="T75" s="24">
        <v>546.86</v>
      </c>
    </row>
    <row r="76" spans="1:20" ht="15.6" x14ac:dyDescent="0.3">
      <c r="A76" s="13" t="s">
        <v>87</v>
      </c>
      <c r="B76" s="14">
        <v>45071</v>
      </c>
      <c r="C76" s="15">
        <v>45077</v>
      </c>
      <c r="D76" s="16" t="str">
        <f>TRIM('data cleaning'!$E76)</f>
        <v>Mr. Nicholas Fischer III</v>
      </c>
      <c r="E76" s="17" t="s">
        <v>856</v>
      </c>
      <c r="F76" s="17" t="str">
        <f>TRIM('data cleaning'!$G76)</f>
        <v>Corporate</v>
      </c>
      <c r="G76" s="17" t="s">
        <v>1514</v>
      </c>
      <c r="H76" s="17" t="str">
        <f>TRIM('data cleaning'!$I76)</f>
        <v>North</v>
      </c>
      <c r="I76" s="17" t="s">
        <v>1516</v>
      </c>
      <c r="J76" s="17" t="str">
        <f>TRIM('data cleaning'!$K76)</f>
        <v>Office Supplies</v>
      </c>
      <c r="K76" s="17" t="s">
        <v>1520</v>
      </c>
      <c r="L76" s="17" t="str">
        <f>TRIM('data cleaning'!$M76)</f>
        <v>Binders</v>
      </c>
      <c r="M76" s="17" t="s">
        <v>1523</v>
      </c>
      <c r="N76" s="17" t="str">
        <f>PROPER('data cleaning'!$O76)</f>
        <v>Whose Binders</v>
      </c>
      <c r="O76" s="17" t="str">
        <f>TRIM('data cleaning'!$P76)</f>
        <v>Whose Binders</v>
      </c>
      <c r="P76" s="17" t="s">
        <v>1606</v>
      </c>
      <c r="Q76" s="17">
        <v>2687.09</v>
      </c>
      <c r="R76" s="17">
        <v>6</v>
      </c>
      <c r="S76" s="17">
        <v>0</v>
      </c>
      <c r="T76" s="18">
        <v>210.34</v>
      </c>
    </row>
    <row r="77" spans="1:20" ht="15.6" x14ac:dyDescent="0.3">
      <c r="A77" s="19" t="s">
        <v>88</v>
      </c>
      <c r="B77" s="20">
        <v>45370</v>
      </c>
      <c r="C77" s="21">
        <v>45372</v>
      </c>
      <c r="D77" s="22" t="str">
        <f>TRIM('data cleaning'!$E77)</f>
        <v>Michael Whitney</v>
      </c>
      <c r="E77" s="23" t="s">
        <v>857</v>
      </c>
      <c r="F77" s="23" t="str">
        <f>TRIM('data cleaning'!$G77)</f>
        <v>Corporate</v>
      </c>
      <c r="G77" s="23" t="s">
        <v>1514</v>
      </c>
      <c r="H77" s="23" t="str">
        <f>TRIM('data cleaning'!$I77)</f>
        <v>South</v>
      </c>
      <c r="I77" s="23" t="s">
        <v>1517</v>
      </c>
      <c r="J77" s="23" t="str">
        <f>TRIM('data cleaning'!$K77)</f>
        <v>Technology</v>
      </c>
      <c r="K77" s="23" t="s">
        <v>1521</v>
      </c>
      <c r="L77" s="23" t="str">
        <f>TRIM('data cleaning'!$M77)</f>
        <v>Accessories</v>
      </c>
      <c r="M77" s="23" t="s">
        <v>1526</v>
      </c>
      <c r="N77" s="23" t="str">
        <f>PROPER('data cleaning'!$O77)</f>
        <v>Give Accessories</v>
      </c>
      <c r="O77" s="23" t="str">
        <f>TRIM('data cleaning'!$P77)</f>
        <v>Give Accessories</v>
      </c>
      <c r="P77" s="23" t="s">
        <v>1607</v>
      </c>
      <c r="Q77" s="23">
        <v>2195.94</v>
      </c>
      <c r="R77" s="23">
        <v>6</v>
      </c>
      <c r="S77" s="23"/>
      <c r="T77" s="24">
        <v>637.63</v>
      </c>
    </row>
    <row r="78" spans="1:20" ht="15.6" x14ac:dyDescent="0.3">
      <c r="A78" s="13" t="s">
        <v>89</v>
      </c>
      <c r="B78" s="14" t="s">
        <v>765</v>
      </c>
      <c r="C78" s="15">
        <v>45195</v>
      </c>
      <c r="D78" s="16" t="str">
        <f>TRIM('data cleaning'!$E78)</f>
        <v>William Gonzalez</v>
      </c>
      <c r="E78" s="17" t="s">
        <v>858</v>
      </c>
      <c r="F78" s="17" t="str">
        <f>TRIM('data cleaning'!$G78)</f>
        <v>Home Office</v>
      </c>
      <c r="G78" s="17" t="s">
        <v>1515</v>
      </c>
      <c r="H78" s="17" t="str">
        <f>TRIM('data cleaning'!$I78)</f>
        <v>West</v>
      </c>
      <c r="I78" s="17" t="s">
        <v>1518</v>
      </c>
      <c r="J78" s="17" t="str">
        <f>TRIM('data cleaning'!$K78)</f>
        <v>Technology</v>
      </c>
      <c r="K78" s="17" t="s">
        <v>1521</v>
      </c>
      <c r="L78" s="17" t="str">
        <f>TRIM('data cleaning'!$M78)</f>
        <v>Phones</v>
      </c>
      <c r="M78" s="17" t="s">
        <v>1530</v>
      </c>
      <c r="N78" s="17" t="str">
        <f>PROPER('data cleaning'!$O78)</f>
        <v>Type Phones</v>
      </c>
      <c r="O78" s="17" t="str">
        <f>TRIM('data cleaning'!$P78)</f>
        <v>Type Phones</v>
      </c>
      <c r="P78" s="17" t="s">
        <v>1608</v>
      </c>
      <c r="Q78" s="17">
        <v>4829.09</v>
      </c>
      <c r="R78" s="17">
        <v>5</v>
      </c>
      <c r="S78" s="17">
        <v>0.2</v>
      </c>
      <c r="T78" s="18">
        <v>1180.76</v>
      </c>
    </row>
    <row r="79" spans="1:20" ht="15.6" x14ac:dyDescent="0.3">
      <c r="A79" s="19" t="s">
        <v>90</v>
      </c>
      <c r="B79" s="20">
        <v>45614</v>
      </c>
      <c r="C79" s="21">
        <v>45624</v>
      </c>
      <c r="D79" s="22" t="str">
        <f>TRIM('data cleaning'!$E79)</f>
        <v>Gabriel Daniels</v>
      </c>
      <c r="E79" s="23" t="s">
        <v>859</v>
      </c>
      <c r="F79" s="23" t="str">
        <f>TRIM('data cleaning'!$G79)</f>
        <v>Corporate</v>
      </c>
      <c r="G79" s="23" t="s">
        <v>1514</v>
      </c>
      <c r="H79" s="23" t="str">
        <f>TRIM('data cleaning'!$I79)</f>
        <v>South</v>
      </c>
      <c r="I79" s="23" t="s">
        <v>1517</v>
      </c>
      <c r="J79" s="23" t="str">
        <f>TRIM('data cleaning'!$K79)</f>
        <v>Technology</v>
      </c>
      <c r="K79" s="23" t="s">
        <v>1521</v>
      </c>
      <c r="L79" s="23" t="str">
        <f>TRIM('data cleaning'!$M79)</f>
        <v>Accessories</v>
      </c>
      <c r="M79" s="23" t="s">
        <v>1526</v>
      </c>
      <c r="N79" s="23" t="str">
        <f>PROPER('data cleaning'!$O79)</f>
        <v>Theory Accessories</v>
      </c>
      <c r="O79" s="23" t="str">
        <f>TRIM('data cleaning'!$P79)</f>
        <v>Theory Accessories</v>
      </c>
      <c r="P79" s="23" t="s">
        <v>1609</v>
      </c>
      <c r="Q79" s="23">
        <v>1378.56</v>
      </c>
      <c r="R79" s="23">
        <v>4</v>
      </c>
      <c r="S79" s="23">
        <v>0</v>
      </c>
      <c r="T79" s="24">
        <v>-64.23</v>
      </c>
    </row>
    <row r="80" spans="1:20" ht="15.6" x14ac:dyDescent="0.3">
      <c r="A80" s="13" t="s">
        <v>91</v>
      </c>
      <c r="B80" s="14">
        <v>45551</v>
      </c>
      <c r="C80" s="15">
        <v>45561</v>
      </c>
      <c r="D80" s="16" t="str">
        <f>TRIM('data cleaning'!$E80)</f>
        <v>Monica Price</v>
      </c>
      <c r="E80" s="17" t="s">
        <v>860</v>
      </c>
      <c r="F80" s="17" t="str">
        <f>TRIM('data cleaning'!$G80)</f>
        <v>Corporate</v>
      </c>
      <c r="G80" s="17" t="s">
        <v>1514</v>
      </c>
      <c r="H80" s="17" t="str">
        <f>TRIM('data cleaning'!$I80)</f>
        <v>South</v>
      </c>
      <c r="I80" s="17" t="s">
        <v>1517</v>
      </c>
      <c r="J80" s="17" t="str">
        <f>TRIM('data cleaning'!$K80)</f>
        <v>Technology</v>
      </c>
      <c r="K80" s="17" t="s">
        <v>1521</v>
      </c>
      <c r="L80" s="17" t="str">
        <f>TRIM('data cleaning'!$M80)</f>
        <v>Laptops</v>
      </c>
      <c r="M80" s="17" t="s">
        <v>1528</v>
      </c>
      <c r="N80" s="17" t="str">
        <f>PROPER('data cleaning'!$O80)</f>
        <v>While Laptops</v>
      </c>
      <c r="O80" s="17" t="str">
        <f>TRIM('data cleaning'!$P80)</f>
        <v>While Laptops</v>
      </c>
      <c r="P80" s="17" t="s">
        <v>1610</v>
      </c>
      <c r="Q80" s="17">
        <v>3357.53</v>
      </c>
      <c r="R80" s="17">
        <v>6</v>
      </c>
      <c r="S80" s="17">
        <v>0</v>
      </c>
      <c r="T80" s="18">
        <v>241.3</v>
      </c>
    </row>
    <row r="81" spans="1:20" ht="15.6" x14ac:dyDescent="0.3">
      <c r="A81" s="19" t="s">
        <v>92</v>
      </c>
      <c r="B81" s="20">
        <v>45485</v>
      </c>
      <c r="C81" s="21">
        <v>45491</v>
      </c>
      <c r="D81" s="22" t="str">
        <f>TRIM('data cleaning'!$E81)</f>
        <v>Christine Wood</v>
      </c>
      <c r="E81" s="23" t="s">
        <v>861</v>
      </c>
      <c r="F81" s="23" t="str">
        <f>TRIM('data cleaning'!$G81)</f>
        <v>Home Office</v>
      </c>
      <c r="G81" s="23" t="s">
        <v>1515</v>
      </c>
      <c r="H81" s="23" t="str">
        <f>TRIM('data cleaning'!$I81)</f>
        <v>East</v>
      </c>
      <c r="I81" s="23" t="s">
        <v>1519</v>
      </c>
      <c r="J81" s="23" t="str">
        <f>TRIM('data cleaning'!$K81)</f>
        <v>Technology</v>
      </c>
      <c r="K81" s="23" t="s">
        <v>1521</v>
      </c>
      <c r="L81" s="23" t="str">
        <f>TRIM('data cleaning'!$M81)</f>
        <v>Phones</v>
      </c>
      <c r="M81" s="23" t="s">
        <v>1530</v>
      </c>
      <c r="N81" s="23" t="str">
        <f>PROPER('data cleaning'!$O81)</f>
        <v>Wrong Phones</v>
      </c>
      <c r="O81" s="23" t="str">
        <f>TRIM('data cleaning'!$P81)</f>
        <v>Wrong Phones</v>
      </c>
      <c r="P81" s="23" t="s">
        <v>1611</v>
      </c>
      <c r="Q81" s="23">
        <v>3999.27</v>
      </c>
      <c r="R81" s="23">
        <v>6</v>
      </c>
      <c r="S81" s="23">
        <v>0.1</v>
      </c>
      <c r="T81" s="24">
        <v>1136.5</v>
      </c>
    </row>
    <row r="82" spans="1:20" ht="15.6" x14ac:dyDescent="0.3">
      <c r="A82" s="13" t="s">
        <v>93</v>
      </c>
      <c r="B82" s="14">
        <v>45493</v>
      </c>
      <c r="C82" s="15">
        <v>45502</v>
      </c>
      <c r="D82" s="16" t="str">
        <f>TRIM('data cleaning'!$E82)</f>
        <v>Christopher Becker</v>
      </c>
      <c r="E82" s="17" t="s">
        <v>862</v>
      </c>
      <c r="F82" s="17" t="str">
        <f>TRIM('data cleaning'!$G82)</f>
        <v>Corporate</v>
      </c>
      <c r="G82" s="17" t="s">
        <v>1514</v>
      </c>
      <c r="H82" s="17" t="str">
        <f>TRIM('data cleaning'!$I82)</f>
        <v>South</v>
      </c>
      <c r="I82" s="17" t="s">
        <v>1517</v>
      </c>
      <c r="J82" s="17" t="str">
        <f>TRIM('data cleaning'!$K82)</f>
        <v>Office Supplies</v>
      </c>
      <c r="K82" s="17" t="s">
        <v>1520</v>
      </c>
      <c r="L82" s="17" t="str">
        <f>TRIM('data cleaning'!$M82)</f>
        <v>Binders</v>
      </c>
      <c r="M82" s="17" t="s">
        <v>1523</v>
      </c>
      <c r="N82" s="17" t="str">
        <f>PROPER('data cleaning'!$O82)</f>
        <v>It Binders</v>
      </c>
      <c r="O82" s="17" t="str">
        <f>TRIM('data cleaning'!$P82)</f>
        <v>It Binders</v>
      </c>
      <c r="P82" s="17" t="s">
        <v>1612</v>
      </c>
      <c r="Q82" s="17">
        <v>4742.91</v>
      </c>
      <c r="R82" s="17">
        <v>2</v>
      </c>
      <c r="S82" s="17">
        <v>0.05</v>
      </c>
      <c r="T82" s="18">
        <v>929.81</v>
      </c>
    </row>
    <row r="83" spans="1:20" ht="15.6" x14ac:dyDescent="0.3">
      <c r="A83" s="19" t="s">
        <v>94</v>
      </c>
      <c r="B83" s="20">
        <v>45411</v>
      </c>
      <c r="C83" s="21">
        <v>45419</v>
      </c>
      <c r="D83" s="22" t="str">
        <f>TRIM('data cleaning'!$E83)</f>
        <v>Brandon Barker</v>
      </c>
      <c r="E83" s="23" t="s">
        <v>863</v>
      </c>
      <c r="F83" s="23" t="str">
        <f>TRIM('data cleaning'!$G83)</f>
        <v>Corporate</v>
      </c>
      <c r="G83" s="23" t="s">
        <v>1514</v>
      </c>
      <c r="H83" s="23" t="str">
        <f>TRIM('data cleaning'!$I83)</f>
        <v>South</v>
      </c>
      <c r="I83" s="23" t="s">
        <v>1517</v>
      </c>
      <c r="J83" s="23" t="str">
        <f>TRIM('data cleaning'!$K83)</f>
        <v>Office Supplies</v>
      </c>
      <c r="K83" s="23" t="s">
        <v>1520</v>
      </c>
      <c r="L83" s="23" t="str">
        <f>TRIM('data cleaning'!$M83)</f>
        <v>Paper</v>
      </c>
      <c r="M83" s="23" t="s">
        <v>1524</v>
      </c>
      <c r="N83" s="23" t="str">
        <f>PROPER('data cleaning'!$O83)</f>
        <v>Everybody Paper</v>
      </c>
      <c r="O83" s="23" t="str">
        <f>TRIM('data cleaning'!$P83)</f>
        <v>Everybody Paper</v>
      </c>
      <c r="P83" s="23" t="s">
        <v>1613</v>
      </c>
      <c r="Q83" s="23">
        <v>2268.46</v>
      </c>
      <c r="R83" s="23">
        <v>1</v>
      </c>
      <c r="S83" s="23">
        <v>0</v>
      </c>
      <c r="T83" s="24">
        <v>-86.59</v>
      </c>
    </row>
    <row r="84" spans="1:20" ht="15.6" x14ac:dyDescent="0.3">
      <c r="A84" s="13" t="s">
        <v>95</v>
      </c>
      <c r="B84" s="14">
        <v>45827</v>
      </c>
      <c r="C84" s="15">
        <v>45837</v>
      </c>
      <c r="D84" s="16" t="str">
        <f>TRIM('data cleaning'!$E84)</f>
        <v>Teresa Velazquez</v>
      </c>
      <c r="E84" s="17" t="s">
        <v>864</v>
      </c>
      <c r="F84" s="17" t="str">
        <f>TRIM('data cleaning'!$G84)</f>
        <v>Home Office</v>
      </c>
      <c r="G84" s="17" t="s">
        <v>1515</v>
      </c>
      <c r="H84" s="17" t="str">
        <f>TRIM('data cleaning'!$I84)</f>
        <v>East</v>
      </c>
      <c r="I84" s="17" t="s">
        <v>1519</v>
      </c>
      <c r="J84" s="17" t="str">
        <f>TRIM('data cleaning'!$K84)</f>
        <v>Technology</v>
      </c>
      <c r="K84" s="17" t="s">
        <v>1521</v>
      </c>
      <c r="L84" s="17" t="str">
        <f>TRIM('data cleaning'!$M84)</f>
        <v>Laptops</v>
      </c>
      <c r="M84" s="17" t="s">
        <v>1528</v>
      </c>
      <c r="N84" s="17" t="str">
        <f>PROPER('data cleaning'!$O84)</f>
        <v>Power Laptops</v>
      </c>
      <c r="O84" s="17" t="str">
        <f>TRIM('data cleaning'!$P84)</f>
        <v>Power Laptops</v>
      </c>
      <c r="P84" s="17" t="s">
        <v>1614</v>
      </c>
      <c r="Q84" s="17">
        <v>1876.65</v>
      </c>
      <c r="R84" s="17">
        <v>9</v>
      </c>
      <c r="S84" s="17">
        <v>0.2</v>
      </c>
      <c r="T84" s="18">
        <v>-20.52</v>
      </c>
    </row>
    <row r="85" spans="1:20" ht="15.6" x14ac:dyDescent="0.3">
      <c r="A85" s="19" t="s">
        <v>96</v>
      </c>
      <c r="B85" s="20">
        <v>45676</v>
      </c>
      <c r="C85" s="21">
        <v>45684</v>
      </c>
      <c r="D85" s="22" t="str">
        <f>TRIM('data cleaning'!$E85)</f>
        <v>Kristen Payne</v>
      </c>
      <c r="E85" s="23" t="s">
        <v>865</v>
      </c>
      <c r="F85" s="23" t="str">
        <f>TRIM('data cleaning'!$G85)</f>
        <v>Consumer</v>
      </c>
      <c r="G85" s="23" t="s">
        <v>1513</v>
      </c>
      <c r="H85" s="23" t="str">
        <f>TRIM('data cleaning'!$I85)</f>
        <v>East</v>
      </c>
      <c r="I85" s="23" t="s">
        <v>1519</v>
      </c>
      <c r="J85" s="23" t="str">
        <f>TRIM('data cleaning'!$K85)</f>
        <v>Technology</v>
      </c>
      <c r="K85" s="23" t="s">
        <v>1521</v>
      </c>
      <c r="L85" s="23" t="str">
        <f>TRIM('data cleaning'!$M85)</f>
        <v>Laptops</v>
      </c>
      <c r="M85" s="23" t="s">
        <v>1528</v>
      </c>
      <c r="N85" s="23" t="str">
        <f>PROPER('data cleaning'!$O85)</f>
        <v>Small Laptops</v>
      </c>
      <c r="O85" s="23" t="str">
        <f>TRIM('data cleaning'!$P85)</f>
        <v>Small Laptops</v>
      </c>
      <c r="P85" s="23" t="s">
        <v>1615</v>
      </c>
      <c r="Q85" s="23">
        <v>1391.04</v>
      </c>
      <c r="R85" s="23">
        <v>5</v>
      </c>
      <c r="S85" s="23">
        <v>0.05</v>
      </c>
      <c r="T85" s="24">
        <v>-185.9</v>
      </c>
    </row>
    <row r="86" spans="1:20" ht="15.6" x14ac:dyDescent="0.3">
      <c r="A86" s="13" t="s">
        <v>97</v>
      </c>
      <c r="B86" s="14">
        <v>45138</v>
      </c>
      <c r="C86" s="15">
        <v>45147</v>
      </c>
      <c r="D86" s="16" t="str">
        <f>TRIM('data cleaning'!$E86)</f>
        <v>Brittany Bradley</v>
      </c>
      <c r="E86" s="17" t="s">
        <v>866</v>
      </c>
      <c r="F86" s="17" t="str">
        <f>TRIM('data cleaning'!$G86)</f>
        <v>Corporate</v>
      </c>
      <c r="G86" s="17" t="s">
        <v>1514</v>
      </c>
      <c r="H86" s="17" t="str">
        <f>TRIM('data cleaning'!$I86)</f>
        <v>East</v>
      </c>
      <c r="I86" s="17" t="s">
        <v>1519</v>
      </c>
      <c r="J86" s="17" t="str">
        <f>TRIM('data cleaning'!$K86)</f>
        <v>Furniture</v>
      </c>
      <c r="K86" s="17" t="s">
        <v>1522</v>
      </c>
      <c r="L86" s="17" t="str">
        <f>TRIM('data cleaning'!$M86)</f>
        <v>Bookcases</v>
      </c>
      <c r="M86" s="17" t="s">
        <v>1527</v>
      </c>
      <c r="N86" s="17" t="str">
        <f>PROPER('data cleaning'!$O86)</f>
        <v>Adult Bookcases</v>
      </c>
      <c r="O86" s="17" t="str">
        <f>TRIM('data cleaning'!$P86)</f>
        <v>Adult Bookcases</v>
      </c>
      <c r="P86" s="17" t="s">
        <v>1616</v>
      </c>
      <c r="Q86" s="17">
        <v>4756.84</v>
      </c>
      <c r="R86" s="17">
        <v>3</v>
      </c>
      <c r="S86" s="17">
        <v>0.05</v>
      </c>
      <c r="T86" s="18">
        <v>-385.25</v>
      </c>
    </row>
    <row r="87" spans="1:20" ht="15.6" x14ac:dyDescent="0.3">
      <c r="A87" s="19" t="s">
        <v>98</v>
      </c>
      <c r="B87" s="20">
        <v>45760</v>
      </c>
      <c r="C87" s="21">
        <v>45769</v>
      </c>
      <c r="D87" s="22" t="str">
        <f>TRIM('data cleaning'!$E87)</f>
        <v>Christy Harris</v>
      </c>
      <c r="E87" s="23" t="s">
        <v>867</v>
      </c>
      <c r="F87" s="23" t="str">
        <f>TRIM('data cleaning'!$G87)</f>
        <v>Corporate</v>
      </c>
      <c r="G87" s="23" t="s">
        <v>1514</v>
      </c>
      <c r="H87" s="23" t="str">
        <f>TRIM('data cleaning'!$I87)</f>
        <v>South</v>
      </c>
      <c r="I87" s="23" t="s">
        <v>1517</v>
      </c>
      <c r="J87" s="23" t="str">
        <f>TRIM('data cleaning'!$K87)</f>
        <v>Office Supplies</v>
      </c>
      <c r="K87" s="23" t="s">
        <v>1520</v>
      </c>
      <c r="L87" s="23" t="str">
        <f>TRIM('data cleaning'!$M87)</f>
        <v>Storage</v>
      </c>
      <c r="M87" s="23" t="s">
        <v>1525</v>
      </c>
      <c r="N87" s="23" t="str">
        <f>PROPER('data cleaning'!$O87)</f>
        <v>Fear Storage</v>
      </c>
      <c r="O87" s="23" t="str">
        <f>TRIM('data cleaning'!$P87)</f>
        <v>Fear Storage</v>
      </c>
      <c r="P87" s="23" t="s">
        <v>1617</v>
      </c>
      <c r="Q87" s="23">
        <v>3004.11</v>
      </c>
      <c r="R87" s="23">
        <v>2</v>
      </c>
      <c r="S87" s="23">
        <v>0.05</v>
      </c>
      <c r="T87" s="24">
        <v>-111.35</v>
      </c>
    </row>
    <row r="88" spans="1:20" ht="15.6" x14ac:dyDescent="0.3">
      <c r="A88" s="13" t="s">
        <v>99</v>
      </c>
      <c r="B88" s="14">
        <v>45796</v>
      </c>
      <c r="C88" s="15">
        <v>45805</v>
      </c>
      <c r="D88" s="16" t="str">
        <f>TRIM('data cleaning'!$E88)</f>
        <v>Jeremy Hood</v>
      </c>
      <c r="E88" s="17" t="s">
        <v>868</v>
      </c>
      <c r="F88" s="17" t="str">
        <f>TRIM('data cleaning'!$G88)</f>
        <v>Home Office</v>
      </c>
      <c r="G88" s="17" t="s">
        <v>1515</v>
      </c>
      <c r="H88" s="17" t="str">
        <f>TRIM('data cleaning'!$I88)</f>
        <v>South</v>
      </c>
      <c r="I88" s="17" t="s">
        <v>1517</v>
      </c>
      <c r="J88" s="17" t="str">
        <f>TRIM('data cleaning'!$K88)</f>
        <v>Technology</v>
      </c>
      <c r="K88" s="17" t="s">
        <v>1521</v>
      </c>
      <c r="L88" s="17" t="str">
        <f>TRIM('data cleaning'!$M88)</f>
        <v>Phones</v>
      </c>
      <c r="M88" s="17" t="s">
        <v>1530</v>
      </c>
      <c r="N88" s="17" t="str">
        <f>PROPER('data cleaning'!$O88)</f>
        <v>Drug Phones</v>
      </c>
      <c r="O88" s="17" t="str">
        <f>TRIM('data cleaning'!$P88)</f>
        <v>Drug Phones</v>
      </c>
      <c r="P88" s="17" t="s">
        <v>1618</v>
      </c>
      <c r="Q88" s="17">
        <v>676.59</v>
      </c>
      <c r="R88" s="17">
        <v>1</v>
      </c>
      <c r="S88" s="17">
        <v>0</v>
      </c>
      <c r="T88" s="18">
        <v>70.599999999999994</v>
      </c>
    </row>
    <row r="89" spans="1:20" ht="15.6" x14ac:dyDescent="0.3">
      <c r="A89" s="19" t="s">
        <v>100</v>
      </c>
      <c r="B89" s="20">
        <v>46021</v>
      </c>
      <c r="C89" s="21">
        <v>46023</v>
      </c>
      <c r="D89" s="22" t="str">
        <f>TRIM('data cleaning'!$E89)</f>
        <v>Daniel Clark</v>
      </c>
      <c r="E89" s="23" t="s">
        <v>869</v>
      </c>
      <c r="F89" s="23" t="str">
        <f>TRIM('data cleaning'!$G89)</f>
        <v>Corporate</v>
      </c>
      <c r="G89" s="23" t="s">
        <v>1514</v>
      </c>
      <c r="H89" s="23" t="str">
        <f>TRIM('data cleaning'!$I89)</f>
        <v>East</v>
      </c>
      <c r="I89" s="23" t="s">
        <v>1519</v>
      </c>
      <c r="J89" s="23" t="str">
        <f>TRIM('data cleaning'!$K89)</f>
        <v>Office Supplies</v>
      </c>
      <c r="K89" s="23" t="s">
        <v>1520</v>
      </c>
      <c r="L89" s="23" t="str">
        <f>TRIM('data cleaning'!$M89)</f>
        <v>Paper</v>
      </c>
      <c r="M89" s="23" t="s">
        <v>1524</v>
      </c>
      <c r="N89" s="23" t="str">
        <f>PROPER('data cleaning'!$O89)</f>
        <v>Since Paper</v>
      </c>
      <c r="O89" s="23" t="str">
        <f>TRIM('data cleaning'!$P89)</f>
        <v>Since Paper</v>
      </c>
      <c r="P89" s="23" t="s">
        <v>1619</v>
      </c>
      <c r="Q89" s="23">
        <v>4369.96</v>
      </c>
      <c r="R89" s="23">
        <v>10</v>
      </c>
      <c r="S89" s="23">
        <v>0.1</v>
      </c>
      <c r="T89" s="24">
        <v>254.19</v>
      </c>
    </row>
    <row r="90" spans="1:20" ht="15.6" x14ac:dyDescent="0.3">
      <c r="A90" s="13" t="s">
        <v>101</v>
      </c>
      <c r="B90" s="14">
        <v>45878</v>
      </c>
      <c r="C90" s="15">
        <v>45883</v>
      </c>
      <c r="D90" s="16" t="str">
        <f>TRIM('data cleaning'!$E90)</f>
        <v>Jill Ayers</v>
      </c>
      <c r="E90" s="17" t="s">
        <v>870</v>
      </c>
      <c r="F90" s="17" t="str">
        <f>TRIM('data cleaning'!$G90)</f>
        <v>Corporate</v>
      </c>
      <c r="G90" s="17" t="s">
        <v>1514</v>
      </c>
      <c r="H90" s="17" t="str">
        <f>TRIM('data cleaning'!$I90)</f>
        <v>West</v>
      </c>
      <c r="I90" s="17" t="s">
        <v>1518</v>
      </c>
      <c r="J90" s="17" t="str">
        <f>TRIM('data cleaning'!$K90)</f>
        <v>Furniture</v>
      </c>
      <c r="K90" s="17" t="s">
        <v>1522</v>
      </c>
      <c r="L90" s="17" t="str">
        <f>TRIM('data cleaning'!$M90)</f>
        <v>Chairs</v>
      </c>
      <c r="M90" s="17" t="s">
        <v>1531</v>
      </c>
      <c r="N90" s="17" t="str">
        <f>PROPER('data cleaning'!$O90)</f>
        <v>Third Chairs</v>
      </c>
      <c r="O90" s="17" t="str">
        <f>TRIM('data cleaning'!$P90)</f>
        <v>Third Chairs</v>
      </c>
      <c r="P90" s="17" t="s">
        <v>1620</v>
      </c>
      <c r="Q90" s="17">
        <v>4708.26</v>
      </c>
      <c r="R90" s="17">
        <v>8</v>
      </c>
      <c r="S90" s="17">
        <v>0</v>
      </c>
      <c r="T90" s="18">
        <v>1187.25</v>
      </c>
    </row>
    <row r="91" spans="1:20" ht="15.6" x14ac:dyDescent="0.3">
      <c r="A91" s="19" t="s">
        <v>102</v>
      </c>
      <c r="B91" s="20">
        <v>45423</v>
      </c>
      <c r="C91" s="21">
        <v>45424</v>
      </c>
      <c r="D91" s="22" t="str">
        <f>TRIM('data cleaning'!$E91)</f>
        <v>Ryan Moss</v>
      </c>
      <c r="E91" s="23" t="s">
        <v>871</v>
      </c>
      <c r="F91" s="23" t="str">
        <f>TRIM('data cleaning'!$G91)</f>
        <v>Consumer</v>
      </c>
      <c r="G91" s="23" t="s">
        <v>1513</v>
      </c>
      <c r="H91" s="23" t="str">
        <f>TRIM('data cleaning'!$I91)</f>
        <v>North</v>
      </c>
      <c r="I91" s="23" t="s">
        <v>1516</v>
      </c>
      <c r="J91" s="23" t="str">
        <f>TRIM('data cleaning'!$K91)</f>
        <v>Furniture</v>
      </c>
      <c r="K91" s="23" t="s">
        <v>1522</v>
      </c>
      <c r="L91" s="23" t="str">
        <f>TRIM('data cleaning'!$M91)</f>
        <v>Bookcases</v>
      </c>
      <c r="M91" s="23" t="s">
        <v>1527</v>
      </c>
      <c r="N91" s="23" t="str">
        <f>PROPER('data cleaning'!$O91)</f>
        <v>Else Bookcases</v>
      </c>
      <c r="O91" s="23" t="str">
        <f>TRIM('data cleaning'!$P91)</f>
        <v>Else Bookcases</v>
      </c>
      <c r="P91" s="23" t="s">
        <v>1621</v>
      </c>
      <c r="Q91" s="23">
        <v>801.05</v>
      </c>
      <c r="R91" s="23">
        <v>10</v>
      </c>
      <c r="S91" s="23">
        <v>0.1</v>
      </c>
      <c r="T91" s="24">
        <v>-122.68</v>
      </c>
    </row>
    <row r="92" spans="1:20" ht="15.6" x14ac:dyDescent="0.3">
      <c r="A92" s="13" t="s">
        <v>103</v>
      </c>
      <c r="B92" s="14">
        <v>46054</v>
      </c>
      <c r="C92" s="15">
        <v>46064</v>
      </c>
      <c r="D92" s="16" t="str">
        <f>TRIM('data cleaning'!$E92)</f>
        <v>Douglas Becker</v>
      </c>
      <c r="E92" s="17" t="s">
        <v>872</v>
      </c>
      <c r="F92" s="17" t="str">
        <f>TRIM('data cleaning'!$G92)</f>
        <v>Corporate</v>
      </c>
      <c r="G92" s="17" t="s">
        <v>1514</v>
      </c>
      <c r="H92" s="17" t="str">
        <f>TRIM('data cleaning'!$I92)</f>
        <v>West</v>
      </c>
      <c r="I92" s="17" t="s">
        <v>1518</v>
      </c>
      <c r="J92" s="17" t="str">
        <f>TRIM('data cleaning'!$K92)</f>
        <v>Office Supplies</v>
      </c>
      <c r="K92" s="17" t="s">
        <v>1520</v>
      </c>
      <c r="L92" s="17" t="str">
        <f>TRIM('data cleaning'!$M92)</f>
        <v>Paper</v>
      </c>
      <c r="M92" s="17" t="s">
        <v>1524</v>
      </c>
      <c r="N92" s="17" t="str">
        <f>PROPER('data cleaning'!$O92)</f>
        <v>Decide Paper</v>
      </c>
      <c r="O92" s="17" t="str">
        <f>TRIM('data cleaning'!$P92)</f>
        <v>Decide Paper</v>
      </c>
      <c r="P92" s="17" t="s">
        <v>1622</v>
      </c>
      <c r="Q92" s="17">
        <v>3000.83</v>
      </c>
      <c r="R92" s="17">
        <v>10</v>
      </c>
      <c r="S92" s="17">
        <v>0.05</v>
      </c>
      <c r="T92" s="18">
        <v>680.08</v>
      </c>
    </row>
    <row r="93" spans="1:20" ht="15.6" x14ac:dyDescent="0.3">
      <c r="A93" s="19" t="s">
        <v>104</v>
      </c>
      <c r="B93" s="20">
        <v>46066</v>
      </c>
      <c r="C93" s="21">
        <v>46076</v>
      </c>
      <c r="D93" s="22" t="str">
        <f>TRIM('data cleaning'!$E93)</f>
        <v>Elizabeth Woods</v>
      </c>
      <c r="E93" s="23" t="s">
        <v>873</v>
      </c>
      <c r="F93" s="23" t="str">
        <f>TRIM('data cleaning'!$G93)</f>
        <v>Home Office</v>
      </c>
      <c r="G93" s="23" t="s">
        <v>1515</v>
      </c>
      <c r="H93" s="23" t="str">
        <f>TRIM('data cleaning'!$I93)</f>
        <v>North</v>
      </c>
      <c r="I93" s="23" t="s">
        <v>1516</v>
      </c>
      <c r="J93" s="23" t="str">
        <f>TRIM('data cleaning'!$K93)</f>
        <v>Technology</v>
      </c>
      <c r="K93" s="23" t="s">
        <v>1521</v>
      </c>
      <c r="L93" s="23" t="str">
        <f>TRIM('data cleaning'!$M93)</f>
        <v>Accessories</v>
      </c>
      <c r="M93" s="23" t="s">
        <v>1526</v>
      </c>
      <c r="N93" s="23" t="str">
        <f>PROPER('data cleaning'!$O93)</f>
        <v>Young Accessories</v>
      </c>
      <c r="O93" s="23" t="str">
        <f>TRIM('data cleaning'!$P93)</f>
        <v>Young Accessories</v>
      </c>
      <c r="P93" s="23" t="s">
        <v>1623</v>
      </c>
      <c r="Q93" s="23">
        <v>4950.6499999999996</v>
      </c>
      <c r="R93" s="23">
        <v>5</v>
      </c>
      <c r="S93" s="23">
        <v>0.2</v>
      </c>
      <c r="T93" s="24">
        <v>700.84</v>
      </c>
    </row>
    <row r="94" spans="1:20" ht="15.6" x14ac:dyDescent="0.3">
      <c r="A94" s="13" t="s">
        <v>105</v>
      </c>
      <c r="B94" s="14">
        <v>45815</v>
      </c>
      <c r="C94" s="15">
        <v>45819</v>
      </c>
      <c r="D94" s="16" t="str">
        <f>TRIM('data cleaning'!$E94)</f>
        <v>Daniel Adams</v>
      </c>
      <c r="E94" s="17" t="s">
        <v>874</v>
      </c>
      <c r="F94" s="17" t="str">
        <f>TRIM('data cleaning'!$G94)</f>
        <v>Home Office</v>
      </c>
      <c r="G94" s="17" t="s">
        <v>1515</v>
      </c>
      <c r="H94" s="17" t="str">
        <f>TRIM('data cleaning'!$I94)</f>
        <v>North</v>
      </c>
      <c r="I94" s="17" t="s">
        <v>1516</v>
      </c>
      <c r="J94" s="17" t="str">
        <f>TRIM('data cleaning'!$K94)</f>
        <v>Furniture</v>
      </c>
      <c r="K94" s="17" t="s">
        <v>1522</v>
      </c>
      <c r="L94" s="17" t="str">
        <f>TRIM('data cleaning'!$M94)</f>
        <v>Bookcases</v>
      </c>
      <c r="M94" s="17" t="s">
        <v>1527</v>
      </c>
      <c r="N94" s="17" t="str">
        <f>PROPER('data cleaning'!$O94)</f>
        <v>Soldier Bookcases</v>
      </c>
      <c r="O94" s="17" t="str">
        <f>TRIM('data cleaning'!$P94)</f>
        <v>Soldier Bookcases</v>
      </c>
      <c r="P94" s="17" t="s">
        <v>1624</v>
      </c>
      <c r="Q94" s="17">
        <v>1360</v>
      </c>
      <c r="R94" s="17">
        <v>2</v>
      </c>
      <c r="S94" s="17">
        <v>0.05</v>
      </c>
      <c r="T94" s="18">
        <v>-92.58</v>
      </c>
    </row>
    <row r="95" spans="1:20" ht="15.6" x14ac:dyDescent="0.3">
      <c r="A95" s="19" t="s">
        <v>106</v>
      </c>
      <c r="B95" s="20">
        <v>45271</v>
      </c>
      <c r="C95" s="21">
        <v>45278</v>
      </c>
      <c r="D95" s="22" t="str">
        <f>TRIM('data cleaning'!$E95)</f>
        <v>Rhonda Perez</v>
      </c>
      <c r="E95" s="23" t="s">
        <v>875</v>
      </c>
      <c r="F95" s="23" t="str">
        <f>TRIM('data cleaning'!$G95)</f>
        <v>Consumer</v>
      </c>
      <c r="G95" s="23" t="s">
        <v>1513</v>
      </c>
      <c r="H95" s="23" t="str">
        <f>TRIM('data cleaning'!$I95)</f>
        <v>East</v>
      </c>
      <c r="I95" s="23" t="s">
        <v>1519</v>
      </c>
      <c r="J95" s="23" t="str">
        <f>TRIM('data cleaning'!$K95)</f>
        <v>Furniture</v>
      </c>
      <c r="K95" s="23" t="s">
        <v>1522</v>
      </c>
      <c r="L95" s="23" t="str">
        <f>TRIM('data cleaning'!$M95)</f>
        <v>Chairs</v>
      </c>
      <c r="M95" s="23" t="s">
        <v>1531</v>
      </c>
      <c r="N95" s="23" t="str">
        <f>PROPER('data cleaning'!$O95)</f>
        <v>Forget Chairs</v>
      </c>
      <c r="O95" s="23" t="str">
        <f>TRIM('data cleaning'!$P95)</f>
        <v>Forget Chairs</v>
      </c>
      <c r="P95" s="23" t="s">
        <v>1553</v>
      </c>
      <c r="Q95" s="23">
        <v>2279.9899999999998</v>
      </c>
      <c r="R95" s="23">
        <v>10</v>
      </c>
      <c r="S95" s="23">
        <v>0.15</v>
      </c>
      <c r="T95" s="24">
        <v>-90.76</v>
      </c>
    </row>
    <row r="96" spans="1:20" ht="15.6" x14ac:dyDescent="0.3">
      <c r="A96" s="13" t="s">
        <v>107</v>
      </c>
      <c r="B96" s="14">
        <v>45871</v>
      </c>
      <c r="C96" s="15">
        <v>45879</v>
      </c>
      <c r="D96" s="16" t="str">
        <f>TRIM('data cleaning'!$E96)</f>
        <v>Amanda Watkins</v>
      </c>
      <c r="E96" s="17" t="s">
        <v>876</v>
      </c>
      <c r="F96" s="17" t="str">
        <f>TRIM('data cleaning'!$G96)</f>
        <v>Home Office</v>
      </c>
      <c r="G96" s="17" t="s">
        <v>1515</v>
      </c>
      <c r="H96" s="17" t="str">
        <f>TRIM('data cleaning'!$I96)</f>
        <v>South</v>
      </c>
      <c r="I96" s="17" t="s">
        <v>1517</v>
      </c>
      <c r="J96" s="17" t="str">
        <f>TRIM('data cleaning'!$K96)</f>
        <v>Office Supplies</v>
      </c>
      <c r="K96" s="17" t="s">
        <v>1520</v>
      </c>
      <c r="L96" s="17" t="str">
        <f>TRIM('data cleaning'!$M96)</f>
        <v>Paper</v>
      </c>
      <c r="M96" s="17" t="s">
        <v>1524</v>
      </c>
      <c r="N96" s="17" t="str">
        <f>PROPER('data cleaning'!$O96)</f>
        <v>What Paper</v>
      </c>
      <c r="O96" s="17" t="str">
        <f>TRIM('data cleaning'!$P96)</f>
        <v>What Paper</v>
      </c>
      <c r="P96" s="17" t="s">
        <v>1625</v>
      </c>
      <c r="Q96" s="17">
        <v>402.34</v>
      </c>
      <c r="R96" s="17">
        <v>4</v>
      </c>
      <c r="S96" s="17">
        <v>0.1</v>
      </c>
      <c r="T96" s="18">
        <v>93.87</v>
      </c>
    </row>
    <row r="97" spans="1:20" ht="15.6" x14ac:dyDescent="0.3">
      <c r="A97" s="19" t="s">
        <v>108</v>
      </c>
      <c r="B97" s="20" t="s">
        <v>766</v>
      </c>
      <c r="C97" s="21">
        <v>45530</v>
      </c>
      <c r="D97" s="22" t="str">
        <f>TRIM('data cleaning'!$E97)</f>
        <v>Kimberly Wood</v>
      </c>
      <c r="E97" s="23" t="s">
        <v>877</v>
      </c>
      <c r="F97" s="23" t="str">
        <f>TRIM('data cleaning'!$G97)</f>
        <v>Consumer</v>
      </c>
      <c r="G97" s="23" t="s">
        <v>1513</v>
      </c>
      <c r="H97" s="23" t="str">
        <f>TRIM('data cleaning'!$I97)</f>
        <v>North</v>
      </c>
      <c r="I97" s="23" t="s">
        <v>1516</v>
      </c>
      <c r="J97" s="23" t="str">
        <f>TRIM('data cleaning'!$K97)</f>
        <v>Technology</v>
      </c>
      <c r="K97" s="23" t="s">
        <v>1521</v>
      </c>
      <c r="L97" s="23" t="str">
        <f>TRIM('data cleaning'!$M97)</f>
        <v>Phones</v>
      </c>
      <c r="M97" s="23" t="s">
        <v>1530</v>
      </c>
      <c r="N97" s="23" t="str">
        <f>PROPER('data cleaning'!$O97)</f>
        <v>Admit Phones</v>
      </c>
      <c r="O97" s="23" t="str">
        <f>TRIM('data cleaning'!$P97)</f>
        <v>Admit Phones</v>
      </c>
      <c r="P97" s="23" t="s">
        <v>1626</v>
      </c>
      <c r="Q97" s="23">
        <v>1162.81</v>
      </c>
      <c r="R97" s="23">
        <v>3</v>
      </c>
      <c r="S97" s="23">
        <v>0.1</v>
      </c>
      <c r="T97" s="24">
        <v>296.11</v>
      </c>
    </row>
    <row r="98" spans="1:20" ht="15.6" x14ac:dyDescent="0.3">
      <c r="A98" s="13" t="s">
        <v>109</v>
      </c>
      <c r="B98" s="14">
        <v>45298</v>
      </c>
      <c r="C98" s="15">
        <v>45308</v>
      </c>
      <c r="D98" s="16" t="str">
        <f>TRIM('data cleaning'!$E98)</f>
        <v>Eric Collins</v>
      </c>
      <c r="E98" s="17" t="s">
        <v>878</v>
      </c>
      <c r="F98" s="17" t="str">
        <f>TRIM('data cleaning'!$G98)</f>
        <v>Corporate</v>
      </c>
      <c r="G98" s="17" t="s">
        <v>1514</v>
      </c>
      <c r="H98" s="17" t="str">
        <f>TRIM('data cleaning'!$I98)</f>
        <v>East</v>
      </c>
      <c r="I98" s="17" t="s">
        <v>1519</v>
      </c>
      <c r="J98" s="17" t="str">
        <f>TRIM('data cleaning'!$K98)</f>
        <v>Furniture</v>
      </c>
      <c r="K98" s="17" t="s">
        <v>1522</v>
      </c>
      <c r="L98" s="17" t="str">
        <f>TRIM('data cleaning'!$M98)</f>
        <v>Tables</v>
      </c>
      <c r="M98" s="17" t="s">
        <v>1529</v>
      </c>
      <c r="N98" s="17" t="str">
        <f>PROPER('data cleaning'!$O98)</f>
        <v>Year Tables</v>
      </c>
      <c r="O98" s="17" t="str">
        <f>TRIM('data cleaning'!$P98)</f>
        <v>Year Tables</v>
      </c>
      <c r="P98" s="17" t="s">
        <v>1627</v>
      </c>
      <c r="Q98" s="17">
        <v>3757.34</v>
      </c>
      <c r="R98" s="17">
        <v>10</v>
      </c>
      <c r="S98" s="17">
        <v>0.1</v>
      </c>
      <c r="T98" s="18">
        <v>156.06</v>
      </c>
    </row>
    <row r="99" spans="1:20" ht="15.6" x14ac:dyDescent="0.3">
      <c r="A99" s="19" t="s">
        <v>110</v>
      </c>
      <c r="B99" s="20">
        <v>45299</v>
      </c>
      <c r="C99" s="21">
        <v>45304</v>
      </c>
      <c r="D99" s="22" t="str">
        <f>TRIM('data cleaning'!$E99)</f>
        <v/>
      </c>
      <c r="E99" s="23"/>
      <c r="F99" s="23" t="str">
        <f>TRIM('data cleaning'!$G99)</f>
        <v>Consumer</v>
      </c>
      <c r="G99" s="23" t="s">
        <v>1513</v>
      </c>
      <c r="H99" s="23" t="str">
        <f>TRIM('data cleaning'!$I99)</f>
        <v>West</v>
      </c>
      <c r="I99" s="23" t="s">
        <v>1518</v>
      </c>
      <c r="J99" s="23" t="str">
        <f>TRIM('data cleaning'!$K99)</f>
        <v>Office Supplies</v>
      </c>
      <c r="K99" s="23" t="s">
        <v>1520</v>
      </c>
      <c r="L99" s="23" t="str">
        <f>TRIM('data cleaning'!$M99)</f>
        <v>Paper</v>
      </c>
      <c r="M99" s="23" t="s">
        <v>1524</v>
      </c>
      <c r="N99" s="23" t="str">
        <f>PROPER('data cleaning'!$O99)</f>
        <v>Chance Paper</v>
      </c>
      <c r="O99" s="23" t="str">
        <f>TRIM('data cleaning'!$P99)</f>
        <v>Chance Paper</v>
      </c>
      <c r="P99" s="23" t="s">
        <v>1628</v>
      </c>
      <c r="Q99" s="23">
        <v>2527.34</v>
      </c>
      <c r="R99" s="23">
        <v>8</v>
      </c>
      <c r="S99" s="23">
        <v>0.15</v>
      </c>
      <c r="T99" s="24">
        <v>-393.65</v>
      </c>
    </row>
    <row r="100" spans="1:20" ht="15.6" x14ac:dyDescent="0.3">
      <c r="A100" s="13" t="s">
        <v>111</v>
      </c>
      <c r="B100" s="14">
        <v>45936</v>
      </c>
      <c r="C100" s="15">
        <v>45946</v>
      </c>
      <c r="D100" s="16" t="str">
        <f>TRIM('data cleaning'!$E100)</f>
        <v>Yolanda Burke</v>
      </c>
      <c r="E100" s="17" t="s">
        <v>879</v>
      </c>
      <c r="F100" s="17" t="str">
        <f>TRIM('data cleaning'!$G100)</f>
        <v>Home Office</v>
      </c>
      <c r="G100" s="17" t="s">
        <v>1515</v>
      </c>
      <c r="H100" s="17" t="str">
        <f>TRIM('data cleaning'!$I100)</f>
        <v>North</v>
      </c>
      <c r="I100" s="17" t="s">
        <v>1516</v>
      </c>
      <c r="J100" s="17" t="str">
        <f>TRIM('data cleaning'!$K100)</f>
        <v>Office Supplies</v>
      </c>
      <c r="K100" s="17" t="s">
        <v>1520</v>
      </c>
      <c r="L100" s="17" t="str">
        <f>TRIM('data cleaning'!$M100)</f>
        <v>Paper</v>
      </c>
      <c r="M100" s="17" t="s">
        <v>1524</v>
      </c>
      <c r="N100" s="17" t="str">
        <f>PROPER('data cleaning'!$O100)</f>
        <v>Fall Paper</v>
      </c>
      <c r="O100" s="17" t="str">
        <f>TRIM('data cleaning'!$P100)</f>
        <v>Fall Paper</v>
      </c>
      <c r="P100" s="17" t="s">
        <v>1629</v>
      </c>
      <c r="Q100" s="17">
        <v>1289.32</v>
      </c>
      <c r="R100" s="17">
        <v>2</v>
      </c>
      <c r="S100" s="17">
        <v>0.05</v>
      </c>
      <c r="T100" s="18">
        <v>424.25</v>
      </c>
    </row>
    <row r="101" spans="1:20" ht="15.6" x14ac:dyDescent="0.3">
      <c r="A101" s="19" t="s">
        <v>112</v>
      </c>
      <c r="B101" s="20">
        <v>46108</v>
      </c>
      <c r="C101" s="21">
        <v>46118</v>
      </c>
      <c r="D101" s="22" t="str">
        <f>TRIM('data cleaning'!$E101)</f>
        <v>Sara Miller</v>
      </c>
      <c r="E101" s="23" t="s">
        <v>880</v>
      </c>
      <c r="F101" s="23" t="str">
        <f>TRIM('data cleaning'!$G101)</f>
        <v>Corporate</v>
      </c>
      <c r="G101" s="23" t="s">
        <v>1514</v>
      </c>
      <c r="H101" s="23" t="str">
        <f>TRIM('data cleaning'!$I101)</f>
        <v>East</v>
      </c>
      <c r="I101" s="23" t="s">
        <v>1519</v>
      </c>
      <c r="J101" s="23" t="str">
        <f>TRIM('data cleaning'!$K101)</f>
        <v>Office Supplies</v>
      </c>
      <c r="K101" s="23" t="s">
        <v>1520</v>
      </c>
      <c r="L101" s="23" t="str">
        <f>TRIM('data cleaning'!$M101)</f>
        <v>Paper</v>
      </c>
      <c r="M101" s="23" t="s">
        <v>1524</v>
      </c>
      <c r="N101" s="23" t="str">
        <f>PROPER('data cleaning'!$O101)</f>
        <v>Song Paper</v>
      </c>
      <c r="O101" s="23" t="str">
        <f>TRIM('data cleaning'!$P101)</f>
        <v>Song Paper</v>
      </c>
      <c r="P101" s="23" t="s">
        <v>1630</v>
      </c>
      <c r="Q101" s="23">
        <v>249.15</v>
      </c>
      <c r="R101" s="23">
        <v>3</v>
      </c>
      <c r="S101" s="23">
        <v>0.15</v>
      </c>
      <c r="T101" s="24">
        <v>21.28</v>
      </c>
    </row>
    <row r="102" spans="1:20" ht="15.6" x14ac:dyDescent="0.3">
      <c r="A102" s="13" t="s">
        <v>113</v>
      </c>
      <c r="B102" s="14">
        <v>45449</v>
      </c>
      <c r="C102" s="15">
        <v>45456</v>
      </c>
      <c r="D102" s="16" t="str">
        <f>TRIM('data cleaning'!$E102)</f>
        <v>Jacqueline Hernandez</v>
      </c>
      <c r="E102" s="17" t="s">
        <v>881</v>
      </c>
      <c r="F102" s="17" t="str">
        <f>TRIM('data cleaning'!$G102)</f>
        <v>Corporate</v>
      </c>
      <c r="G102" s="17" t="s">
        <v>1514</v>
      </c>
      <c r="H102" s="17" t="str">
        <f>TRIM('data cleaning'!$I102)</f>
        <v>East</v>
      </c>
      <c r="I102" s="17" t="s">
        <v>1519</v>
      </c>
      <c r="J102" s="17" t="str">
        <f>TRIM('data cleaning'!$K102)</f>
        <v>Furniture</v>
      </c>
      <c r="K102" s="17" t="s">
        <v>1522</v>
      </c>
      <c r="L102" s="17" t="str">
        <f>TRIM('data cleaning'!$M102)</f>
        <v>Bookcases</v>
      </c>
      <c r="M102" s="17" t="s">
        <v>1527</v>
      </c>
      <c r="N102" s="17" t="str">
        <f>PROPER('data cleaning'!$O102)</f>
        <v>End Bookcases</v>
      </c>
      <c r="O102" s="17" t="str">
        <f>TRIM('data cleaning'!$P102)</f>
        <v>End Bookcases</v>
      </c>
      <c r="P102" s="17" t="s">
        <v>1631</v>
      </c>
      <c r="Q102" s="17">
        <v>3192.18</v>
      </c>
      <c r="R102" s="17">
        <v>8</v>
      </c>
      <c r="S102" s="17">
        <v>0</v>
      </c>
      <c r="T102" s="18">
        <v>186.76</v>
      </c>
    </row>
    <row r="103" spans="1:20" ht="15.6" x14ac:dyDescent="0.3">
      <c r="A103" s="19" t="s">
        <v>114</v>
      </c>
      <c r="B103" s="20">
        <v>45625</v>
      </c>
      <c r="C103" s="21">
        <v>45627</v>
      </c>
      <c r="D103" s="22" t="str">
        <f>TRIM('data cleaning'!$E103)</f>
        <v>Frederick Norris</v>
      </c>
      <c r="E103" s="23" t="s">
        <v>882</v>
      </c>
      <c r="F103" s="23" t="str">
        <f>TRIM('data cleaning'!$G103)</f>
        <v>Corporate</v>
      </c>
      <c r="G103" s="23" t="s">
        <v>1514</v>
      </c>
      <c r="H103" s="23" t="str">
        <f>TRIM('data cleaning'!$I103)</f>
        <v>West</v>
      </c>
      <c r="I103" s="23" t="s">
        <v>1518</v>
      </c>
      <c r="J103" s="23" t="str">
        <f>TRIM('data cleaning'!$K103)</f>
        <v>Technology</v>
      </c>
      <c r="K103" s="23" t="s">
        <v>1521</v>
      </c>
      <c r="L103" s="23" t="str">
        <f>TRIM('data cleaning'!$M103)</f>
        <v>Laptops</v>
      </c>
      <c r="M103" s="23" t="s">
        <v>1528</v>
      </c>
      <c r="N103" s="23" t="str">
        <f>PROPER('data cleaning'!$O103)</f>
        <v>Role Laptops</v>
      </c>
      <c r="O103" s="23" t="str">
        <f>TRIM('data cleaning'!$P103)</f>
        <v>Role Laptops</v>
      </c>
      <c r="P103" s="23" t="s">
        <v>1632</v>
      </c>
      <c r="Q103" s="23">
        <v>4295.78</v>
      </c>
      <c r="R103" s="23">
        <v>6</v>
      </c>
      <c r="S103" s="23">
        <v>0.15</v>
      </c>
      <c r="T103" s="24">
        <v>779.77</v>
      </c>
    </row>
    <row r="104" spans="1:20" ht="15.6" x14ac:dyDescent="0.3">
      <c r="A104" s="13" t="s">
        <v>115</v>
      </c>
      <c r="B104" s="14">
        <v>45636</v>
      </c>
      <c r="C104" s="15">
        <v>45644</v>
      </c>
      <c r="D104" s="16" t="str">
        <f>TRIM('data cleaning'!$E104)</f>
        <v>Richard Day</v>
      </c>
      <c r="E104" s="17" t="s">
        <v>883</v>
      </c>
      <c r="F104" s="17" t="str">
        <f>TRIM('data cleaning'!$G104)</f>
        <v>Corporate</v>
      </c>
      <c r="G104" s="17" t="s">
        <v>1514</v>
      </c>
      <c r="H104" s="17" t="str">
        <f>TRIM('data cleaning'!$I104)</f>
        <v>North</v>
      </c>
      <c r="I104" s="17" t="s">
        <v>1516</v>
      </c>
      <c r="J104" s="17" t="str">
        <f>TRIM('data cleaning'!$K104)</f>
        <v>Office Supplies</v>
      </c>
      <c r="K104" s="17" t="s">
        <v>1520</v>
      </c>
      <c r="L104" s="17" t="str">
        <f>TRIM('data cleaning'!$M104)</f>
        <v>Binders</v>
      </c>
      <c r="M104" s="17" t="s">
        <v>1523</v>
      </c>
      <c r="N104" s="17" t="str">
        <f>PROPER('data cleaning'!$O104)</f>
        <v>Money Binders</v>
      </c>
      <c r="O104" s="17" t="str">
        <f>TRIM('data cleaning'!$P104)</f>
        <v>Money Binders</v>
      </c>
      <c r="P104" s="17" t="s">
        <v>1633</v>
      </c>
      <c r="Q104" s="17">
        <v>485.9</v>
      </c>
      <c r="R104" s="17">
        <v>5</v>
      </c>
      <c r="S104" s="17">
        <v>0.1</v>
      </c>
      <c r="T104" s="18">
        <v>-66.2</v>
      </c>
    </row>
    <row r="105" spans="1:20" ht="15.6" x14ac:dyDescent="0.3">
      <c r="A105" s="19" t="s">
        <v>116</v>
      </c>
      <c r="B105" s="20">
        <v>46150</v>
      </c>
      <c r="C105" s="21">
        <v>46158</v>
      </c>
      <c r="D105" s="22" t="str">
        <f>TRIM('data cleaning'!$E105)</f>
        <v>Michelle Ryan</v>
      </c>
      <c r="E105" s="23" t="s">
        <v>884</v>
      </c>
      <c r="F105" s="23" t="str">
        <f>TRIM('data cleaning'!$G105)</f>
        <v>Corporate</v>
      </c>
      <c r="G105" s="23" t="s">
        <v>1514</v>
      </c>
      <c r="H105" s="23" t="str">
        <f>TRIM('data cleaning'!$I105)</f>
        <v>West</v>
      </c>
      <c r="I105" s="23" t="s">
        <v>1518</v>
      </c>
      <c r="J105" s="23" t="str">
        <f>TRIM('data cleaning'!$K105)</f>
        <v>Office Supplies</v>
      </c>
      <c r="K105" s="23" t="s">
        <v>1520</v>
      </c>
      <c r="L105" s="23" t="str">
        <f>TRIM('data cleaning'!$M105)</f>
        <v>Storage</v>
      </c>
      <c r="M105" s="23" t="s">
        <v>1525</v>
      </c>
      <c r="N105" s="23" t="str">
        <f>PROPER('data cleaning'!$O105)</f>
        <v>Somebody Storage</v>
      </c>
      <c r="O105" s="23" t="str">
        <f>TRIM('data cleaning'!$P105)</f>
        <v>Somebody Storage</v>
      </c>
      <c r="P105" s="23" t="s">
        <v>1634</v>
      </c>
      <c r="Q105" s="23">
        <v>2095.58</v>
      </c>
      <c r="R105" s="23">
        <v>4</v>
      </c>
      <c r="S105" s="23">
        <v>0.2</v>
      </c>
      <c r="T105" s="24">
        <v>-2.14</v>
      </c>
    </row>
    <row r="106" spans="1:20" ht="15.6" x14ac:dyDescent="0.3">
      <c r="A106" s="13" t="s">
        <v>117</v>
      </c>
      <c r="B106" s="14">
        <v>45213</v>
      </c>
      <c r="C106" s="15">
        <v>45218</v>
      </c>
      <c r="D106" s="16" t="str">
        <f>TRIM('data cleaning'!$E106)</f>
        <v>Robert Rice</v>
      </c>
      <c r="E106" s="17" t="s">
        <v>885</v>
      </c>
      <c r="F106" s="17" t="str">
        <f>TRIM('data cleaning'!$G106)</f>
        <v>Corporate</v>
      </c>
      <c r="G106" s="17" t="s">
        <v>1514</v>
      </c>
      <c r="H106" s="17" t="str">
        <f>TRIM('data cleaning'!$I106)</f>
        <v/>
      </c>
      <c r="I106" s="17"/>
      <c r="J106" s="17" t="str">
        <f>TRIM('data cleaning'!$K106)</f>
        <v>Furniture</v>
      </c>
      <c r="K106" s="17" t="s">
        <v>1522</v>
      </c>
      <c r="L106" s="17" t="str">
        <f>TRIM('data cleaning'!$M106)</f>
        <v>Chairs</v>
      </c>
      <c r="M106" s="17" t="s">
        <v>1531</v>
      </c>
      <c r="N106" s="17" t="str">
        <f>PROPER('data cleaning'!$O106)</f>
        <v>Manager Chairs</v>
      </c>
      <c r="O106" s="17" t="str">
        <f>TRIM('data cleaning'!$P106)</f>
        <v>Manager Chairs</v>
      </c>
      <c r="P106" s="17" t="s">
        <v>1635</v>
      </c>
      <c r="Q106" s="17">
        <v>2768.64</v>
      </c>
      <c r="R106" s="17">
        <v>5</v>
      </c>
      <c r="S106" s="17">
        <v>0.15</v>
      </c>
      <c r="T106" s="18">
        <v>787.58</v>
      </c>
    </row>
    <row r="107" spans="1:20" ht="15.6" x14ac:dyDescent="0.3">
      <c r="A107" s="19" t="s">
        <v>118</v>
      </c>
      <c r="B107" s="20">
        <v>45551</v>
      </c>
      <c r="C107" s="21">
        <v>45561</v>
      </c>
      <c r="D107" s="22" t="str">
        <f>TRIM('data cleaning'!$E107)</f>
        <v>Samantha Hernandez PhD</v>
      </c>
      <c r="E107" s="23" t="s">
        <v>886</v>
      </c>
      <c r="F107" s="23" t="str">
        <f>TRIM('data cleaning'!$G107)</f>
        <v>Home Office</v>
      </c>
      <c r="G107" s="23" t="s">
        <v>1515</v>
      </c>
      <c r="H107" s="23" t="str">
        <f>TRIM('data cleaning'!$I107)</f>
        <v>West</v>
      </c>
      <c r="I107" s="23" t="s">
        <v>1518</v>
      </c>
      <c r="J107" s="23" t="str">
        <f>TRIM('data cleaning'!$K107)</f>
        <v>Furniture</v>
      </c>
      <c r="K107" s="23" t="s">
        <v>1522</v>
      </c>
      <c r="L107" s="23" t="str">
        <f>TRIM('data cleaning'!$M107)</f>
        <v>Bookcases</v>
      </c>
      <c r="M107" s="23" t="s">
        <v>1527</v>
      </c>
      <c r="N107" s="23" t="str">
        <f>PROPER('data cleaning'!$O107)</f>
        <v>Something Bookcases</v>
      </c>
      <c r="O107" s="23" t="str">
        <f>TRIM('data cleaning'!$P107)</f>
        <v>Something Bookcases</v>
      </c>
      <c r="P107" s="23" t="s">
        <v>1636</v>
      </c>
      <c r="Q107" s="23">
        <v>4006.6</v>
      </c>
      <c r="R107" s="23">
        <v>3</v>
      </c>
      <c r="S107" s="23">
        <v>0.1</v>
      </c>
      <c r="T107" s="24">
        <v>412.53</v>
      </c>
    </row>
    <row r="108" spans="1:20" ht="15.6" x14ac:dyDescent="0.3">
      <c r="A108" s="13" t="s">
        <v>119</v>
      </c>
      <c r="B108" s="14">
        <v>45683</v>
      </c>
      <c r="C108" s="15">
        <v>45685</v>
      </c>
      <c r="D108" s="16" t="str">
        <f>TRIM('data cleaning'!$E108)</f>
        <v>Gregory Munoz</v>
      </c>
      <c r="E108" s="17" t="s">
        <v>887</v>
      </c>
      <c r="F108" s="17" t="str">
        <f>TRIM('data cleaning'!$G108)</f>
        <v>Corporate</v>
      </c>
      <c r="G108" s="17" t="s">
        <v>1514</v>
      </c>
      <c r="H108" s="17" t="str">
        <f>TRIM('data cleaning'!$I108)</f>
        <v>East</v>
      </c>
      <c r="I108" s="17" t="s">
        <v>1519</v>
      </c>
      <c r="J108" s="17" t="str">
        <f>TRIM('data cleaning'!$K108)</f>
        <v>Furniture</v>
      </c>
      <c r="K108" s="17" t="s">
        <v>1522</v>
      </c>
      <c r="L108" s="17" t="str">
        <f>TRIM('data cleaning'!$M108)</f>
        <v>Chairs</v>
      </c>
      <c r="M108" s="17" t="s">
        <v>1531</v>
      </c>
      <c r="N108" s="17" t="str">
        <f>PROPER('data cleaning'!$O108)</f>
        <v>Role Chairs</v>
      </c>
      <c r="O108" s="17" t="str">
        <f>TRIM('data cleaning'!$P108)</f>
        <v>Role Chairs</v>
      </c>
      <c r="P108" s="17" t="s">
        <v>1637</v>
      </c>
      <c r="Q108" s="17">
        <v>2334.17</v>
      </c>
      <c r="R108" s="17">
        <v>2</v>
      </c>
      <c r="S108" s="17"/>
      <c r="T108" s="18">
        <v>601.47</v>
      </c>
    </row>
    <row r="109" spans="1:20" ht="15.6" x14ac:dyDescent="0.3">
      <c r="A109" s="19" t="s">
        <v>120</v>
      </c>
      <c r="B109" s="20">
        <v>45169</v>
      </c>
      <c r="C109" s="21">
        <v>45174</v>
      </c>
      <c r="D109" s="22" t="str">
        <f>TRIM('data cleaning'!$E109)</f>
        <v>Dawn Lee</v>
      </c>
      <c r="E109" s="23" t="s">
        <v>888</v>
      </c>
      <c r="F109" s="23" t="str">
        <f>TRIM('data cleaning'!$G109)</f>
        <v>Home Office</v>
      </c>
      <c r="G109" s="23" t="s">
        <v>1515</v>
      </c>
      <c r="H109" s="23" t="str">
        <f>TRIM('data cleaning'!$I109)</f>
        <v>South</v>
      </c>
      <c r="I109" s="23" t="s">
        <v>1517</v>
      </c>
      <c r="J109" s="23" t="str">
        <f>TRIM('data cleaning'!$K109)</f>
        <v>Office Supplies</v>
      </c>
      <c r="K109" s="23" t="s">
        <v>1520</v>
      </c>
      <c r="L109" s="23" t="str">
        <f>TRIM('data cleaning'!$M109)</f>
        <v>Storage</v>
      </c>
      <c r="M109" s="23" t="s">
        <v>1525</v>
      </c>
      <c r="N109" s="23" t="str">
        <f>PROPER('data cleaning'!$O109)</f>
        <v>Task Storage</v>
      </c>
      <c r="O109" s="23" t="str">
        <f>TRIM('data cleaning'!$P109)</f>
        <v>Task Storage</v>
      </c>
      <c r="P109" s="23" t="s">
        <v>1638</v>
      </c>
      <c r="Q109" s="23">
        <v>2106.6799999999998</v>
      </c>
      <c r="R109" s="23">
        <v>8</v>
      </c>
      <c r="S109" s="23">
        <v>0.15</v>
      </c>
      <c r="T109" s="24">
        <v>-138.93</v>
      </c>
    </row>
    <row r="110" spans="1:20" ht="15.6" x14ac:dyDescent="0.3">
      <c r="A110" s="13" t="s">
        <v>121</v>
      </c>
      <c r="B110" s="14">
        <v>46109</v>
      </c>
      <c r="C110" s="15">
        <v>46119</v>
      </c>
      <c r="D110" s="16" t="str">
        <f>TRIM('data cleaning'!$E110)</f>
        <v>Michael Bell</v>
      </c>
      <c r="E110" s="17" t="s">
        <v>889</v>
      </c>
      <c r="F110" s="17" t="str">
        <f>TRIM('data cleaning'!$G110)</f>
        <v/>
      </c>
      <c r="G110" s="17"/>
      <c r="H110" s="17" t="str">
        <f>TRIM('data cleaning'!$I110)</f>
        <v>East</v>
      </c>
      <c r="I110" s="17" t="s">
        <v>1519</v>
      </c>
      <c r="J110" s="17" t="str">
        <f>TRIM('data cleaning'!$K110)</f>
        <v>Technology</v>
      </c>
      <c r="K110" s="17" t="s">
        <v>1521</v>
      </c>
      <c r="L110" s="17" t="str">
        <f>TRIM('data cleaning'!$M110)</f>
        <v>Phones</v>
      </c>
      <c r="M110" s="17" t="s">
        <v>1530</v>
      </c>
      <c r="N110" s="17" t="str">
        <f>PROPER('data cleaning'!$O110)</f>
        <v>Kitchen Phones</v>
      </c>
      <c r="O110" s="17" t="str">
        <f>TRIM('data cleaning'!$P110)</f>
        <v>Kitchen Phones</v>
      </c>
      <c r="P110" s="17" t="s">
        <v>1639</v>
      </c>
      <c r="Q110" s="17">
        <v>2565.79</v>
      </c>
      <c r="R110" s="17">
        <v>3</v>
      </c>
      <c r="S110" s="17">
        <v>0</v>
      </c>
      <c r="T110" s="18">
        <v>-123.32</v>
      </c>
    </row>
    <row r="111" spans="1:20" ht="15.6" x14ac:dyDescent="0.3">
      <c r="A111" s="19" t="s">
        <v>122</v>
      </c>
      <c r="B111" s="20">
        <v>46002</v>
      </c>
      <c r="C111" s="21">
        <v>46003</v>
      </c>
      <c r="D111" s="22" t="str">
        <f>TRIM('data cleaning'!$E111)</f>
        <v>Lisa Phelps</v>
      </c>
      <c r="E111" s="23" t="s">
        <v>890</v>
      </c>
      <c r="F111" s="23" t="str">
        <f>TRIM('data cleaning'!$G111)</f>
        <v>Home Office</v>
      </c>
      <c r="G111" s="23" t="s">
        <v>1515</v>
      </c>
      <c r="H111" s="23" t="str">
        <f>TRIM('data cleaning'!$I111)</f>
        <v>West</v>
      </c>
      <c r="I111" s="23" t="s">
        <v>1518</v>
      </c>
      <c r="J111" s="23" t="str">
        <f>TRIM('data cleaning'!$K111)</f>
        <v>Office Supplies</v>
      </c>
      <c r="K111" s="23" t="s">
        <v>1520</v>
      </c>
      <c r="L111" s="23" t="str">
        <f>TRIM('data cleaning'!$M111)</f>
        <v>Paper</v>
      </c>
      <c r="M111" s="23" t="s">
        <v>1524</v>
      </c>
      <c r="N111" s="23" t="str">
        <f>PROPER('data cleaning'!$O111)</f>
        <v>Record Paper</v>
      </c>
      <c r="O111" s="23" t="str">
        <f>TRIM('data cleaning'!$P111)</f>
        <v>Record Paper</v>
      </c>
      <c r="P111" s="23" t="s">
        <v>1640</v>
      </c>
      <c r="Q111" s="23">
        <v>1450.05</v>
      </c>
      <c r="R111" s="23">
        <v>5</v>
      </c>
      <c r="S111" s="23">
        <v>0.2</v>
      </c>
      <c r="T111" s="24">
        <v>172.49</v>
      </c>
    </row>
    <row r="112" spans="1:20" ht="15.6" x14ac:dyDescent="0.3">
      <c r="A112" s="13" t="s">
        <v>123</v>
      </c>
      <c r="B112" s="14">
        <v>45263</v>
      </c>
      <c r="C112" s="15">
        <v>45272</v>
      </c>
      <c r="D112" s="16" t="str">
        <f>TRIM('data cleaning'!$E112)</f>
        <v>Blake Butler</v>
      </c>
      <c r="E112" s="17" t="s">
        <v>891</v>
      </c>
      <c r="F112" s="17" t="str">
        <f>TRIM('data cleaning'!$G112)</f>
        <v>Corporate</v>
      </c>
      <c r="G112" s="17" t="s">
        <v>1514</v>
      </c>
      <c r="H112" s="17" t="str">
        <f>TRIM('data cleaning'!$I112)</f>
        <v>West</v>
      </c>
      <c r="I112" s="17" t="s">
        <v>1518</v>
      </c>
      <c r="J112" s="17" t="str">
        <f>TRIM('data cleaning'!$K112)</f>
        <v>Furniture</v>
      </c>
      <c r="K112" s="17" t="s">
        <v>1522</v>
      </c>
      <c r="L112" s="17" t="str">
        <f>TRIM('data cleaning'!$M112)</f>
        <v>Tables</v>
      </c>
      <c r="M112" s="17" t="s">
        <v>1529</v>
      </c>
      <c r="N112" s="17" t="str">
        <f>PROPER('data cleaning'!$O112)</f>
        <v>Customer Tables</v>
      </c>
      <c r="O112" s="17" t="str">
        <f>TRIM('data cleaning'!$P112)</f>
        <v>Customer Tables</v>
      </c>
      <c r="P112" s="17" t="s">
        <v>1641</v>
      </c>
      <c r="Q112" s="17">
        <v>2447.4899999999998</v>
      </c>
      <c r="R112" s="17">
        <v>6</v>
      </c>
      <c r="S112" s="17">
        <v>0.2</v>
      </c>
      <c r="T112" s="18">
        <v>537.41999999999996</v>
      </c>
    </row>
    <row r="113" spans="1:20" ht="15.6" x14ac:dyDescent="0.3">
      <c r="A113" s="19" t="s">
        <v>124</v>
      </c>
      <c r="B113" s="20">
        <v>45692</v>
      </c>
      <c r="C113" s="21">
        <v>45696</v>
      </c>
      <c r="D113" s="22" t="str">
        <f>TRIM('data cleaning'!$E113)</f>
        <v>Tonya Turner</v>
      </c>
      <c r="E113" s="23" t="s">
        <v>892</v>
      </c>
      <c r="F113" s="23" t="str">
        <f>TRIM('data cleaning'!$G113)</f>
        <v/>
      </c>
      <c r="G113" s="23"/>
      <c r="H113" s="23" t="str">
        <f>TRIM('data cleaning'!$I113)</f>
        <v>West</v>
      </c>
      <c r="I113" s="23" t="s">
        <v>1518</v>
      </c>
      <c r="J113" s="23" t="str">
        <f>TRIM('data cleaning'!$K113)</f>
        <v>Technology</v>
      </c>
      <c r="K113" s="23" t="s">
        <v>1521</v>
      </c>
      <c r="L113" s="23" t="str">
        <f>TRIM('data cleaning'!$M113)</f>
        <v>Phones</v>
      </c>
      <c r="M113" s="23" t="s">
        <v>1530</v>
      </c>
      <c r="N113" s="23" t="str">
        <f>PROPER('data cleaning'!$O113)</f>
        <v>Cold Phones</v>
      </c>
      <c r="O113" s="23" t="str">
        <f>TRIM('data cleaning'!$P113)</f>
        <v>Cold Phones</v>
      </c>
      <c r="P113" s="23" t="s">
        <v>1642</v>
      </c>
      <c r="Q113" s="23">
        <v>2880.4</v>
      </c>
      <c r="R113" s="23">
        <v>4</v>
      </c>
      <c r="S113" s="23">
        <v>0.15</v>
      </c>
      <c r="T113" s="24">
        <v>-506.93</v>
      </c>
    </row>
    <row r="114" spans="1:20" ht="15.6" x14ac:dyDescent="0.3">
      <c r="A114" s="13" t="s">
        <v>125</v>
      </c>
      <c r="B114" s="14">
        <v>45567</v>
      </c>
      <c r="C114" s="15">
        <v>45574</v>
      </c>
      <c r="D114" s="16" t="str">
        <f>TRIM('data cleaning'!$E114)</f>
        <v>Tina Brady</v>
      </c>
      <c r="E114" s="17" t="s">
        <v>893</v>
      </c>
      <c r="F114" s="17" t="str">
        <f>TRIM('data cleaning'!$G114)</f>
        <v>Consumer</v>
      </c>
      <c r="G114" s="17" t="s">
        <v>1513</v>
      </c>
      <c r="H114" s="17" t="str">
        <f>TRIM('data cleaning'!$I114)</f>
        <v>East</v>
      </c>
      <c r="I114" s="17" t="s">
        <v>1519</v>
      </c>
      <c r="J114" s="17" t="str">
        <f>TRIM('data cleaning'!$K114)</f>
        <v>Office Supplies</v>
      </c>
      <c r="K114" s="17" t="s">
        <v>1520</v>
      </c>
      <c r="L114" s="17" t="str">
        <f>TRIM('data cleaning'!$M114)</f>
        <v>Paper</v>
      </c>
      <c r="M114" s="17" t="s">
        <v>1524</v>
      </c>
      <c r="N114" s="17" t="str">
        <f>PROPER('data cleaning'!$O114)</f>
        <v>Mission Paper</v>
      </c>
      <c r="O114" s="17" t="str">
        <f>TRIM('data cleaning'!$P114)</f>
        <v>Mission Paper</v>
      </c>
      <c r="P114" s="17" t="s">
        <v>1643</v>
      </c>
      <c r="Q114" s="17">
        <v>4942.6499999999996</v>
      </c>
      <c r="R114" s="17">
        <v>3</v>
      </c>
      <c r="S114" s="17">
        <v>0.15</v>
      </c>
      <c r="T114" s="18">
        <v>1634.3</v>
      </c>
    </row>
    <row r="115" spans="1:20" ht="15.6" x14ac:dyDescent="0.3">
      <c r="A115" s="19" t="s">
        <v>126</v>
      </c>
      <c r="B115" s="20">
        <v>45812</v>
      </c>
      <c r="C115" s="21">
        <v>45814</v>
      </c>
      <c r="D115" s="22" t="str">
        <f>TRIM('data cleaning'!$E115)</f>
        <v>Alexander Cook</v>
      </c>
      <c r="E115" s="23" t="s">
        <v>894</v>
      </c>
      <c r="F115" s="23" t="str">
        <f>TRIM('data cleaning'!$G115)</f>
        <v>Corporate</v>
      </c>
      <c r="G115" s="23" t="s">
        <v>1514</v>
      </c>
      <c r="H115" s="23" t="str">
        <f>TRIM('data cleaning'!$I115)</f>
        <v>South</v>
      </c>
      <c r="I115" s="23" t="s">
        <v>1517</v>
      </c>
      <c r="J115" s="23" t="str">
        <f>TRIM('data cleaning'!$K115)</f>
        <v>Furniture</v>
      </c>
      <c r="K115" s="23" t="s">
        <v>1522</v>
      </c>
      <c r="L115" s="23" t="str">
        <f>TRIM('data cleaning'!$M115)</f>
        <v>Tables</v>
      </c>
      <c r="M115" s="23" t="s">
        <v>1529</v>
      </c>
      <c r="N115" s="23" t="str">
        <f>PROPER('data cleaning'!$O115)</f>
        <v>Every Tables</v>
      </c>
      <c r="O115" s="23" t="str">
        <f>TRIM('data cleaning'!$P115)</f>
        <v>Every Tables</v>
      </c>
      <c r="P115" s="23" t="s">
        <v>1644</v>
      </c>
      <c r="Q115" s="23">
        <v>2653.46</v>
      </c>
      <c r="R115" s="23">
        <v>8</v>
      </c>
      <c r="S115" s="23">
        <v>0</v>
      </c>
      <c r="T115" s="24">
        <v>523.64</v>
      </c>
    </row>
    <row r="116" spans="1:20" ht="15.6" x14ac:dyDescent="0.3">
      <c r="A116" s="13" t="s">
        <v>127</v>
      </c>
      <c r="B116" s="14">
        <v>45169</v>
      </c>
      <c r="C116" s="15">
        <v>45174</v>
      </c>
      <c r="D116" s="16" t="str">
        <f>TRIM('data cleaning'!$E116)</f>
        <v>Andrew Gardner</v>
      </c>
      <c r="E116" s="17" t="s">
        <v>895</v>
      </c>
      <c r="F116" s="17" t="str">
        <f>TRIM('data cleaning'!$G116)</f>
        <v>Corporate</v>
      </c>
      <c r="G116" s="17" t="s">
        <v>1514</v>
      </c>
      <c r="H116" s="17" t="str">
        <f>TRIM('data cleaning'!$I116)</f>
        <v>West</v>
      </c>
      <c r="I116" s="17" t="s">
        <v>1518</v>
      </c>
      <c r="J116" s="17" t="str">
        <f>TRIM('data cleaning'!$K116)</f>
        <v>Furniture</v>
      </c>
      <c r="K116" s="17" t="s">
        <v>1522</v>
      </c>
      <c r="L116" s="17" t="str">
        <f>TRIM('data cleaning'!$M116)</f>
        <v>Tables</v>
      </c>
      <c r="M116" s="17" t="s">
        <v>1529</v>
      </c>
      <c r="N116" s="17" t="str">
        <f>PROPER('data cleaning'!$O116)</f>
        <v>Collection Tables</v>
      </c>
      <c r="O116" s="17" t="str">
        <f>TRIM('data cleaning'!$P116)</f>
        <v>Collection Tables</v>
      </c>
      <c r="P116" s="17" t="s">
        <v>1645</v>
      </c>
      <c r="Q116" s="17">
        <v>1725.88</v>
      </c>
      <c r="R116" s="17">
        <v>7</v>
      </c>
      <c r="S116" s="17"/>
      <c r="T116" s="18">
        <v>-268.94</v>
      </c>
    </row>
    <row r="117" spans="1:20" ht="15.6" x14ac:dyDescent="0.3">
      <c r="A117" s="19" t="s">
        <v>128</v>
      </c>
      <c r="B117" s="20">
        <v>46065</v>
      </c>
      <c r="C117" s="21">
        <v>46073</v>
      </c>
      <c r="D117" s="22" t="str">
        <f>TRIM('data cleaning'!$E117)</f>
        <v>Rita Perry</v>
      </c>
      <c r="E117" s="23" t="s">
        <v>896</v>
      </c>
      <c r="F117" s="23" t="str">
        <f>TRIM('data cleaning'!$G117)</f>
        <v>Home Office</v>
      </c>
      <c r="G117" s="23" t="s">
        <v>1515</v>
      </c>
      <c r="H117" s="23" t="str">
        <f>TRIM('data cleaning'!$I117)</f>
        <v>East</v>
      </c>
      <c r="I117" s="23" t="s">
        <v>1519</v>
      </c>
      <c r="J117" s="23" t="str">
        <f>TRIM('data cleaning'!$K117)</f>
        <v>Technology</v>
      </c>
      <c r="K117" s="23" t="s">
        <v>1521</v>
      </c>
      <c r="L117" s="23" t="str">
        <f>TRIM('data cleaning'!$M117)</f>
        <v>Laptops</v>
      </c>
      <c r="M117" s="23" t="s">
        <v>1528</v>
      </c>
      <c r="N117" s="23" t="str">
        <f>PROPER('data cleaning'!$O117)</f>
        <v>So Laptops</v>
      </c>
      <c r="O117" s="23" t="str">
        <f>TRIM('data cleaning'!$P117)</f>
        <v>So Laptops</v>
      </c>
      <c r="P117" s="23" t="s">
        <v>1646</v>
      </c>
      <c r="Q117" s="23">
        <v>4368.3</v>
      </c>
      <c r="R117" s="23">
        <v>1</v>
      </c>
      <c r="S117" s="23">
        <v>0.2</v>
      </c>
      <c r="T117" s="24">
        <v>-709.27</v>
      </c>
    </row>
    <row r="118" spans="1:20" ht="15.6" x14ac:dyDescent="0.3">
      <c r="A118" s="13" t="s">
        <v>129</v>
      </c>
      <c r="B118" s="14">
        <v>46120</v>
      </c>
      <c r="C118" s="15">
        <v>46122</v>
      </c>
      <c r="D118" s="16" t="str">
        <f>TRIM('data cleaning'!$E118)</f>
        <v>William Miller Jr.</v>
      </c>
      <c r="E118" s="17" t="s">
        <v>897</v>
      </c>
      <c r="F118" s="17" t="str">
        <f>TRIM('data cleaning'!$G118)</f>
        <v>Consumer</v>
      </c>
      <c r="G118" s="17" t="s">
        <v>1513</v>
      </c>
      <c r="H118" s="17" t="str">
        <f>TRIM('data cleaning'!$I118)</f>
        <v>West</v>
      </c>
      <c r="I118" s="17" t="s">
        <v>1518</v>
      </c>
      <c r="J118" s="17" t="str">
        <f>TRIM('data cleaning'!$K118)</f>
        <v>Furniture</v>
      </c>
      <c r="K118" s="17" t="s">
        <v>1522</v>
      </c>
      <c r="L118" s="17" t="str">
        <f>TRIM('data cleaning'!$M118)</f>
        <v>Bookcases</v>
      </c>
      <c r="M118" s="17" t="s">
        <v>1527</v>
      </c>
      <c r="N118" s="17" t="str">
        <f>PROPER('data cleaning'!$O118)</f>
        <v>Decision Bookcases</v>
      </c>
      <c r="O118" s="17" t="str">
        <f>TRIM('data cleaning'!$P118)</f>
        <v>Decision Bookcases</v>
      </c>
      <c r="P118" s="17" t="s">
        <v>1647</v>
      </c>
      <c r="Q118" s="17">
        <v>2198.16</v>
      </c>
      <c r="R118" s="17">
        <v>2</v>
      </c>
      <c r="S118" s="17"/>
      <c r="T118" s="18">
        <v>411.36</v>
      </c>
    </row>
    <row r="119" spans="1:20" ht="15.6" x14ac:dyDescent="0.3">
      <c r="A119" s="19" t="s">
        <v>130</v>
      </c>
      <c r="B119" s="20">
        <v>45394</v>
      </c>
      <c r="C119" s="21">
        <v>45399</v>
      </c>
      <c r="D119" s="22" t="str">
        <f>TRIM('data cleaning'!$E119)</f>
        <v>Henry Williams</v>
      </c>
      <c r="E119" s="23" t="s">
        <v>898</v>
      </c>
      <c r="F119" s="23" t="str">
        <f>TRIM('data cleaning'!$G119)</f>
        <v>Corporate</v>
      </c>
      <c r="G119" s="23" t="s">
        <v>1514</v>
      </c>
      <c r="H119" s="23" t="str">
        <f>TRIM('data cleaning'!$I119)</f>
        <v>East</v>
      </c>
      <c r="I119" s="23" t="s">
        <v>1519</v>
      </c>
      <c r="J119" s="23" t="str">
        <f>TRIM('data cleaning'!$K119)</f>
        <v>Furniture</v>
      </c>
      <c r="K119" s="23" t="s">
        <v>1522</v>
      </c>
      <c r="L119" s="23" t="str">
        <f>TRIM('data cleaning'!$M119)</f>
        <v>Bookcases</v>
      </c>
      <c r="M119" s="23" t="s">
        <v>1527</v>
      </c>
      <c r="N119" s="23" t="str">
        <f>PROPER('data cleaning'!$O119)</f>
        <v>Case Bookcases</v>
      </c>
      <c r="O119" s="23" t="str">
        <f>TRIM('data cleaning'!$P119)</f>
        <v>Case Bookcases</v>
      </c>
      <c r="P119" s="23" t="s">
        <v>1648</v>
      </c>
      <c r="Q119" s="23">
        <v>4521.95</v>
      </c>
      <c r="R119" s="23">
        <v>1</v>
      </c>
      <c r="S119" s="23">
        <v>0.1</v>
      </c>
      <c r="T119" s="24">
        <v>1075.68</v>
      </c>
    </row>
    <row r="120" spans="1:20" ht="15.6" x14ac:dyDescent="0.3">
      <c r="A120" s="13" t="s">
        <v>131</v>
      </c>
      <c r="B120" s="14">
        <v>45430</v>
      </c>
      <c r="C120" s="15">
        <v>45433</v>
      </c>
      <c r="D120" s="16" t="str">
        <f>TRIM('data cleaning'!$E120)</f>
        <v>Alexis Robertson</v>
      </c>
      <c r="E120" s="17" t="s">
        <v>899</v>
      </c>
      <c r="F120" s="17" t="str">
        <f>TRIM('data cleaning'!$G120)</f>
        <v>Consumer</v>
      </c>
      <c r="G120" s="17" t="s">
        <v>1513</v>
      </c>
      <c r="H120" s="17" t="str">
        <f>TRIM('data cleaning'!$I120)</f>
        <v>South</v>
      </c>
      <c r="I120" s="17" t="s">
        <v>1517</v>
      </c>
      <c r="J120" s="17" t="str">
        <f>TRIM('data cleaning'!$K120)</f>
        <v>Technology</v>
      </c>
      <c r="K120" s="17" t="s">
        <v>1521</v>
      </c>
      <c r="L120" s="17" t="str">
        <f>TRIM('data cleaning'!$M120)</f>
        <v>Accessories</v>
      </c>
      <c r="M120" s="17" t="s">
        <v>1526</v>
      </c>
      <c r="N120" s="17" t="str">
        <f>PROPER('data cleaning'!$O120)</f>
        <v>Century Accessories</v>
      </c>
      <c r="O120" s="17" t="str">
        <f>TRIM('data cleaning'!$P120)</f>
        <v>Century Accessories</v>
      </c>
      <c r="P120" s="17" t="s">
        <v>1649</v>
      </c>
      <c r="Q120" s="17">
        <v>1258.78</v>
      </c>
      <c r="R120" s="17">
        <v>7</v>
      </c>
      <c r="S120" s="17">
        <v>0.2</v>
      </c>
      <c r="T120" s="18">
        <v>220.27</v>
      </c>
    </row>
    <row r="121" spans="1:20" ht="15.6" x14ac:dyDescent="0.3">
      <c r="A121" s="19" t="s">
        <v>132</v>
      </c>
      <c r="B121" s="20">
        <v>45351</v>
      </c>
      <c r="C121" s="21">
        <v>45361</v>
      </c>
      <c r="D121" s="22" t="str">
        <f>TRIM('data cleaning'!$E121)</f>
        <v>Andrew Wang</v>
      </c>
      <c r="E121" s="23" t="s">
        <v>900</v>
      </c>
      <c r="F121" s="23" t="str">
        <f>TRIM('data cleaning'!$G121)</f>
        <v>Home Office</v>
      </c>
      <c r="G121" s="23" t="s">
        <v>1515</v>
      </c>
      <c r="H121" s="23" t="str">
        <f>TRIM('data cleaning'!$I121)</f>
        <v>South</v>
      </c>
      <c r="I121" s="23" t="s">
        <v>1517</v>
      </c>
      <c r="J121" s="23" t="str">
        <f>TRIM('data cleaning'!$K121)</f>
        <v>Furniture</v>
      </c>
      <c r="K121" s="23" t="s">
        <v>1522</v>
      </c>
      <c r="L121" s="23" t="str">
        <f>TRIM('data cleaning'!$M121)</f>
        <v>Chairs</v>
      </c>
      <c r="M121" s="23" t="s">
        <v>1531</v>
      </c>
      <c r="N121" s="23" t="str">
        <f>PROPER('data cleaning'!$O121)</f>
        <v>Whole Chairs</v>
      </c>
      <c r="O121" s="23" t="str">
        <f>TRIM('data cleaning'!$P121)</f>
        <v>Whole Chairs</v>
      </c>
      <c r="P121" s="23" t="s">
        <v>1650</v>
      </c>
      <c r="Q121" s="23">
        <v>4360.66</v>
      </c>
      <c r="R121" s="23">
        <v>10</v>
      </c>
      <c r="S121" s="23"/>
      <c r="T121" s="24">
        <v>-294.52999999999997</v>
      </c>
    </row>
    <row r="122" spans="1:20" ht="15.6" x14ac:dyDescent="0.3">
      <c r="A122" s="13" t="s">
        <v>133</v>
      </c>
      <c r="B122" s="14">
        <v>45961</v>
      </c>
      <c r="C122" s="15">
        <v>45966</v>
      </c>
      <c r="D122" s="16" t="str">
        <f>TRIM('data cleaning'!$E122)</f>
        <v>James Collier</v>
      </c>
      <c r="E122" s="17" t="s">
        <v>901</v>
      </c>
      <c r="F122" s="17" t="str">
        <f>TRIM('data cleaning'!$G122)</f>
        <v>Home Office</v>
      </c>
      <c r="G122" s="17" t="s">
        <v>1515</v>
      </c>
      <c r="H122" s="17" t="str">
        <f>TRIM('data cleaning'!$I122)</f>
        <v>South</v>
      </c>
      <c r="I122" s="17" t="s">
        <v>1517</v>
      </c>
      <c r="J122" s="17" t="str">
        <f>TRIM('data cleaning'!$K122)</f>
        <v>Furniture</v>
      </c>
      <c r="K122" s="17" t="s">
        <v>1522</v>
      </c>
      <c r="L122" s="17" t="str">
        <f>TRIM('data cleaning'!$M122)</f>
        <v>Tables</v>
      </c>
      <c r="M122" s="17" t="s">
        <v>1529</v>
      </c>
      <c r="N122" s="17" t="str">
        <f>PROPER('data cleaning'!$O122)</f>
        <v>Anything Tables</v>
      </c>
      <c r="O122" s="17" t="str">
        <f>TRIM('data cleaning'!$P122)</f>
        <v>Anything Tables</v>
      </c>
      <c r="P122" s="17" t="s">
        <v>1651</v>
      </c>
      <c r="Q122" s="17">
        <v>2324.87</v>
      </c>
      <c r="R122" s="17">
        <v>1</v>
      </c>
      <c r="S122" s="17">
        <v>0.15</v>
      </c>
      <c r="T122" s="18">
        <v>687.38</v>
      </c>
    </row>
    <row r="123" spans="1:20" ht="15.6" x14ac:dyDescent="0.3">
      <c r="A123" s="19" t="s">
        <v>134</v>
      </c>
      <c r="B123" s="20">
        <v>45662</v>
      </c>
      <c r="C123" s="21">
        <v>45668</v>
      </c>
      <c r="D123" s="22" t="str">
        <f>TRIM('data cleaning'!$E123)</f>
        <v>Christopher Lee</v>
      </c>
      <c r="E123" s="23" t="s">
        <v>902</v>
      </c>
      <c r="F123" s="23" t="str">
        <f>TRIM('data cleaning'!$G123)</f>
        <v>Home Office</v>
      </c>
      <c r="G123" s="23" t="s">
        <v>1515</v>
      </c>
      <c r="H123" s="23" t="str">
        <f>TRIM('data cleaning'!$I123)</f>
        <v>East</v>
      </c>
      <c r="I123" s="23" t="s">
        <v>1519</v>
      </c>
      <c r="J123" s="23" t="str">
        <f>TRIM('data cleaning'!$K123)</f>
        <v>Furniture</v>
      </c>
      <c r="K123" s="23" t="s">
        <v>1522</v>
      </c>
      <c r="L123" s="23" t="str">
        <f>TRIM('data cleaning'!$M123)</f>
        <v>Tables</v>
      </c>
      <c r="M123" s="23" t="s">
        <v>1529</v>
      </c>
      <c r="N123" s="23" t="str">
        <f>PROPER('data cleaning'!$O123)</f>
        <v>Human Tables</v>
      </c>
      <c r="O123" s="23" t="str">
        <f>TRIM('data cleaning'!$P123)</f>
        <v>Human Tables</v>
      </c>
      <c r="P123" s="23" t="s">
        <v>1652</v>
      </c>
      <c r="Q123" s="23">
        <v>4938.88</v>
      </c>
      <c r="R123" s="23">
        <v>5</v>
      </c>
      <c r="S123" s="23"/>
      <c r="T123" s="24">
        <v>1625.46</v>
      </c>
    </row>
    <row r="124" spans="1:20" ht="15.6" x14ac:dyDescent="0.3">
      <c r="A124" s="13" t="s">
        <v>135</v>
      </c>
      <c r="B124" s="14">
        <v>45273</v>
      </c>
      <c r="C124" s="15">
        <v>45277</v>
      </c>
      <c r="D124" s="16" t="str">
        <f>TRIM('data cleaning'!$E124)</f>
        <v>Heather George</v>
      </c>
      <c r="E124" s="17" t="s">
        <v>903</v>
      </c>
      <c r="F124" s="17" t="str">
        <f>TRIM('data cleaning'!$G124)</f>
        <v>Home Office</v>
      </c>
      <c r="G124" s="17" t="s">
        <v>1515</v>
      </c>
      <c r="H124" s="17" t="str">
        <f>TRIM('data cleaning'!$I124)</f>
        <v>East</v>
      </c>
      <c r="I124" s="17" t="s">
        <v>1519</v>
      </c>
      <c r="J124" s="17" t="str">
        <f>TRIM('data cleaning'!$K124)</f>
        <v>Technology</v>
      </c>
      <c r="K124" s="17" t="s">
        <v>1521</v>
      </c>
      <c r="L124" s="17" t="str">
        <f>TRIM('data cleaning'!$M124)</f>
        <v>Accessories</v>
      </c>
      <c r="M124" s="17" t="s">
        <v>1526</v>
      </c>
      <c r="N124" s="17" t="str">
        <f>PROPER('data cleaning'!$O124)</f>
        <v>Consumer Accessories</v>
      </c>
      <c r="O124" s="17" t="str">
        <f>TRIM('data cleaning'!$P124)</f>
        <v>Consumer Accessories</v>
      </c>
      <c r="P124" s="17" t="s">
        <v>1653</v>
      </c>
      <c r="Q124" s="17">
        <v>4996.8999999999996</v>
      </c>
      <c r="R124" s="17">
        <v>8</v>
      </c>
      <c r="S124" s="17">
        <v>0</v>
      </c>
      <c r="T124" s="18">
        <v>-347.47</v>
      </c>
    </row>
    <row r="125" spans="1:20" ht="15.6" x14ac:dyDescent="0.3">
      <c r="A125" s="19" t="s">
        <v>136</v>
      </c>
      <c r="B125" s="20">
        <v>45385</v>
      </c>
      <c r="C125" s="21">
        <v>45390</v>
      </c>
      <c r="D125" s="22" t="str">
        <f>TRIM('data cleaning'!$E125)</f>
        <v>Andrea Sanchez</v>
      </c>
      <c r="E125" s="23" t="s">
        <v>904</v>
      </c>
      <c r="F125" s="23" t="str">
        <f>TRIM('data cleaning'!$G125)</f>
        <v>Home Office</v>
      </c>
      <c r="G125" s="23" t="s">
        <v>1515</v>
      </c>
      <c r="H125" s="23" t="str">
        <f>TRIM('data cleaning'!$I125)</f>
        <v>North</v>
      </c>
      <c r="I125" s="23" t="s">
        <v>1516</v>
      </c>
      <c r="J125" s="23" t="str">
        <f>TRIM('data cleaning'!$K125)</f>
        <v>Office Supplies</v>
      </c>
      <c r="K125" s="23" t="s">
        <v>1520</v>
      </c>
      <c r="L125" s="23" t="str">
        <f>TRIM('data cleaning'!$M125)</f>
        <v>Paper</v>
      </c>
      <c r="M125" s="23" t="s">
        <v>1524</v>
      </c>
      <c r="N125" s="23" t="str">
        <f>PROPER('data cleaning'!$O125)</f>
        <v>Thing Paper</v>
      </c>
      <c r="O125" s="23" t="str">
        <f>TRIM('data cleaning'!$P125)</f>
        <v>Thing Paper</v>
      </c>
      <c r="P125" s="23" t="s">
        <v>1654</v>
      </c>
      <c r="Q125" s="23">
        <v>158.6</v>
      </c>
      <c r="R125" s="23">
        <v>7</v>
      </c>
      <c r="S125" s="23">
        <v>0.1</v>
      </c>
      <c r="T125" s="24">
        <v>-31.01</v>
      </c>
    </row>
    <row r="126" spans="1:20" ht="15.6" x14ac:dyDescent="0.3">
      <c r="A126" s="13" t="s">
        <v>137</v>
      </c>
      <c r="B126" s="14">
        <v>45147</v>
      </c>
      <c r="C126" s="15">
        <v>45155</v>
      </c>
      <c r="D126" s="16" t="str">
        <f>TRIM('data cleaning'!$E126)</f>
        <v>Travis Perkins</v>
      </c>
      <c r="E126" s="17" t="s">
        <v>905</v>
      </c>
      <c r="F126" s="17" t="str">
        <f>TRIM('data cleaning'!$G126)</f>
        <v>Corporate</v>
      </c>
      <c r="G126" s="17" t="s">
        <v>1514</v>
      </c>
      <c r="H126" s="17" t="str">
        <f>TRIM('data cleaning'!$I126)</f>
        <v>South</v>
      </c>
      <c r="I126" s="17" t="s">
        <v>1517</v>
      </c>
      <c r="J126" s="17" t="str">
        <f>TRIM('data cleaning'!$K126)</f>
        <v>Office Supplies</v>
      </c>
      <c r="K126" s="17" t="s">
        <v>1520</v>
      </c>
      <c r="L126" s="17" t="str">
        <f>TRIM('data cleaning'!$M126)</f>
        <v>Storage</v>
      </c>
      <c r="M126" s="17" t="s">
        <v>1525</v>
      </c>
      <c r="N126" s="17" t="str">
        <f>PROPER('data cleaning'!$O126)</f>
        <v>Son Storage</v>
      </c>
      <c r="O126" s="17" t="str">
        <f>TRIM('data cleaning'!$P126)</f>
        <v>Son Storage</v>
      </c>
      <c r="P126" s="17" t="s">
        <v>1655</v>
      </c>
      <c r="Q126" s="17">
        <v>4172.55</v>
      </c>
      <c r="R126" s="17">
        <v>5</v>
      </c>
      <c r="S126" s="17">
        <v>0.05</v>
      </c>
      <c r="T126" s="18">
        <v>558.64</v>
      </c>
    </row>
    <row r="127" spans="1:20" ht="15.6" x14ac:dyDescent="0.3">
      <c r="A127" s="19" t="s">
        <v>138</v>
      </c>
      <c r="B127" s="20">
        <v>45754</v>
      </c>
      <c r="C127" s="21">
        <v>45764</v>
      </c>
      <c r="D127" s="22" t="str">
        <f>TRIM('data cleaning'!$E127)</f>
        <v>Mark Mora</v>
      </c>
      <c r="E127" s="23" t="s">
        <v>906</v>
      </c>
      <c r="F127" s="23" t="str">
        <f>TRIM('data cleaning'!$G127)</f>
        <v>Home Office</v>
      </c>
      <c r="G127" s="23" t="s">
        <v>1515</v>
      </c>
      <c r="H127" s="23" t="str">
        <f>TRIM('data cleaning'!$I127)</f>
        <v>North</v>
      </c>
      <c r="I127" s="23" t="s">
        <v>1516</v>
      </c>
      <c r="J127" s="23" t="str">
        <f>TRIM('data cleaning'!$K127)</f>
        <v>Office Supplies</v>
      </c>
      <c r="K127" s="23" t="s">
        <v>1520</v>
      </c>
      <c r="L127" s="23" t="str">
        <f>TRIM('data cleaning'!$M127)</f>
        <v>Binders</v>
      </c>
      <c r="M127" s="23" t="s">
        <v>1523</v>
      </c>
      <c r="N127" s="23" t="str">
        <f>PROPER('data cleaning'!$O127)</f>
        <v>Garden Binders</v>
      </c>
      <c r="O127" s="23" t="str">
        <f>TRIM('data cleaning'!$P127)</f>
        <v>Garden Binders</v>
      </c>
      <c r="P127" s="23" t="s">
        <v>1656</v>
      </c>
      <c r="Q127" s="23">
        <v>1290.5999999999999</v>
      </c>
      <c r="R127" s="23">
        <v>3</v>
      </c>
      <c r="S127" s="23"/>
      <c r="T127" s="24">
        <v>-189.15</v>
      </c>
    </row>
    <row r="128" spans="1:20" ht="15.6" x14ac:dyDescent="0.3">
      <c r="A128" s="13" t="s">
        <v>139</v>
      </c>
      <c r="B128" s="14">
        <v>45382</v>
      </c>
      <c r="C128" s="15">
        <v>45383</v>
      </c>
      <c r="D128" s="16" t="str">
        <f>TRIM('data cleaning'!$E128)</f>
        <v>Megan Ortega</v>
      </c>
      <c r="E128" s="17" t="s">
        <v>907</v>
      </c>
      <c r="F128" s="17" t="str">
        <f>TRIM('data cleaning'!$G128)</f>
        <v>Corporate</v>
      </c>
      <c r="G128" s="17" t="s">
        <v>1514</v>
      </c>
      <c r="H128" s="17" t="str">
        <f>TRIM('data cleaning'!$I128)</f>
        <v>West</v>
      </c>
      <c r="I128" s="17" t="s">
        <v>1518</v>
      </c>
      <c r="J128" s="17" t="str">
        <f>TRIM('data cleaning'!$K128)</f>
        <v>Technology</v>
      </c>
      <c r="K128" s="17" t="s">
        <v>1521</v>
      </c>
      <c r="L128" s="17" t="str">
        <f>TRIM('data cleaning'!$M128)</f>
        <v>Accessories</v>
      </c>
      <c r="M128" s="17" t="s">
        <v>1526</v>
      </c>
      <c r="N128" s="17" t="str">
        <f>PROPER('data cleaning'!$O128)</f>
        <v>Him Accessories</v>
      </c>
      <c r="O128" s="17" t="str">
        <f>TRIM('data cleaning'!$P128)</f>
        <v>Him Accessories</v>
      </c>
      <c r="P128" s="17" t="s">
        <v>1657</v>
      </c>
      <c r="Q128" s="17">
        <v>2918.89</v>
      </c>
      <c r="R128" s="17">
        <v>3</v>
      </c>
      <c r="S128" s="17">
        <v>0</v>
      </c>
      <c r="T128" s="18">
        <v>876.53</v>
      </c>
    </row>
    <row r="129" spans="1:20" ht="15.6" x14ac:dyDescent="0.3">
      <c r="A129" s="19" t="s">
        <v>140</v>
      </c>
      <c r="B129" s="20">
        <v>45232</v>
      </c>
      <c r="C129" s="21">
        <v>45235</v>
      </c>
      <c r="D129" s="22" t="str">
        <f>TRIM('data cleaning'!$E129)</f>
        <v>Curtis Morris</v>
      </c>
      <c r="E129" s="23" t="s">
        <v>908</v>
      </c>
      <c r="F129" s="23" t="str">
        <f>TRIM('data cleaning'!$G129)</f>
        <v>Corporate</v>
      </c>
      <c r="G129" s="23" t="s">
        <v>1514</v>
      </c>
      <c r="H129" s="23" t="str">
        <f>TRIM('data cleaning'!$I129)</f>
        <v>South</v>
      </c>
      <c r="I129" s="23" t="s">
        <v>1517</v>
      </c>
      <c r="J129" s="23" t="str">
        <f>TRIM('data cleaning'!$K129)</f>
        <v>Furniture</v>
      </c>
      <c r="K129" s="23" t="s">
        <v>1522</v>
      </c>
      <c r="L129" s="23" t="str">
        <f>TRIM('data cleaning'!$M129)</f>
        <v>Chairs</v>
      </c>
      <c r="M129" s="23" t="s">
        <v>1531</v>
      </c>
      <c r="N129" s="23" t="str">
        <f>PROPER('data cleaning'!$O129)</f>
        <v>Song Chairs</v>
      </c>
      <c r="O129" s="23" t="str">
        <f>TRIM('data cleaning'!$P129)</f>
        <v>Song Chairs</v>
      </c>
      <c r="P129" s="23" t="s">
        <v>1658</v>
      </c>
      <c r="Q129" s="23">
        <v>3943.24</v>
      </c>
      <c r="R129" s="23">
        <v>6</v>
      </c>
      <c r="S129" s="23">
        <v>0.2</v>
      </c>
      <c r="T129" s="24">
        <v>299.64</v>
      </c>
    </row>
    <row r="130" spans="1:20" ht="15.6" x14ac:dyDescent="0.3">
      <c r="A130" s="13" t="s">
        <v>141</v>
      </c>
      <c r="B130" s="14">
        <v>45338</v>
      </c>
      <c r="C130" s="15">
        <v>45343</v>
      </c>
      <c r="D130" s="16" t="str">
        <f>TRIM('data cleaning'!$E130)</f>
        <v>Richard Brown</v>
      </c>
      <c r="E130" s="17" t="s">
        <v>909</v>
      </c>
      <c r="F130" s="17" t="str">
        <f>TRIM('data cleaning'!$G130)</f>
        <v>Consumer</v>
      </c>
      <c r="G130" s="17" t="s">
        <v>1513</v>
      </c>
      <c r="H130" s="17" t="str">
        <f>TRIM('data cleaning'!$I130)</f>
        <v>South</v>
      </c>
      <c r="I130" s="17" t="s">
        <v>1517</v>
      </c>
      <c r="J130" s="17" t="str">
        <f>TRIM('data cleaning'!$K130)</f>
        <v>Technology</v>
      </c>
      <c r="K130" s="17" t="s">
        <v>1521</v>
      </c>
      <c r="L130" s="17" t="str">
        <f>TRIM('data cleaning'!$M130)</f>
        <v>Accessories</v>
      </c>
      <c r="M130" s="17" t="s">
        <v>1526</v>
      </c>
      <c r="N130" s="17" t="str">
        <f>PROPER('data cleaning'!$O130)</f>
        <v>Help Accessories</v>
      </c>
      <c r="O130" s="17" t="str">
        <f>TRIM('data cleaning'!$P130)</f>
        <v>Help Accessories</v>
      </c>
      <c r="P130" s="17" t="s">
        <v>1659</v>
      </c>
      <c r="Q130" s="17">
        <v>3745.47</v>
      </c>
      <c r="R130" s="17">
        <v>6</v>
      </c>
      <c r="S130" s="17">
        <v>0</v>
      </c>
      <c r="T130" s="18">
        <v>215.67</v>
      </c>
    </row>
    <row r="131" spans="1:20" ht="15.6" x14ac:dyDescent="0.3">
      <c r="A131" s="19" t="s">
        <v>142</v>
      </c>
      <c r="B131" s="20">
        <v>45601</v>
      </c>
      <c r="C131" s="21">
        <v>45608</v>
      </c>
      <c r="D131" s="22" t="str">
        <f>TRIM('data cleaning'!$E131)</f>
        <v>Shannon Smith</v>
      </c>
      <c r="E131" s="23" t="s">
        <v>910</v>
      </c>
      <c r="F131" s="23" t="str">
        <f>TRIM('data cleaning'!$G131)</f>
        <v>Corporate</v>
      </c>
      <c r="G131" s="23" t="s">
        <v>1514</v>
      </c>
      <c r="H131" s="23" t="str">
        <f>TRIM('data cleaning'!$I131)</f>
        <v>North</v>
      </c>
      <c r="I131" s="23" t="s">
        <v>1516</v>
      </c>
      <c r="J131" s="23" t="str">
        <f>TRIM('data cleaning'!$K131)</f>
        <v>Furniture</v>
      </c>
      <c r="K131" s="23" t="s">
        <v>1522</v>
      </c>
      <c r="L131" s="23" t="str">
        <f>TRIM('data cleaning'!$M131)</f>
        <v>Bookcases</v>
      </c>
      <c r="M131" s="23" t="s">
        <v>1527</v>
      </c>
      <c r="N131" s="23" t="str">
        <f>PROPER('data cleaning'!$O131)</f>
        <v>Piece Bookcases</v>
      </c>
      <c r="O131" s="23" t="str">
        <f>TRIM('data cleaning'!$P131)</f>
        <v>Piece Bookcases</v>
      </c>
      <c r="P131" s="23" t="s">
        <v>1660</v>
      </c>
      <c r="Q131" s="23">
        <v>4837.99</v>
      </c>
      <c r="R131" s="23">
        <v>9</v>
      </c>
      <c r="S131" s="23">
        <v>0.1</v>
      </c>
      <c r="T131" s="24">
        <v>-727.31</v>
      </c>
    </row>
    <row r="132" spans="1:20" ht="15.6" x14ac:dyDescent="0.3">
      <c r="A132" s="13" t="s">
        <v>143</v>
      </c>
      <c r="B132" s="14">
        <v>45728</v>
      </c>
      <c r="C132" s="15">
        <v>45730</v>
      </c>
      <c r="D132" s="16" t="str">
        <f>TRIM('data cleaning'!$E132)</f>
        <v>Robert Armstrong</v>
      </c>
      <c r="E132" s="17" t="s">
        <v>911</v>
      </c>
      <c r="F132" s="17" t="str">
        <f>TRIM('data cleaning'!$G132)</f>
        <v>Home Office</v>
      </c>
      <c r="G132" s="17" t="s">
        <v>1515</v>
      </c>
      <c r="H132" s="17" t="str">
        <f>TRIM('data cleaning'!$I132)</f>
        <v>East</v>
      </c>
      <c r="I132" s="17" t="s">
        <v>1519</v>
      </c>
      <c r="J132" s="17" t="str">
        <f>TRIM('data cleaning'!$K132)</f>
        <v>Technology</v>
      </c>
      <c r="K132" s="17" t="s">
        <v>1521</v>
      </c>
      <c r="L132" s="17" t="str">
        <f>TRIM('data cleaning'!$M132)</f>
        <v>Laptops</v>
      </c>
      <c r="M132" s="17" t="s">
        <v>1528</v>
      </c>
      <c r="N132" s="17" t="str">
        <f>PROPER('data cleaning'!$O132)</f>
        <v>Term Laptops</v>
      </c>
      <c r="O132" s="17" t="str">
        <f>TRIM('data cleaning'!$P132)</f>
        <v>Term Laptops</v>
      </c>
      <c r="P132" s="17" t="s">
        <v>1661</v>
      </c>
      <c r="Q132" s="17">
        <v>2301.19</v>
      </c>
      <c r="R132" s="17">
        <v>5</v>
      </c>
      <c r="S132" s="17">
        <v>0.2</v>
      </c>
      <c r="T132" s="18">
        <v>22.01</v>
      </c>
    </row>
    <row r="133" spans="1:20" ht="15.6" x14ac:dyDescent="0.3">
      <c r="A133" s="19" t="s">
        <v>144</v>
      </c>
      <c r="B133" s="20">
        <v>45763</v>
      </c>
      <c r="C133" s="21">
        <v>45767</v>
      </c>
      <c r="D133" s="22" t="str">
        <f>TRIM('data cleaning'!$E133)</f>
        <v>Marcia Jackson</v>
      </c>
      <c r="E133" s="23" t="s">
        <v>912</v>
      </c>
      <c r="F133" s="23" t="str">
        <f>TRIM('data cleaning'!$G133)</f>
        <v>Home Office</v>
      </c>
      <c r="G133" s="23" t="s">
        <v>1515</v>
      </c>
      <c r="H133" s="23" t="str">
        <f>TRIM('data cleaning'!$I133)</f>
        <v>South</v>
      </c>
      <c r="I133" s="23" t="s">
        <v>1517</v>
      </c>
      <c r="J133" s="23" t="str">
        <f>TRIM('data cleaning'!$K133)</f>
        <v>Furniture</v>
      </c>
      <c r="K133" s="23" t="s">
        <v>1522</v>
      </c>
      <c r="L133" s="23" t="str">
        <f>TRIM('data cleaning'!$M133)</f>
        <v>Bookcases</v>
      </c>
      <c r="M133" s="23" t="s">
        <v>1527</v>
      </c>
      <c r="N133" s="23" t="str">
        <f>PROPER('data cleaning'!$O133)</f>
        <v>Often Bookcases</v>
      </c>
      <c r="O133" s="23" t="str">
        <f>TRIM('data cleaning'!$P133)</f>
        <v>Often Bookcases</v>
      </c>
      <c r="P133" s="23" t="s">
        <v>1662</v>
      </c>
      <c r="Q133" s="23">
        <v>2383.81</v>
      </c>
      <c r="R133" s="23">
        <v>10</v>
      </c>
      <c r="S133" s="23">
        <v>0.2</v>
      </c>
      <c r="T133" s="24">
        <v>-46.71</v>
      </c>
    </row>
    <row r="134" spans="1:20" ht="15.6" x14ac:dyDescent="0.3">
      <c r="A134" s="13" t="s">
        <v>145</v>
      </c>
      <c r="B134" s="14" t="s">
        <v>767</v>
      </c>
      <c r="C134" s="15">
        <v>45787</v>
      </c>
      <c r="D134" s="16" t="str">
        <f>TRIM('data cleaning'!$E134)</f>
        <v>Maria Cardenas</v>
      </c>
      <c r="E134" s="17" t="s">
        <v>913</v>
      </c>
      <c r="F134" s="17" t="str">
        <f>TRIM('data cleaning'!$G134)</f>
        <v>Consumer</v>
      </c>
      <c r="G134" s="17" t="s">
        <v>1513</v>
      </c>
      <c r="H134" s="17" t="str">
        <f>TRIM('data cleaning'!$I134)</f>
        <v>North</v>
      </c>
      <c r="I134" s="17" t="s">
        <v>1516</v>
      </c>
      <c r="J134" s="17" t="str">
        <f>TRIM('data cleaning'!$K134)</f>
        <v>Office Supplies</v>
      </c>
      <c r="K134" s="17" t="s">
        <v>1520</v>
      </c>
      <c r="L134" s="17" t="str">
        <f>TRIM('data cleaning'!$M134)</f>
        <v>Binders</v>
      </c>
      <c r="M134" s="17" t="s">
        <v>1523</v>
      </c>
      <c r="N134" s="17" t="str">
        <f>PROPER('data cleaning'!$O134)</f>
        <v>Just Binders</v>
      </c>
      <c r="O134" s="17" t="str">
        <f>TRIM('data cleaning'!$P134)</f>
        <v>Just Binders</v>
      </c>
      <c r="P134" s="17" t="s">
        <v>1663</v>
      </c>
      <c r="Q134" s="17">
        <v>4551.47</v>
      </c>
      <c r="R134" s="17">
        <v>5</v>
      </c>
      <c r="S134" s="17"/>
      <c r="T134" s="18">
        <v>111.8</v>
      </c>
    </row>
    <row r="135" spans="1:20" ht="15.6" x14ac:dyDescent="0.3">
      <c r="A135" s="19" t="s">
        <v>146</v>
      </c>
      <c r="B135" s="20">
        <v>45823</v>
      </c>
      <c r="C135" s="21">
        <v>45831</v>
      </c>
      <c r="D135" s="22" t="str">
        <f>TRIM('data cleaning'!$E135)</f>
        <v/>
      </c>
      <c r="E135" s="23"/>
      <c r="F135" s="23" t="str">
        <f>TRIM('data cleaning'!$G135)</f>
        <v>Corporate</v>
      </c>
      <c r="G135" s="23" t="s">
        <v>1514</v>
      </c>
      <c r="H135" s="23" t="str">
        <f>TRIM('data cleaning'!$I135)</f>
        <v>East</v>
      </c>
      <c r="I135" s="23" t="s">
        <v>1519</v>
      </c>
      <c r="J135" s="23" t="str">
        <f>TRIM('data cleaning'!$K135)</f>
        <v>Furniture</v>
      </c>
      <c r="K135" s="23" t="s">
        <v>1522</v>
      </c>
      <c r="L135" s="23" t="str">
        <f>TRIM('data cleaning'!$M135)</f>
        <v>Tables</v>
      </c>
      <c r="M135" s="23" t="s">
        <v>1529</v>
      </c>
      <c r="N135" s="23" t="str">
        <f>PROPER('data cleaning'!$O135)</f>
        <v>Sound Tables</v>
      </c>
      <c r="O135" s="23" t="str">
        <f>TRIM('data cleaning'!$P135)</f>
        <v>Sound Tables</v>
      </c>
      <c r="P135" s="23" t="s">
        <v>1664</v>
      </c>
      <c r="Q135" s="23">
        <v>624.79999999999995</v>
      </c>
      <c r="R135" s="23">
        <v>4</v>
      </c>
      <c r="S135" s="23">
        <v>0.2</v>
      </c>
      <c r="T135" s="24">
        <v>-78.34</v>
      </c>
    </row>
    <row r="136" spans="1:20" ht="15.6" x14ac:dyDescent="0.3">
      <c r="A136" s="13" t="s">
        <v>147</v>
      </c>
      <c r="B136" s="14">
        <v>46033</v>
      </c>
      <c r="C136" s="15">
        <v>46042</v>
      </c>
      <c r="D136" s="16" t="str">
        <f>TRIM('data cleaning'!$E136)</f>
        <v>Jennifer Carter</v>
      </c>
      <c r="E136" s="17" t="s">
        <v>914</v>
      </c>
      <c r="F136" s="17" t="str">
        <f>TRIM('data cleaning'!$G136)</f>
        <v>Corporate</v>
      </c>
      <c r="G136" s="17" t="s">
        <v>1514</v>
      </c>
      <c r="H136" s="17" t="str">
        <f>TRIM('data cleaning'!$I136)</f>
        <v>West</v>
      </c>
      <c r="I136" s="17" t="s">
        <v>1518</v>
      </c>
      <c r="J136" s="17" t="str">
        <f>TRIM('data cleaning'!$K136)</f>
        <v>Office Supplies</v>
      </c>
      <c r="K136" s="17" t="s">
        <v>1520</v>
      </c>
      <c r="L136" s="17" t="str">
        <f>TRIM('data cleaning'!$M136)</f>
        <v>Storage</v>
      </c>
      <c r="M136" s="17" t="s">
        <v>1525</v>
      </c>
      <c r="N136" s="17" t="str">
        <f>PROPER('data cleaning'!$O136)</f>
        <v>Wear Storage</v>
      </c>
      <c r="O136" s="17" t="str">
        <f>TRIM('data cleaning'!$P136)</f>
        <v>Wear Storage</v>
      </c>
      <c r="P136" s="17" t="s">
        <v>1665</v>
      </c>
      <c r="Q136" s="17">
        <v>2124.6799999999998</v>
      </c>
      <c r="R136" s="17">
        <v>3</v>
      </c>
      <c r="S136" s="17">
        <v>0.15</v>
      </c>
      <c r="T136" s="18">
        <v>340.39</v>
      </c>
    </row>
    <row r="137" spans="1:20" ht="15.6" x14ac:dyDescent="0.3">
      <c r="A137" s="19" t="s">
        <v>148</v>
      </c>
      <c r="B137" s="20">
        <v>45776</v>
      </c>
      <c r="C137" s="21">
        <v>45782</v>
      </c>
      <c r="D137" s="22" t="str">
        <f>TRIM('data cleaning'!$E137)</f>
        <v>Austin Brown</v>
      </c>
      <c r="E137" s="23" t="s">
        <v>915</v>
      </c>
      <c r="F137" s="23" t="str">
        <f>TRIM('data cleaning'!$G137)</f>
        <v>Consumer</v>
      </c>
      <c r="G137" s="23" t="s">
        <v>1513</v>
      </c>
      <c r="H137" s="23" t="str">
        <f>TRIM('data cleaning'!$I137)</f>
        <v>East</v>
      </c>
      <c r="I137" s="23" t="s">
        <v>1519</v>
      </c>
      <c r="J137" s="23" t="str">
        <f>TRIM('data cleaning'!$K137)</f>
        <v>Technology</v>
      </c>
      <c r="K137" s="23" t="s">
        <v>1521</v>
      </c>
      <c r="L137" s="23" t="str">
        <f>TRIM('data cleaning'!$M137)</f>
        <v>Phones</v>
      </c>
      <c r="M137" s="23" t="s">
        <v>1530</v>
      </c>
      <c r="N137" s="23" t="str">
        <f>PROPER('data cleaning'!$O137)</f>
        <v>Cause Phones</v>
      </c>
      <c r="O137" s="23" t="str">
        <f>TRIM('data cleaning'!$P137)</f>
        <v>Cause Phones</v>
      </c>
      <c r="P137" s="23" t="s">
        <v>1666</v>
      </c>
      <c r="Q137" s="23">
        <v>1125.48</v>
      </c>
      <c r="R137" s="23">
        <v>8</v>
      </c>
      <c r="S137" s="23">
        <v>0.05</v>
      </c>
      <c r="T137" s="24">
        <v>304.44</v>
      </c>
    </row>
    <row r="138" spans="1:20" ht="15.6" x14ac:dyDescent="0.3">
      <c r="A138" s="13" t="s">
        <v>149</v>
      </c>
      <c r="B138" s="14">
        <v>45131</v>
      </c>
      <c r="C138" s="15">
        <v>45137</v>
      </c>
      <c r="D138" s="16" t="str">
        <f>TRIM('data cleaning'!$E138)</f>
        <v>Alice Villanueva</v>
      </c>
      <c r="E138" s="17" t="s">
        <v>916</v>
      </c>
      <c r="F138" s="17" t="str">
        <f>TRIM('data cleaning'!$G138)</f>
        <v>Corporate</v>
      </c>
      <c r="G138" s="17" t="s">
        <v>1514</v>
      </c>
      <c r="H138" s="17" t="str">
        <f>TRIM('data cleaning'!$I138)</f>
        <v>North</v>
      </c>
      <c r="I138" s="17" t="s">
        <v>1516</v>
      </c>
      <c r="J138" s="17" t="str">
        <f>TRIM('data cleaning'!$K138)</f>
        <v>Office Supplies</v>
      </c>
      <c r="K138" s="17" t="s">
        <v>1520</v>
      </c>
      <c r="L138" s="17" t="str">
        <f>TRIM('data cleaning'!$M138)</f>
        <v>Storage</v>
      </c>
      <c r="M138" s="17" t="s">
        <v>1525</v>
      </c>
      <c r="N138" s="17" t="str">
        <f>PROPER('data cleaning'!$O138)</f>
        <v>Site Storage</v>
      </c>
      <c r="O138" s="17" t="str">
        <f>TRIM('data cleaning'!$P138)</f>
        <v>Site Storage</v>
      </c>
      <c r="P138" s="17" t="s">
        <v>1667</v>
      </c>
      <c r="Q138" s="17">
        <v>349.72</v>
      </c>
      <c r="R138" s="17">
        <v>5</v>
      </c>
      <c r="S138" s="17">
        <v>0.05</v>
      </c>
      <c r="T138" s="18">
        <v>116.29</v>
      </c>
    </row>
    <row r="139" spans="1:20" ht="15.6" x14ac:dyDescent="0.3">
      <c r="A139" s="19" t="s">
        <v>150</v>
      </c>
      <c r="B139" s="20">
        <v>46099</v>
      </c>
      <c r="C139" s="21">
        <v>46109</v>
      </c>
      <c r="D139" s="22" t="str">
        <f>TRIM('data cleaning'!$E139)</f>
        <v>Cheryl Curtis</v>
      </c>
      <c r="E139" s="23" t="s">
        <v>917</v>
      </c>
      <c r="F139" s="23" t="str">
        <f>TRIM('data cleaning'!$G139)</f>
        <v>Consumer</v>
      </c>
      <c r="G139" s="23" t="s">
        <v>1513</v>
      </c>
      <c r="H139" s="23" t="str">
        <f>TRIM('data cleaning'!$I139)</f>
        <v>South</v>
      </c>
      <c r="I139" s="23" t="s">
        <v>1517</v>
      </c>
      <c r="J139" s="23" t="str">
        <f>TRIM('data cleaning'!$K139)</f>
        <v>Office Supplies</v>
      </c>
      <c r="K139" s="23" t="s">
        <v>1520</v>
      </c>
      <c r="L139" s="23" t="str">
        <f>TRIM('data cleaning'!$M139)</f>
        <v>Binders</v>
      </c>
      <c r="M139" s="23" t="s">
        <v>1523</v>
      </c>
      <c r="N139" s="23" t="str">
        <f>PROPER('data cleaning'!$O139)</f>
        <v>Professor Binders</v>
      </c>
      <c r="O139" s="23" t="str">
        <f>TRIM('data cleaning'!$P139)</f>
        <v>Professor Binders</v>
      </c>
      <c r="P139" s="23" t="s">
        <v>1668</v>
      </c>
      <c r="Q139" s="23">
        <v>4856.91</v>
      </c>
      <c r="R139" s="23">
        <v>1</v>
      </c>
      <c r="S139" s="23">
        <v>0.1</v>
      </c>
      <c r="T139" s="24">
        <v>-320.74</v>
      </c>
    </row>
    <row r="140" spans="1:20" ht="15.6" x14ac:dyDescent="0.3">
      <c r="A140" s="13" t="s">
        <v>151</v>
      </c>
      <c r="B140" s="14">
        <v>45870</v>
      </c>
      <c r="C140" s="15">
        <v>45874</v>
      </c>
      <c r="D140" s="16" t="str">
        <f>TRIM('data cleaning'!$E140)</f>
        <v>Clinton Smith</v>
      </c>
      <c r="E140" s="17" t="s">
        <v>918</v>
      </c>
      <c r="F140" s="17" t="str">
        <f>TRIM('data cleaning'!$G140)</f>
        <v/>
      </c>
      <c r="G140" s="17"/>
      <c r="H140" s="17" t="str">
        <f>TRIM('data cleaning'!$I140)</f>
        <v>North</v>
      </c>
      <c r="I140" s="17" t="s">
        <v>1516</v>
      </c>
      <c r="J140" s="17" t="str">
        <f>TRIM('data cleaning'!$K140)</f>
        <v>Furniture</v>
      </c>
      <c r="K140" s="17" t="s">
        <v>1522</v>
      </c>
      <c r="L140" s="17" t="str">
        <f>TRIM('data cleaning'!$M140)</f>
        <v>Bookcases</v>
      </c>
      <c r="M140" s="17" t="s">
        <v>1527</v>
      </c>
      <c r="N140" s="17" t="str">
        <f>PROPER('data cleaning'!$O140)</f>
        <v>Into Bookcases</v>
      </c>
      <c r="O140" s="17" t="str">
        <f>TRIM('data cleaning'!$P140)</f>
        <v>Into Bookcases</v>
      </c>
      <c r="P140" s="17" t="s">
        <v>1669</v>
      </c>
      <c r="Q140" s="17">
        <v>2952.6</v>
      </c>
      <c r="R140" s="17">
        <v>4</v>
      </c>
      <c r="S140" s="17">
        <v>0.1</v>
      </c>
      <c r="T140" s="18">
        <v>667</v>
      </c>
    </row>
    <row r="141" spans="1:20" ht="15.6" x14ac:dyDescent="0.3">
      <c r="A141" s="19" t="s">
        <v>152</v>
      </c>
      <c r="B141" s="20">
        <v>45403</v>
      </c>
      <c r="C141" s="21">
        <v>45406</v>
      </c>
      <c r="D141" s="22" t="str">
        <f>TRIM('data cleaning'!$E141)</f>
        <v>Jessica Greene</v>
      </c>
      <c r="E141" s="23" t="s">
        <v>919</v>
      </c>
      <c r="F141" s="23" t="str">
        <f>TRIM('data cleaning'!$G141)</f>
        <v/>
      </c>
      <c r="G141" s="23"/>
      <c r="H141" s="23" t="str">
        <f>TRIM('data cleaning'!$I141)</f>
        <v>South</v>
      </c>
      <c r="I141" s="23" t="s">
        <v>1517</v>
      </c>
      <c r="J141" s="23" t="str">
        <f>TRIM('data cleaning'!$K141)</f>
        <v>Technology</v>
      </c>
      <c r="K141" s="23" t="s">
        <v>1521</v>
      </c>
      <c r="L141" s="23" t="str">
        <f>TRIM('data cleaning'!$M141)</f>
        <v>Phones</v>
      </c>
      <c r="M141" s="23" t="s">
        <v>1530</v>
      </c>
      <c r="N141" s="23" t="str">
        <f>PROPER('data cleaning'!$O141)</f>
        <v>Protect Phones</v>
      </c>
      <c r="O141" s="23" t="str">
        <f>TRIM('data cleaning'!$P141)</f>
        <v>Protect Phones</v>
      </c>
      <c r="P141" s="23" t="s">
        <v>1670</v>
      </c>
      <c r="Q141" s="23">
        <v>2724.07</v>
      </c>
      <c r="R141" s="23">
        <v>3</v>
      </c>
      <c r="S141" s="23">
        <v>0</v>
      </c>
      <c r="T141" s="24">
        <v>445.61</v>
      </c>
    </row>
    <row r="142" spans="1:20" ht="15.6" x14ac:dyDescent="0.3">
      <c r="A142" s="13" t="s">
        <v>153</v>
      </c>
      <c r="B142" s="14">
        <v>45310</v>
      </c>
      <c r="C142" s="15">
        <v>45314</v>
      </c>
      <c r="D142" s="16" t="str">
        <f>TRIM('data cleaning'!$E142)</f>
        <v>Barry Padilla</v>
      </c>
      <c r="E142" s="17" t="s">
        <v>920</v>
      </c>
      <c r="F142" s="17" t="str">
        <f>TRIM('data cleaning'!$G142)</f>
        <v>Consumer</v>
      </c>
      <c r="G142" s="17" t="s">
        <v>1513</v>
      </c>
      <c r="H142" s="17" t="str">
        <f>TRIM('data cleaning'!$I142)</f>
        <v>West</v>
      </c>
      <c r="I142" s="17" t="s">
        <v>1518</v>
      </c>
      <c r="J142" s="17" t="str">
        <f>TRIM('data cleaning'!$K142)</f>
        <v>Furniture</v>
      </c>
      <c r="K142" s="17" t="s">
        <v>1522</v>
      </c>
      <c r="L142" s="17" t="str">
        <f>TRIM('data cleaning'!$M142)</f>
        <v>Tables</v>
      </c>
      <c r="M142" s="17" t="s">
        <v>1529</v>
      </c>
      <c r="N142" s="17" t="str">
        <f>PROPER('data cleaning'!$O142)</f>
        <v>Back Tables</v>
      </c>
      <c r="O142" s="17" t="str">
        <f>TRIM('data cleaning'!$P142)</f>
        <v>Back Tables</v>
      </c>
      <c r="P142" s="17" t="s">
        <v>1671</v>
      </c>
      <c r="Q142" s="17">
        <v>2964.82</v>
      </c>
      <c r="R142" s="17">
        <v>1</v>
      </c>
      <c r="S142" s="17">
        <v>0.05</v>
      </c>
      <c r="T142" s="18">
        <v>-160.24</v>
      </c>
    </row>
    <row r="143" spans="1:20" ht="15.6" x14ac:dyDescent="0.3">
      <c r="A143" s="19" t="s">
        <v>154</v>
      </c>
      <c r="B143" s="20">
        <v>45938</v>
      </c>
      <c r="C143" s="21">
        <v>45940</v>
      </c>
      <c r="D143" s="22" t="str">
        <f>TRIM('data cleaning'!$E143)</f>
        <v>John Lowery</v>
      </c>
      <c r="E143" s="23" t="s">
        <v>921</v>
      </c>
      <c r="F143" s="23" t="str">
        <f>TRIM('data cleaning'!$G143)</f>
        <v>Corporate</v>
      </c>
      <c r="G143" s="23" t="s">
        <v>1514</v>
      </c>
      <c r="H143" s="23" t="str">
        <f>TRIM('data cleaning'!$I143)</f>
        <v>South</v>
      </c>
      <c r="I143" s="23" t="s">
        <v>1517</v>
      </c>
      <c r="J143" s="23" t="str">
        <f>TRIM('data cleaning'!$K143)</f>
        <v>Office Supplies</v>
      </c>
      <c r="K143" s="23" t="s">
        <v>1520</v>
      </c>
      <c r="L143" s="23" t="str">
        <f>TRIM('data cleaning'!$M143)</f>
        <v>Binders</v>
      </c>
      <c r="M143" s="23" t="s">
        <v>1523</v>
      </c>
      <c r="N143" s="23" t="str">
        <f>PROPER('data cleaning'!$O143)</f>
        <v>Race Binders</v>
      </c>
      <c r="O143" s="23" t="str">
        <f>TRIM('data cleaning'!$P143)</f>
        <v>Race Binders</v>
      </c>
      <c r="P143" s="23" t="s">
        <v>1672</v>
      </c>
      <c r="Q143" s="23">
        <v>2407.42</v>
      </c>
      <c r="R143" s="23">
        <v>6</v>
      </c>
      <c r="S143" s="23">
        <v>0.2</v>
      </c>
      <c r="T143" s="24">
        <v>304.58</v>
      </c>
    </row>
    <row r="144" spans="1:20" ht="15.6" x14ac:dyDescent="0.3">
      <c r="A144" s="13" t="s">
        <v>155</v>
      </c>
      <c r="B144" s="14">
        <v>45083</v>
      </c>
      <c r="C144" s="15">
        <v>45092</v>
      </c>
      <c r="D144" s="16" t="str">
        <f>TRIM('data cleaning'!$E144)</f>
        <v>Sharon Scott</v>
      </c>
      <c r="E144" s="17" t="s">
        <v>922</v>
      </c>
      <c r="F144" s="17" t="str">
        <f>TRIM('data cleaning'!$G144)</f>
        <v>Corporate</v>
      </c>
      <c r="G144" s="17" t="s">
        <v>1514</v>
      </c>
      <c r="H144" s="17" t="str">
        <f>TRIM('data cleaning'!$I144)</f>
        <v>West</v>
      </c>
      <c r="I144" s="17" t="s">
        <v>1518</v>
      </c>
      <c r="J144" s="17" t="str">
        <f>TRIM('data cleaning'!$K144)</f>
        <v>Office Supplies</v>
      </c>
      <c r="K144" s="17" t="s">
        <v>1520</v>
      </c>
      <c r="L144" s="17" t="str">
        <f>TRIM('data cleaning'!$M144)</f>
        <v>Binders</v>
      </c>
      <c r="M144" s="17" t="s">
        <v>1523</v>
      </c>
      <c r="N144" s="17" t="str">
        <f>PROPER('data cleaning'!$O144)</f>
        <v>Goal Binders</v>
      </c>
      <c r="O144" s="17" t="str">
        <f>TRIM('data cleaning'!$P144)</f>
        <v>Goal Binders</v>
      </c>
      <c r="P144" s="17" t="s">
        <v>1673</v>
      </c>
      <c r="Q144" s="17">
        <v>1543.07</v>
      </c>
      <c r="R144" s="17">
        <v>1</v>
      </c>
      <c r="S144" s="17">
        <v>0</v>
      </c>
      <c r="T144" s="18">
        <v>538.88</v>
      </c>
    </row>
    <row r="145" spans="1:20" ht="15.6" x14ac:dyDescent="0.3">
      <c r="A145" s="19" t="s">
        <v>156</v>
      </c>
      <c r="B145" s="20">
        <v>45583</v>
      </c>
      <c r="C145" s="21">
        <v>45591</v>
      </c>
      <c r="D145" s="22" t="str">
        <f>TRIM('data cleaning'!$E145)</f>
        <v>Stephanie Marshall</v>
      </c>
      <c r="E145" s="23" t="s">
        <v>923</v>
      </c>
      <c r="F145" s="23" t="str">
        <f>TRIM('data cleaning'!$G145)</f>
        <v>Corporate</v>
      </c>
      <c r="G145" s="23" t="s">
        <v>1514</v>
      </c>
      <c r="H145" s="23" t="str">
        <f>TRIM('data cleaning'!$I145)</f>
        <v>South</v>
      </c>
      <c r="I145" s="23" t="s">
        <v>1517</v>
      </c>
      <c r="J145" s="23" t="str">
        <f>TRIM('data cleaning'!$K145)</f>
        <v>Office Supplies</v>
      </c>
      <c r="K145" s="23" t="s">
        <v>1520</v>
      </c>
      <c r="L145" s="23" t="str">
        <f>TRIM('data cleaning'!$M145)</f>
        <v>Binders</v>
      </c>
      <c r="M145" s="23" t="s">
        <v>1523</v>
      </c>
      <c r="N145" s="23" t="str">
        <f>PROPER('data cleaning'!$O145)</f>
        <v>Sister Binders</v>
      </c>
      <c r="O145" s="23" t="str">
        <f>TRIM('data cleaning'!$P145)</f>
        <v>Sister Binders</v>
      </c>
      <c r="P145" s="23" t="s">
        <v>1674</v>
      </c>
      <c r="Q145" s="23">
        <v>3576.39</v>
      </c>
      <c r="R145" s="23">
        <v>8</v>
      </c>
      <c r="S145" s="23">
        <v>0</v>
      </c>
      <c r="T145" s="24">
        <v>1053.5899999999999</v>
      </c>
    </row>
    <row r="146" spans="1:20" ht="15.6" x14ac:dyDescent="0.3">
      <c r="A146" s="13" t="s">
        <v>157</v>
      </c>
      <c r="B146" s="14">
        <v>45524</v>
      </c>
      <c r="C146" s="15">
        <v>45529</v>
      </c>
      <c r="D146" s="16" t="str">
        <f>TRIM('data cleaning'!$E146)</f>
        <v>Michelle Fuller</v>
      </c>
      <c r="E146" s="17" t="s">
        <v>924</v>
      </c>
      <c r="F146" s="17" t="str">
        <f>TRIM('data cleaning'!$G146)</f>
        <v>Corporate</v>
      </c>
      <c r="G146" s="17" t="s">
        <v>1514</v>
      </c>
      <c r="H146" s="17" t="str">
        <f>TRIM('data cleaning'!$I146)</f>
        <v>East</v>
      </c>
      <c r="I146" s="17" t="s">
        <v>1519</v>
      </c>
      <c r="J146" s="17" t="str">
        <f>TRIM('data cleaning'!$K146)</f>
        <v>Furniture</v>
      </c>
      <c r="K146" s="17" t="s">
        <v>1522</v>
      </c>
      <c r="L146" s="17" t="str">
        <f>TRIM('data cleaning'!$M146)</f>
        <v>Chairs</v>
      </c>
      <c r="M146" s="17" t="s">
        <v>1531</v>
      </c>
      <c r="N146" s="17" t="str">
        <f>PROPER('data cleaning'!$O146)</f>
        <v>Near Chairs</v>
      </c>
      <c r="O146" s="17" t="str">
        <f>TRIM('data cleaning'!$P146)</f>
        <v>Near Chairs</v>
      </c>
      <c r="P146" s="17" t="s">
        <v>1675</v>
      </c>
      <c r="Q146" s="17">
        <v>3140.37</v>
      </c>
      <c r="R146" s="17">
        <v>10</v>
      </c>
      <c r="S146" s="17">
        <v>0.2</v>
      </c>
      <c r="T146" s="18">
        <v>601.96</v>
      </c>
    </row>
    <row r="147" spans="1:20" ht="15.6" x14ac:dyDescent="0.3">
      <c r="A147" s="19" t="s">
        <v>158</v>
      </c>
      <c r="B147" s="20">
        <v>45804</v>
      </c>
      <c r="C147" s="21">
        <v>45814</v>
      </c>
      <c r="D147" s="22" t="str">
        <f>TRIM('data cleaning'!$E147)</f>
        <v>Christopher Pollard</v>
      </c>
      <c r="E147" s="23" t="s">
        <v>925</v>
      </c>
      <c r="F147" s="23" t="str">
        <f>TRIM('data cleaning'!$G147)</f>
        <v>Home Office</v>
      </c>
      <c r="G147" s="23" t="s">
        <v>1515</v>
      </c>
      <c r="H147" s="23" t="str">
        <f>TRIM('data cleaning'!$I147)</f>
        <v>South</v>
      </c>
      <c r="I147" s="23" t="s">
        <v>1517</v>
      </c>
      <c r="J147" s="23" t="str">
        <f>TRIM('data cleaning'!$K147)</f>
        <v>Technology</v>
      </c>
      <c r="K147" s="23" t="s">
        <v>1521</v>
      </c>
      <c r="L147" s="23" t="str">
        <f>TRIM('data cleaning'!$M147)</f>
        <v>Laptops</v>
      </c>
      <c r="M147" s="23" t="s">
        <v>1528</v>
      </c>
      <c r="N147" s="23" t="str">
        <f>PROPER('data cleaning'!$O147)</f>
        <v>Level Laptops</v>
      </c>
      <c r="O147" s="23" t="str">
        <f>TRIM('data cleaning'!$P147)</f>
        <v>Level Laptops</v>
      </c>
      <c r="P147" s="23" t="s">
        <v>1676</v>
      </c>
      <c r="Q147" s="23">
        <v>2179.4899999999998</v>
      </c>
      <c r="R147" s="23">
        <v>2</v>
      </c>
      <c r="S147" s="23"/>
      <c r="T147" s="24">
        <v>344.37</v>
      </c>
    </row>
    <row r="148" spans="1:20" ht="15.6" x14ac:dyDescent="0.3">
      <c r="A148" s="13" t="s">
        <v>159</v>
      </c>
      <c r="B148" s="14">
        <v>45980</v>
      </c>
      <c r="C148" s="15">
        <v>45984</v>
      </c>
      <c r="D148" s="16" t="str">
        <f>TRIM('data cleaning'!$E148)</f>
        <v>Shane Morse</v>
      </c>
      <c r="E148" s="17" t="s">
        <v>926</v>
      </c>
      <c r="F148" s="17" t="str">
        <f>TRIM('data cleaning'!$G148)</f>
        <v>Consumer</v>
      </c>
      <c r="G148" s="17" t="s">
        <v>1513</v>
      </c>
      <c r="H148" s="17" t="str">
        <f>TRIM('data cleaning'!$I148)</f>
        <v>East</v>
      </c>
      <c r="I148" s="17" t="s">
        <v>1519</v>
      </c>
      <c r="J148" s="17" t="str">
        <f>TRIM('data cleaning'!$K148)</f>
        <v>Technology</v>
      </c>
      <c r="K148" s="17" t="s">
        <v>1521</v>
      </c>
      <c r="L148" s="17" t="str">
        <f>TRIM('data cleaning'!$M148)</f>
        <v>Accessories</v>
      </c>
      <c r="M148" s="17" t="s">
        <v>1526</v>
      </c>
      <c r="N148" s="17" t="str">
        <f>PROPER('data cleaning'!$O148)</f>
        <v>Evidence Accessories</v>
      </c>
      <c r="O148" s="17" t="str">
        <f>TRIM('data cleaning'!$P148)</f>
        <v>Evidence Accessories</v>
      </c>
      <c r="P148" s="17" t="s">
        <v>1677</v>
      </c>
      <c r="Q148" s="17">
        <v>2098.38</v>
      </c>
      <c r="R148" s="17">
        <v>8</v>
      </c>
      <c r="S148" s="17">
        <v>0.15</v>
      </c>
      <c r="T148" s="18">
        <v>60.42</v>
      </c>
    </row>
    <row r="149" spans="1:20" ht="15.6" x14ac:dyDescent="0.3">
      <c r="A149" s="19" t="s">
        <v>160</v>
      </c>
      <c r="B149" s="20">
        <v>45497</v>
      </c>
      <c r="C149" s="21">
        <v>45502</v>
      </c>
      <c r="D149" s="22" t="str">
        <f>TRIM('data cleaning'!$E149)</f>
        <v>Teresa Duke</v>
      </c>
      <c r="E149" s="23" t="s">
        <v>927</v>
      </c>
      <c r="F149" s="23" t="str">
        <f>TRIM('data cleaning'!$G149)</f>
        <v>Consumer</v>
      </c>
      <c r="G149" s="23" t="s">
        <v>1513</v>
      </c>
      <c r="H149" s="23" t="str">
        <f>TRIM('data cleaning'!$I149)</f>
        <v>North</v>
      </c>
      <c r="I149" s="23" t="s">
        <v>1516</v>
      </c>
      <c r="J149" s="23" t="str">
        <f>TRIM('data cleaning'!$K149)</f>
        <v>Technology</v>
      </c>
      <c r="K149" s="23" t="s">
        <v>1521</v>
      </c>
      <c r="L149" s="23" t="str">
        <f>TRIM('data cleaning'!$M149)</f>
        <v>Accessories</v>
      </c>
      <c r="M149" s="23" t="s">
        <v>1526</v>
      </c>
      <c r="N149" s="23" t="str">
        <f>PROPER('data cleaning'!$O149)</f>
        <v>Own Accessories</v>
      </c>
      <c r="O149" s="23" t="str">
        <f>TRIM('data cleaning'!$P149)</f>
        <v>Own Accessories</v>
      </c>
      <c r="P149" s="23" t="s">
        <v>1678</v>
      </c>
      <c r="Q149" s="23">
        <v>1902.79</v>
      </c>
      <c r="R149" s="23">
        <v>3</v>
      </c>
      <c r="S149" s="23"/>
      <c r="T149" s="24">
        <v>585.38</v>
      </c>
    </row>
    <row r="150" spans="1:20" ht="15.6" x14ac:dyDescent="0.3">
      <c r="A150" s="13" t="s">
        <v>161</v>
      </c>
      <c r="B150" s="14">
        <v>45771</v>
      </c>
      <c r="C150" s="15">
        <v>45778</v>
      </c>
      <c r="D150" s="16" t="str">
        <f>TRIM('data cleaning'!$E150)</f>
        <v>Amanda Murray</v>
      </c>
      <c r="E150" s="17" t="s">
        <v>928</v>
      </c>
      <c r="F150" s="17" t="str">
        <f>TRIM('data cleaning'!$G150)</f>
        <v>Home Office</v>
      </c>
      <c r="G150" s="17" t="s">
        <v>1515</v>
      </c>
      <c r="H150" s="17" t="str">
        <f>TRIM('data cleaning'!$I150)</f>
        <v>East</v>
      </c>
      <c r="I150" s="17" t="s">
        <v>1519</v>
      </c>
      <c r="J150" s="17" t="str">
        <f>TRIM('data cleaning'!$K150)</f>
        <v>Furniture</v>
      </c>
      <c r="K150" s="17" t="s">
        <v>1522</v>
      </c>
      <c r="L150" s="17" t="str">
        <f>TRIM('data cleaning'!$M150)</f>
        <v>Chairs</v>
      </c>
      <c r="M150" s="17" t="s">
        <v>1531</v>
      </c>
      <c r="N150" s="17" t="str">
        <f>PROPER('data cleaning'!$O150)</f>
        <v>Room Chairs</v>
      </c>
      <c r="O150" s="17" t="str">
        <f>TRIM('data cleaning'!$P150)</f>
        <v>Room Chairs</v>
      </c>
      <c r="P150" s="17" t="s">
        <v>1679</v>
      </c>
      <c r="Q150" s="17">
        <v>527.99</v>
      </c>
      <c r="R150" s="17">
        <v>6</v>
      </c>
      <c r="S150" s="17">
        <v>0.05</v>
      </c>
      <c r="T150" s="18">
        <v>55.97</v>
      </c>
    </row>
    <row r="151" spans="1:20" ht="15.6" x14ac:dyDescent="0.3">
      <c r="A151" s="19" t="s">
        <v>162</v>
      </c>
      <c r="B151" s="20">
        <v>45622</v>
      </c>
      <c r="C151" s="21">
        <v>45629</v>
      </c>
      <c r="D151" s="22" t="str">
        <f>TRIM('data cleaning'!$E151)</f>
        <v>Kristina Stanley</v>
      </c>
      <c r="E151" s="23" t="s">
        <v>929</v>
      </c>
      <c r="F151" s="23" t="str">
        <f>TRIM('data cleaning'!$G151)</f>
        <v>Corporate</v>
      </c>
      <c r="G151" s="23" t="s">
        <v>1514</v>
      </c>
      <c r="H151" s="23" t="str">
        <f>TRIM('data cleaning'!$I151)</f>
        <v>East</v>
      </c>
      <c r="I151" s="23" t="s">
        <v>1519</v>
      </c>
      <c r="J151" s="23" t="str">
        <f>TRIM('data cleaning'!$K151)</f>
        <v>Office Supplies</v>
      </c>
      <c r="K151" s="23" t="s">
        <v>1520</v>
      </c>
      <c r="L151" s="23" t="str">
        <f>TRIM('data cleaning'!$M151)</f>
        <v>Binders</v>
      </c>
      <c r="M151" s="23" t="s">
        <v>1523</v>
      </c>
      <c r="N151" s="23" t="str">
        <f>PROPER('data cleaning'!$O151)</f>
        <v>At Binders</v>
      </c>
      <c r="O151" s="23" t="str">
        <f>TRIM('data cleaning'!$P151)</f>
        <v>At Binders</v>
      </c>
      <c r="P151" s="23" t="s">
        <v>1680</v>
      </c>
      <c r="Q151" s="23">
        <v>1800.31</v>
      </c>
      <c r="R151" s="23">
        <v>7</v>
      </c>
      <c r="S151" s="23"/>
      <c r="T151" s="24">
        <v>-309.12</v>
      </c>
    </row>
    <row r="152" spans="1:20" ht="15.6" x14ac:dyDescent="0.3">
      <c r="A152" s="13" t="s">
        <v>163</v>
      </c>
      <c r="B152" s="14">
        <v>45210</v>
      </c>
      <c r="C152" s="15">
        <v>45220</v>
      </c>
      <c r="D152" s="16" t="str">
        <f>TRIM('data cleaning'!$E152)</f>
        <v>Sheryl Davenport</v>
      </c>
      <c r="E152" s="17" t="s">
        <v>930</v>
      </c>
      <c r="F152" s="17" t="str">
        <f>TRIM('data cleaning'!$G152)</f>
        <v>Consumer</v>
      </c>
      <c r="G152" s="17" t="s">
        <v>1513</v>
      </c>
      <c r="H152" s="17" t="str">
        <f>TRIM('data cleaning'!$I152)</f>
        <v>East</v>
      </c>
      <c r="I152" s="17" t="s">
        <v>1519</v>
      </c>
      <c r="J152" s="17" t="str">
        <f>TRIM('data cleaning'!$K152)</f>
        <v>Technology</v>
      </c>
      <c r="K152" s="17" t="s">
        <v>1521</v>
      </c>
      <c r="L152" s="17" t="str">
        <f>TRIM('data cleaning'!$M152)</f>
        <v>Phones</v>
      </c>
      <c r="M152" s="17" t="s">
        <v>1530</v>
      </c>
      <c r="N152" s="17" t="str">
        <f>PROPER('data cleaning'!$O152)</f>
        <v>Our Phones</v>
      </c>
      <c r="O152" s="17" t="str">
        <f>TRIM('data cleaning'!$P152)</f>
        <v>Our Phones</v>
      </c>
      <c r="P152" s="17" t="s">
        <v>1681</v>
      </c>
      <c r="Q152" s="17">
        <v>2561.69</v>
      </c>
      <c r="R152" s="17">
        <v>3</v>
      </c>
      <c r="S152" s="17"/>
      <c r="T152" s="18">
        <v>167.03</v>
      </c>
    </row>
    <row r="153" spans="1:20" ht="15.6" x14ac:dyDescent="0.3">
      <c r="A153" s="19" t="s">
        <v>164</v>
      </c>
      <c r="B153" s="20">
        <v>45497</v>
      </c>
      <c r="C153" s="21">
        <v>45499</v>
      </c>
      <c r="D153" s="22" t="str">
        <f>TRIM('data cleaning'!$E153)</f>
        <v>Kendra Gonzalez</v>
      </c>
      <c r="E153" s="23" t="s">
        <v>931</v>
      </c>
      <c r="F153" s="23" t="str">
        <f>TRIM('data cleaning'!$G153)</f>
        <v>Home Office</v>
      </c>
      <c r="G153" s="23" t="s">
        <v>1515</v>
      </c>
      <c r="H153" s="23" t="str">
        <f>TRIM('data cleaning'!$I153)</f>
        <v>North</v>
      </c>
      <c r="I153" s="23" t="s">
        <v>1516</v>
      </c>
      <c r="J153" s="23" t="str">
        <f>TRIM('data cleaning'!$K153)</f>
        <v>Office Supplies</v>
      </c>
      <c r="K153" s="23" t="s">
        <v>1520</v>
      </c>
      <c r="L153" s="23" t="str">
        <f>TRIM('data cleaning'!$M153)</f>
        <v>Paper</v>
      </c>
      <c r="M153" s="23" t="s">
        <v>1524</v>
      </c>
      <c r="N153" s="23" t="str">
        <f>PROPER('data cleaning'!$O153)</f>
        <v>Scene Paper</v>
      </c>
      <c r="O153" s="23" t="str">
        <f>TRIM('data cleaning'!$P153)</f>
        <v>Scene Paper</v>
      </c>
      <c r="P153" s="23" t="s">
        <v>1682</v>
      </c>
      <c r="Q153" s="23">
        <v>3824.9</v>
      </c>
      <c r="R153" s="23">
        <v>10</v>
      </c>
      <c r="S153" s="23">
        <v>0.05</v>
      </c>
      <c r="T153" s="24">
        <v>933.17</v>
      </c>
    </row>
    <row r="154" spans="1:20" ht="15.6" x14ac:dyDescent="0.3">
      <c r="A154" s="13" t="s">
        <v>165</v>
      </c>
      <c r="B154" s="14">
        <v>46123</v>
      </c>
      <c r="C154" s="15">
        <v>46128</v>
      </c>
      <c r="D154" s="16" t="str">
        <f>TRIM('data cleaning'!$E154)</f>
        <v>Lawrence Kennedy</v>
      </c>
      <c r="E154" s="17" t="s">
        <v>932</v>
      </c>
      <c r="F154" s="17" t="str">
        <f>TRIM('data cleaning'!$G154)</f>
        <v>Corporate</v>
      </c>
      <c r="G154" s="17" t="s">
        <v>1514</v>
      </c>
      <c r="H154" s="17" t="str">
        <f>TRIM('data cleaning'!$I154)</f>
        <v>East</v>
      </c>
      <c r="I154" s="17" t="s">
        <v>1519</v>
      </c>
      <c r="J154" s="17" t="str">
        <f>TRIM('data cleaning'!$K154)</f>
        <v>Office Supplies</v>
      </c>
      <c r="K154" s="17" t="s">
        <v>1520</v>
      </c>
      <c r="L154" s="17" t="str">
        <f>TRIM('data cleaning'!$M154)</f>
        <v>Storage</v>
      </c>
      <c r="M154" s="17" t="s">
        <v>1525</v>
      </c>
      <c r="N154" s="17" t="str">
        <f>PROPER('data cleaning'!$O154)</f>
        <v>Might Storage</v>
      </c>
      <c r="O154" s="17" t="str">
        <f>TRIM('data cleaning'!$P154)</f>
        <v>Might Storage</v>
      </c>
      <c r="P154" s="17" t="s">
        <v>1683</v>
      </c>
      <c r="Q154" s="17">
        <v>193.32</v>
      </c>
      <c r="R154" s="17">
        <v>5</v>
      </c>
      <c r="S154" s="17"/>
      <c r="T154" s="18">
        <v>42.4</v>
      </c>
    </row>
    <row r="155" spans="1:20" ht="15.6" x14ac:dyDescent="0.3">
      <c r="A155" s="19" t="s">
        <v>166</v>
      </c>
      <c r="B155" s="20">
        <v>45511</v>
      </c>
      <c r="C155" s="21">
        <v>45514</v>
      </c>
      <c r="D155" s="22" t="str">
        <f>TRIM('data cleaning'!$E155)</f>
        <v>Brandon Thompson</v>
      </c>
      <c r="E155" s="23" t="s">
        <v>933</v>
      </c>
      <c r="F155" s="23" t="str">
        <f>TRIM('data cleaning'!$G155)</f>
        <v>Home Office</v>
      </c>
      <c r="G155" s="23" t="s">
        <v>1515</v>
      </c>
      <c r="H155" s="23" t="str">
        <f>TRIM('data cleaning'!$I155)</f>
        <v>North</v>
      </c>
      <c r="I155" s="23" t="s">
        <v>1516</v>
      </c>
      <c r="J155" s="23" t="str">
        <f>TRIM('data cleaning'!$K155)</f>
        <v>Furniture</v>
      </c>
      <c r="K155" s="23" t="s">
        <v>1522</v>
      </c>
      <c r="L155" s="23" t="str">
        <f>TRIM('data cleaning'!$M155)</f>
        <v>Chairs</v>
      </c>
      <c r="M155" s="23" t="s">
        <v>1531</v>
      </c>
      <c r="N155" s="23" t="str">
        <f>PROPER('data cleaning'!$O155)</f>
        <v>Three Chairs</v>
      </c>
      <c r="O155" s="23" t="str">
        <f>TRIM('data cleaning'!$P155)</f>
        <v>Three Chairs</v>
      </c>
      <c r="P155" s="23" t="s">
        <v>1684</v>
      </c>
      <c r="Q155" s="23">
        <v>2853.29</v>
      </c>
      <c r="R155" s="23">
        <v>7</v>
      </c>
      <c r="S155" s="23">
        <v>0</v>
      </c>
      <c r="T155" s="24">
        <v>-348.01</v>
      </c>
    </row>
    <row r="156" spans="1:20" ht="15.6" x14ac:dyDescent="0.3">
      <c r="A156" s="13" t="s">
        <v>167</v>
      </c>
      <c r="B156" s="14">
        <v>45159</v>
      </c>
      <c r="C156" s="15">
        <v>45168</v>
      </c>
      <c r="D156" s="16" t="str">
        <f>TRIM('data cleaning'!$E156)</f>
        <v>Ryan Johnson</v>
      </c>
      <c r="E156" s="17" t="s">
        <v>934</v>
      </c>
      <c r="F156" s="17" t="str">
        <f>TRIM('data cleaning'!$G156)</f>
        <v>Corporate</v>
      </c>
      <c r="G156" s="17" t="s">
        <v>1514</v>
      </c>
      <c r="H156" s="17" t="str">
        <f>TRIM('data cleaning'!$I156)</f>
        <v>East</v>
      </c>
      <c r="I156" s="17" t="s">
        <v>1519</v>
      </c>
      <c r="J156" s="17" t="str">
        <f>TRIM('data cleaning'!$K156)</f>
        <v>Furniture</v>
      </c>
      <c r="K156" s="17" t="s">
        <v>1522</v>
      </c>
      <c r="L156" s="17" t="str">
        <f>TRIM('data cleaning'!$M156)</f>
        <v>Bookcases</v>
      </c>
      <c r="M156" s="17" t="s">
        <v>1527</v>
      </c>
      <c r="N156" s="17" t="str">
        <f>PROPER('data cleaning'!$O156)</f>
        <v>Firm Bookcases</v>
      </c>
      <c r="O156" s="17" t="str">
        <f>TRIM('data cleaning'!$P156)</f>
        <v>Firm Bookcases</v>
      </c>
      <c r="P156" s="17" t="s">
        <v>1685</v>
      </c>
      <c r="Q156" s="17">
        <v>1114.9100000000001</v>
      </c>
      <c r="R156" s="17">
        <v>7</v>
      </c>
      <c r="S156" s="17">
        <v>0.15</v>
      </c>
      <c r="T156" s="18">
        <v>-13.94</v>
      </c>
    </row>
    <row r="157" spans="1:20" ht="15.6" x14ac:dyDescent="0.3">
      <c r="A157" s="19" t="s">
        <v>168</v>
      </c>
      <c r="B157" s="20">
        <v>45191</v>
      </c>
      <c r="C157" s="21">
        <v>45201</v>
      </c>
      <c r="D157" s="22" t="str">
        <f>TRIM('data cleaning'!$E157)</f>
        <v/>
      </c>
      <c r="E157" s="23"/>
      <c r="F157" s="23" t="str">
        <f>TRIM('data cleaning'!$G157)</f>
        <v>Home Office</v>
      </c>
      <c r="G157" s="23" t="s">
        <v>1515</v>
      </c>
      <c r="H157" s="23" t="str">
        <f>TRIM('data cleaning'!$I157)</f>
        <v>North</v>
      </c>
      <c r="I157" s="23" t="s">
        <v>1516</v>
      </c>
      <c r="J157" s="23" t="str">
        <f>TRIM('data cleaning'!$K157)</f>
        <v>Office Supplies</v>
      </c>
      <c r="K157" s="23" t="s">
        <v>1520</v>
      </c>
      <c r="L157" s="23" t="str">
        <f>TRIM('data cleaning'!$M157)</f>
        <v>Paper</v>
      </c>
      <c r="M157" s="23" t="s">
        <v>1524</v>
      </c>
      <c r="N157" s="23" t="str">
        <f>PROPER('data cleaning'!$O157)</f>
        <v>Able Paper</v>
      </c>
      <c r="O157" s="23" t="str">
        <f>TRIM('data cleaning'!$P157)</f>
        <v>Able Paper</v>
      </c>
      <c r="P157" s="23" t="s">
        <v>1686</v>
      </c>
      <c r="Q157" s="23">
        <v>3001.31</v>
      </c>
      <c r="R157" s="23">
        <v>1</v>
      </c>
      <c r="S157" s="23">
        <v>0.05</v>
      </c>
      <c r="T157" s="24">
        <v>-340.42</v>
      </c>
    </row>
    <row r="158" spans="1:20" ht="15.6" x14ac:dyDescent="0.3">
      <c r="A158" s="13" t="s">
        <v>169</v>
      </c>
      <c r="B158" s="14">
        <v>45205</v>
      </c>
      <c r="C158" s="15">
        <v>45210</v>
      </c>
      <c r="D158" s="16" t="str">
        <f>TRIM('data cleaning'!$E158)</f>
        <v>Amber Reyes</v>
      </c>
      <c r="E158" s="17" t="s">
        <v>935</v>
      </c>
      <c r="F158" s="17" t="str">
        <f>TRIM('data cleaning'!$G158)</f>
        <v>Corporate</v>
      </c>
      <c r="G158" s="17" t="s">
        <v>1514</v>
      </c>
      <c r="H158" s="17" t="str">
        <f>TRIM('data cleaning'!$I158)</f>
        <v>East</v>
      </c>
      <c r="I158" s="17" t="s">
        <v>1519</v>
      </c>
      <c r="J158" s="17" t="str">
        <f>TRIM('data cleaning'!$K158)</f>
        <v>Office Supplies</v>
      </c>
      <c r="K158" s="17" t="s">
        <v>1520</v>
      </c>
      <c r="L158" s="17" t="str">
        <f>TRIM('data cleaning'!$M158)</f>
        <v>Binders</v>
      </c>
      <c r="M158" s="17" t="s">
        <v>1523</v>
      </c>
      <c r="N158" s="17" t="str">
        <f>PROPER('data cleaning'!$O158)</f>
        <v>Go Binders</v>
      </c>
      <c r="O158" s="17" t="str">
        <f>TRIM('data cleaning'!$P158)</f>
        <v>Go Binders</v>
      </c>
      <c r="P158" s="17" t="s">
        <v>1687</v>
      </c>
      <c r="Q158" s="17">
        <v>2243.41</v>
      </c>
      <c r="R158" s="17">
        <v>7</v>
      </c>
      <c r="S158" s="17">
        <v>0.15</v>
      </c>
      <c r="T158" s="18">
        <v>300.37</v>
      </c>
    </row>
    <row r="159" spans="1:20" ht="15.6" x14ac:dyDescent="0.3">
      <c r="A159" s="19" t="s">
        <v>170</v>
      </c>
      <c r="B159" s="20">
        <v>45913</v>
      </c>
      <c r="C159" s="21">
        <v>45915</v>
      </c>
      <c r="D159" s="22" t="str">
        <f>TRIM('data cleaning'!$E159)</f>
        <v>Jaime Carpenter</v>
      </c>
      <c r="E159" s="23" t="s">
        <v>936</v>
      </c>
      <c r="F159" s="23" t="str">
        <f>TRIM('data cleaning'!$G159)</f>
        <v>Home Office</v>
      </c>
      <c r="G159" s="23" t="s">
        <v>1515</v>
      </c>
      <c r="H159" s="23" t="str">
        <f>TRIM('data cleaning'!$I159)</f>
        <v>West</v>
      </c>
      <c r="I159" s="23" t="s">
        <v>1518</v>
      </c>
      <c r="J159" s="23" t="str">
        <f>TRIM('data cleaning'!$K159)</f>
        <v>Furniture</v>
      </c>
      <c r="K159" s="23" t="s">
        <v>1522</v>
      </c>
      <c r="L159" s="23" t="str">
        <f>TRIM('data cleaning'!$M159)</f>
        <v>Bookcases</v>
      </c>
      <c r="M159" s="23" t="s">
        <v>1527</v>
      </c>
      <c r="N159" s="23" t="str">
        <f>PROPER('data cleaning'!$O159)</f>
        <v>Discuss Bookcases</v>
      </c>
      <c r="O159" s="23" t="str">
        <f>TRIM('data cleaning'!$P159)</f>
        <v>Discuss Bookcases</v>
      </c>
      <c r="P159" s="23" t="s">
        <v>1688</v>
      </c>
      <c r="Q159" s="23">
        <v>1758.61</v>
      </c>
      <c r="R159" s="23">
        <v>2</v>
      </c>
      <c r="S159" s="23">
        <v>0.1</v>
      </c>
      <c r="T159" s="24">
        <v>304.27</v>
      </c>
    </row>
    <row r="160" spans="1:20" ht="15.6" x14ac:dyDescent="0.3">
      <c r="A160" s="13" t="s">
        <v>171</v>
      </c>
      <c r="B160" s="14">
        <v>45828</v>
      </c>
      <c r="C160" s="15">
        <v>45833</v>
      </c>
      <c r="D160" s="16" t="str">
        <f>TRIM('data cleaning'!$E160)</f>
        <v>Tammy Walker</v>
      </c>
      <c r="E160" s="17" t="s">
        <v>937</v>
      </c>
      <c r="F160" s="17" t="str">
        <f>TRIM('data cleaning'!$G160)</f>
        <v>Consumer</v>
      </c>
      <c r="G160" s="17" t="s">
        <v>1513</v>
      </c>
      <c r="H160" s="17" t="str">
        <f>TRIM('data cleaning'!$I160)</f>
        <v>East</v>
      </c>
      <c r="I160" s="17" t="s">
        <v>1519</v>
      </c>
      <c r="J160" s="17" t="str">
        <f>TRIM('data cleaning'!$K160)</f>
        <v>Office Supplies</v>
      </c>
      <c r="K160" s="17" t="s">
        <v>1520</v>
      </c>
      <c r="L160" s="17" t="str">
        <f>TRIM('data cleaning'!$M160)</f>
        <v>Storage</v>
      </c>
      <c r="M160" s="17" t="s">
        <v>1525</v>
      </c>
      <c r="N160" s="17" t="str">
        <f>PROPER('data cleaning'!$O160)</f>
        <v>Sport Storage</v>
      </c>
      <c r="O160" s="17" t="str">
        <f>TRIM('data cleaning'!$P160)</f>
        <v>Sport Storage</v>
      </c>
      <c r="P160" s="17" t="s">
        <v>1689</v>
      </c>
      <c r="Q160" s="17">
        <v>274.82</v>
      </c>
      <c r="R160" s="17">
        <v>7</v>
      </c>
      <c r="S160" s="17">
        <v>0.2</v>
      </c>
      <c r="T160" s="18">
        <v>-46.68</v>
      </c>
    </row>
    <row r="161" spans="1:20" ht="15.6" x14ac:dyDescent="0.3">
      <c r="A161" s="19" t="s">
        <v>172</v>
      </c>
      <c r="B161" s="20">
        <v>45482</v>
      </c>
      <c r="C161" s="21">
        <v>45487</v>
      </c>
      <c r="D161" s="22" t="str">
        <f>TRIM('data cleaning'!$E161)</f>
        <v>Bruce Klein</v>
      </c>
      <c r="E161" s="23" t="s">
        <v>938</v>
      </c>
      <c r="F161" s="23" t="str">
        <f>TRIM('data cleaning'!$G161)</f>
        <v>Corporate</v>
      </c>
      <c r="G161" s="23" t="s">
        <v>1514</v>
      </c>
      <c r="H161" s="23" t="str">
        <f>TRIM('data cleaning'!$I161)</f>
        <v>South</v>
      </c>
      <c r="I161" s="23" t="s">
        <v>1517</v>
      </c>
      <c r="J161" s="23" t="str">
        <f>TRIM('data cleaning'!$K161)</f>
        <v>Furniture</v>
      </c>
      <c r="K161" s="23" t="s">
        <v>1522</v>
      </c>
      <c r="L161" s="23" t="str">
        <f>TRIM('data cleaning'!$M161)</f>
        <v>Chairs</v>
      </c>
      <c r="M161" s="23" t="s">
        <v>1531</v>
      </c>
      <c r="N161" s="23" t="str">
        <f>PROPER('data cleaning'!$O161)</f>
        <v>Nation Chairs</v>
      </c>
      <c r="O161" s="23" t="str">
        <f>TRIM('data cleaning'!$P161)</f>
        <v>Nation Chairs</v>
      </c>
      <c r="P161" s="23" t="s">
        <v>1690</v>
      </c>
      <c r="Q161" s="23">
        <v>1482.76</v>
      </c>
      <c r="R161" s="23">
        <v>2</v>
      </c>
      <c r="S161" s="23">
        <v>0</v>
      </c>
      <c r="T161" s="24">
        <v>109.07</v>
      </c>
    </row>
    <row r="162" spans="1:20" ht="15.6" x14ac:dyDescent="0.3">
      <c r="A162" s="13" t="s">
        <v>173</v>
      </c>
      <c r="B162" s="14">
        <v>45964</v>
      </c>
      <c r="C162" s="15">
        <v>45973</v>
      </c>
      <c r="D162" s="16" t="str">
        <f>TRIM('data cleaning'!$E162)</f>
        <v>Victoria Winters</v>
      </c>
      <c r="E162" s="17" t="s">
        <v>939</v>
      </c>
      <c r="F162" s="17" t="str">
        <f>TRIM('data cleaning'!$G162)</f>
        <v>Corporate</v>
      </c>
      <c r="G162" s="17" t="s">
        <v>1514</v>
      </c>
      <c r="H162" s="17" t="str">
        <f>TRIM('data cleaning'!$I162)</f>
        <v>North</v>
      </c>
      <c r="I162" s="17" t="s">
        <v>1516</v>
      </c>
      <c r="J162" s="17" t="str">
        <f>TRIM('data cleaning'!$K162)</f>
        <v>Furniture</v>
      </c>
      <c r="K162" s="17" t="s">
        <v>1522</v>
      </c>
      <c r="L162" s="17" t="str">
        <f>TRIM('data cleaning'!$M162)</f>
        <v>Tables</v>
      </c>
      <c r="M162" s="17" t="s">
        <v>1529</v>
      </c>
      <c r="N162" s="17" t="str">
        <f>PROPER('data cleaning'!$O162)</f>
        <v>Less Tables</v>
      </c>
      <c r="O162" s="17" t="str">
        <f>TRIM('data cleaning'!$P162)</f>
        <v>Less Tables</v>
      </c>
      <c r="P162" s="17" t="s">
        <v>1691</v>
      </c>
      <c r="Q162" s="17">
        <v>3533.17</v>
      </c>
      <c r="R162" s="17">
        <v>9</v>
      </c>
      <c r="S162" s="17">
        <v>0.2</v>
      </c>
      <c r="T162" s="18">
        <v>912.78</v>
      </c>
    </row>
    <row r="163" spans="1:20" ht="15.6" x14ac:dyDescent="0.3">
      <c r="A163" s="19" t="s">
        <v>174</v>
      </c>
      <c r="B163" s="20">
        <v>46145</v>
      </c>
      <c r="C163" s="21">
        <v>46146</v>
      </c>
      <c r="D163" s="22" t="str">
        <f>TRIM('data cleaning'!$E163)</f>
        <v>Caroline Beck</v>
      </c>
      <c r="E163" s="23" t="s">
        <v>940</v>
      </c>
      <c r="F163" s="23" t="str">
        <f>TRIM('data cleaning'!$G163)</f>
        <v>Home Office</v>
      </c>
      <c r="G163" s="23" t="s">
        <v>1515</v>
      </c>
      <c r="H163" s="23" t="str">
        <f>TRIM('data cleaning'!$I163)</f>
        <v>West</v>
      </c>
      <c r="I163" s="23" t="s">
        <v>1518</v>
      </c>
      <c r="J163" s="23" t="str">
        <f>TRIM('data cleaning'!$K163)</f>
        <v>Technology</v>
      </c>
      <c r="K163" s="23" t="s">
        <v>1521</v>
      </c>
      <c r="L163" s="23" t="str">
        <f>TRIM('data cleaning'!$M163)</f>
        <v>Laptops</v>
      </c>
      <c r="M163" s="23" t="s">
        <v>1528</v>
      </c>
      <c r="N163" s="23" t="str">
        <f>PROPER('data cleaning'!$O163)</f>
        <v>Project Laptops</v>
      </c>
      <c r="O163" s="23" t="str">
        <f>TRIM('data cleaning'!$P163)</f>
        <v>Project Laptops</v>
      </c>
      <c r="P163" s="23" t="s">
        <v>1692</v>
      </c>
      <c r="Q163" s="23">
        <v>2209.29</v>
      </c>
      <c r="R163" s="23">
        <v>8</v>
      </c>
      <c r="S163" s="23">
        <v>0</v>
      </c>
      <c r="T163" s="24">
        <v>605.70000000000005</v>
      </c>
    </row>
    <row r="164" spans="1:20" ht="15.6" x14ac:dyDescent="0.3">
      <c r="A164" s="13" t="s">
        <v>175</v>
      </c>
      <c r="B164" s="14">
        <v>45555</v>
      </c>
      <c r="C164" s="15">
        <v>45562</v>
      </c>
      <c r="D164" s="16" t="str">
        <f>TRIM('data cleaning'!$E164)</f>
        <v>Jerry Jackson</v>
      </c>
      <c r="E164" s="17" t="s">
        <v>941</v>
      </c>
      <c r="F164" s="17" t="str">
        <f>TRIM('data cleaning'!$G164)</f>
        <v>Consumer</v>
      </c>
      <c r="G164" s="17" t="s">
        <v>1513</v>
      </c>
      <c r="H164" s="17" t="str">
        <f>TRIM('data cleaning'!$I164)</f>
        <v>West</v>
      </c>
      <c r="I164" s="17" t="s">
        <v>1518</v>
      </c>
      <c r="J164" s="17" t="str">
        <f>TRIM('data cleaning'!$K164)</f>
        <v>Office Supplies</v>
      </c>
      <c r="K164" s="17" t="s">
        <v>1520</v>
      </c>
      <c r="L164" s="17" t="str">
        <f>TRIM('data cleaning'!$M164)</f>
        <v>Paper</v>
      </c>
      <c r="M164" s="17" t="s">
        <v>1524</v>
      </c>
      <c r="N164" s="17" t="str">
        <f>PROPER('data cleaning'!$O164)</f>
        <v>President Paper</v>
      </c>
      <c r="O164" s="17" t="str">
        <f>TRIM('data cleaning'!$P164)</f>
        <v>President Paper</v>
      </c>
      <c r="P164" s="17" t="s">
        <v>1693</v>
      </c>
      <c r="Q164" s="17">
        <v>1483.1</v>
      </c>
      <c r="R164" s="17">
        <v>7</v>
      </c>
      <c r="S164" s="17">
        <v>0</v>
      </c>
      <c r="T164" s="18">
        <v>491.51</v>
      </c>
    </row>
    <row r="165" spans="1:20" ht="15.6" x14ac:dyDescent="0.3">
      <c r="A165" s="19" t="s">
        <v>176</v>
      </c>
      <c r="B165" s="20">
        <v>45875</v>
      </c>
      <c r="C165" s="21">
        <v>45877</v>
      </c>
      <c r="D165" s="22" t="str">
        <f>TRIM('data cleaning'!$E165)</f>
        <v>Pamela Johnson</v>
      </c>
      <c r="E165" s="23" t="s">
        <v>942</v>
      </c>
      <c r="F165" s="23" t="str">
        <f>TRIM('data cleaning'!$G165)</f>
        <v>Corporate</v>
      </c>
      <c r="G165" s="23" t="s">
        <v>1514</v>
      </c>
      <c r="H165" s="23" t="str">
        <f>TRIM('data cleaning'!$I165)</f>
        <v>North</v>
      </c>
      <c r="I165" s="23" t="s">
        <v>1516</v>
      </c>
      <c r="J165" s="23" t="str">
        <f>TRIM('data cleaning'!$K165)</f>
        <v>Office Supplies</v>
      </c>
      <c r="K165" s="23" t="s">
        <v>1520</v>
      </c>
      <c r="L165" s="23" t="str">
        <f>TRIM('data cleaning'!$M165)</f>
        <v>Paper</v>
      </c>
      <c r="M165" s="23" t="s">
        <v>1524</v>
      </c>
      <c r="N165" s="23" t="str">
        <f>PROPER('data cleaning'!$O165)</f>
        <v>Myself Paper</v>
      </c>
      <c r="O165" s="23" t="str">
        <f>TRIM('data cleaning'!$P165)</f>
        <v>Myself Paper</v>
      </c>
      <c r="P165" s="23" t="s">
        <v>1694</v>
      </c>
      <c r="Q165" s="23">
        <v>2211.7199999999998</v>
      </c>
      <c r="R165" s="23">
        <v>2</v>
      </c>
      <c r="S165" s="23">
        <v>0.05</v>
      </c>
      <c r="T165" s="24">
        <v>87.63</v>
      </c>
    </row>
    <row r="166" spans="1:20" ht="15.6" x14ac:dyDescent="0.3">
      <c r="A166" s="13" t="s">
        <v>177</v>
      </c>
      <c r="B166" s="14">
        <v>46139</v>
      </c>
      <c r="C166" s="15">
        <v>46145</v>
      </c>
      <c r="D166" s="16" t="str">
        <f>TRIM('data cleaning'!$E166)</f>
        <v>Sharon Clay</v>
      </c>
      <c r="E166" s="17" t="s">
        <v>943</v>
      </c>
      <c r="F166" s="17" t="str">
        <f>TRIM('data cleaning'!$G166)</f>
        <v>Consumer</v>
      </c>
      <c r="G166" s="17" t="s">
        <v>1513</v>
      </c>
      <c r="H166" s="17" t="str">
        <f>TRIM('data cleaning'!$I166)</f>
        <v>South</v>
      </c>
      <c r="I166" s="17" t="s">
        <v>1517</v>
      </c>
      <c r="J166" s="17" t="str">
        <f>TRIM('data cleaning'!$K166)</f>
        <v>Technology</v>
      </c>
      <c r="K166" s="17" t="s">
        <v>1521</v>
      </c>
      <c r="L166" s="17" t="str">
        <f>TRIM('data cleaning'!$M166)</f>
        <v>Accessories</v>
      </c>
      <c r="M166" s="17" t="s">
        <v>1526</v>
      </c>
      <c r="N166" s="17" t="str">
        <f>PROPER('data cleaning'!$O166)</f>
        <v>Car Accessories</v>
      </c>
      <c r="O166" s="17" t="str">
        <f>TRIM('data cleaning'!$P166)</f>
        <v>Car Accessories</v>
      </c>
      <c r="P166" s="17" t="s">
        <v>1695</v>
      </c>
      <c r="Q166" s="17">
        <v>1146.78</v>
      </c>
      <c r="R166" s="17">
        <v>3</v>
      </c>
      <c r="S166" s="17">
        <v>0</v>
      </c>
      <c r="T166" s="18">
        <v>92.62</v>
      </c>
    </row>
    <row r="167" spans="1:20" ht="15.6" x14ac:dyDescent="0.3">
      <c r="A167" s="19" t="s">
        <v>178</v>
      </c>
      <c r="B167" s="20">
        <v>45529</v>
      </c>
      <c r="C167" s="21">
        <v>45532</v>
      </c>
      <c r="D167" s="22" t="str">
        <f>TRIM('data cleaning'!$E167)</f>
        <v>Stephen Andrews</v>
      </c>
      <c r="E167" s="23" t="s">
        <v>944</v>
      </c>
      <c r="F167" s="23" t="str">
        <f>TRIM('data cleaning'!$G167)</f>
        <v>Home Office</v>
      </c>
      <c r="G167" s="23" t="s">
        <v>1515</v>
      </c>
      <c r="H167" s="23" t="str">
        <f>TRIM('data cleaning'!$I167)</f>
        <v>South</v>
      </c>
      <c r="I167" s="23" t="s">
        <v>1517</v>
      </c>
      <c r="J167" s="23" t="str">
        <f>TRIM('data cleaning'!$K167)</f>
        <v>Technology</v>
      </c>
      <c r="K167" s="23" t="s">
        <v>1521</v>
      </c>
      <c r="L167" s="23" t="str">
        <f>TRIM('data cleaning'!$M167)</f>
        <v>Accessories</v>
      </c>
      <c r="M167" s="23" t="s">
        <v>1526</v>
      </c>
      <c r="N167" s="23" t="str">
        <f>PROPER('data cleaning'!$O167)</f>
        <v>Stay Accessories</v>
      </c>
      <c r="O167" s="23" t="str">
        <f>TRIM('data cleaning'!$P167)</f>
        <v>Stay Accessories</v>
      </c>
      <c r="P167" s="23" t="s">
        <v>1585</v>
      </c>
      <c r="Q167" s="23">
        <v>1219.53</v>
      </c>
      <c r="R167" s="23">
        <v>3</v>
      </c>
      <c r="S167" s="23">
        <v>0.1</v>
      </c>
      <c r="T167" s="24">
        <v>-111.59</v>
      </c>
    </row>
    <row r="168" spans="1:20" ht="15.6" x14ac:dyDescent="0.3">
      <c r="A168" s="13" t="s">
        <v>179</v>
      </c>
      <c r="B168" s="14">
        <v>45970</v>
      </c>
      <c r="C168" s="15">
        <v>45973</v>
      </c>
      <c r="D168" s="16" t="str">
        <f>TRIM('data cleaning'!$E168)</f>
        <v>Angela Mercado</v>
      </c>
      <c r="E168" s="17" t="s">
        <v>945</v>
      </c>
      <c r="F168" s="17" t="str">
        <f>TRIM('data cleaning'!$G168)</f>
        <v>Home Office</v>
      </c>
      <c r="G168" s="17" t="s">
        <v>1515</v>
      </c>
      <c r="H168" s="17" t="str">
        <f>TRIM('data cleaning'!$I168)</f>
        <v>West</v>
      </c>
      <c r="I168" s="17" t="s">
        <v>1518</v>
      </c>
      <c r="J168" s="17" t="str">
        <f>TRIM('data cleaning'!$K168)</f>
        <v>Office Supplies</v>
      </c>
      <c r="K168" s="17" t="s">
        <v>1520</v>
      </c>
      <c r="L168" s="17" t="str">
        <f>TRIM('data cleaning'!$M168)</f>
        <v>Binders</v>
      </c>
      <c r="M168" s="17" t="s">
        <v>1523</v>
      </c>
      <c r="N168" s="17" t="str">
        <f>PROPER('data cleaning'!$O168)</f>
        <v>Almost Binders</v>
      </c>
      <c r="O168" s="17" t="str">
        <f>TRIM('data cleaning'!$P168)</f>
        <v>Almost Binders</v>
      </c>
      <c r="P168" s="17" t="s">
        <v>1696</v>
      </c>
      <c r="Q168" s="17">
        <v>4758.8999999999996</v>
      </c>
      <c r="R168" s="17">
        <v>8</v>
      </c>
      <c r="S168" s="17">
        <v>0.15</v>
      </c>
      <c r="T168" s="18">
        <v>1022.9</v>
      </c>
    </row>
    <row r="169" spans="1:20" ht="15.6" x14ac:dyDescent="0.3">
      <c r="A169" s="19" t="s">
        <v>180</v>
      </c>
      <c r="B169" s="20">
        <v>45406</v>
      </c>
      <c r="C169" s="21">
        <v>45416</v>
      </c>
      <c r="D169" s="22" t="str">
        <f>TRIM('data cleaning'!$E169)</f>
        <v>Daniel Wolfe</v>
      </c>
      <c r="E169" s="23" t="s">
        <v>946</v>
      </c>
      <c r="F169" s="23" t="str">
        <f>TRIM('data cleaning'!$G169)</f>
        <v>Corporate</v>
      </c>
      <c r="G169" s="23" t="s">
        <v>1514</v>
      </c>
      <c r="H169" s="23" t="str">
        <f>TRIM('data cleaning'!$I169)</f>
        <v>West</v>
      </c>
      <c r="I169" s="23" t="s">
        <v>1518</v>
      </c>
      <c r="J169" s="23" t="str">
        <f>TRIM('data cleaning'!$K169)</f>
        <v>Office Supplies</v>
      </c>
      <c r="K169" s="23" t="s">
        <v>1520</v>
      </c>
      <c r="L169" s="23" t="str">
        <f>TRIM('data cleaning'!$M169)</f>
        <v>Storage</v>
      </c>
      <c r="M169" s="23" t="s">
        <v>1525</v>
      </c>
      <c r="N169" s="23" t="str">
        <f>PROPER('data cleaning'!$O169)</f>
        <v>Name Storage</v>
      </c>
      <c r="O169" s="23" t="str">
        <f>TRIM('data cleaning'!$P169)</f>
        <v>Name Storage</v>
      </c>
      <c r="P169" s="23" t="s">
        <v>1697</v>
      </c>
      <c r="Q169" s="23">
        <v>1649.88</v>
      </c>
      <c r="R169" s="23">
        <v>6</v>
      </c>
      <c r="S169" s="23">
        <v>0.05</v>
      </c>
      <c r="T169" s="24">
        <v>69.08</v>
      </c>
    </row>
    <row r="170" spans="1:20" ht="15.6" x14ac:dyDescent="0.3">
      <c r="A170" s="13" t="s">
        <v>181</v>
      </c>
      <c r="B170" s="14">
        <v>46010</v>
      </c>
      <c r="C170" s="15">
        <v>46015</v>
      </c>
      <c r="D170" s="16" t="str">
        <f>TRIM('data cleaning'!$E170)</f>
        <v>Erik Turner</v>
      </c>
      <c r="E170" s="17" t="s">
        <v>947</v>
      </c>
      <c r="F170" s="17" t="str">
        <f>TRIM('data cleaning'!$G170)</f>
        <v>Corporate</v>
      </c>
      <c r="G170" s="17" t="s">
        <v>1514</v>
      </c>
      <c r="H170" s="17" t="str">
        <f>TRIM('data cleaning'!$I170)</f>
        <v/>
      </c>
      <c r="I170" s="17"/>
      <c r="J170" s="17" t="str">
        <f>TRIM('data cleaning'!$K170)</f>
        <v>Office Supplies</v>
      </c>
      <c r="K170" s="17" t="s">
        <v>1520</v>
      </c>
      <c r="L170" s="17" t="str">
        <f>TRIM('data cleaning'!$M170)</f>
        <v>Paper</v>
      </c>
      <c r="M170" s="17" t="s">
        <v>1524</v>
      </c>
      <c r="N170" s="17" t="str">
        <f>PROPER('data cleaning'!$O170)</f>
        <v>Hear Paper</v>
      </c>
      <c r="O170" s="17" t="str">
        <f>TRIM('data cleaning'!$P170)</f>
        <v>Hear Paper</v>
      </c>
      <c r="P170" s="17" t="s">
        <v>1698</v>
      </c>
      <c r="Q170" s="17">
        <v>2977.53</v>
      </c>
      <c r="R170" s="17">
        <v>6</v>
      </c>
      <c r="S170" s="17">
        <v>0.2</v>
      </c>
      <c r="T170" s="18">
        <v>-474.01</v>
      </c>
    </row>
    <row r="171" spans="1:20" ht="15.6" x14ac:dyDescent="0.3">
      <c r="A171" s="19" t="s">
        <v>182</v>
      </c>
      <c r="B171" s="20">
        <v>46065</v>
      </c>
      <c r="C171" s="21">
        <v>46071</v>
      </c>
      <c r="D171" s="22" t="str">
        <f>TRIM('data cleaning'!$E171)</f>
        <v>Brian Grant</v>
      </c>
      <c r="E171" s="23" t="s">
        <v>948</v>
      </c>
      <c r="F171" s="23" t="str">
        <f>TRIM('data cleaning'!$G171)</f>
        <v>Consumer</v>
      </c>
      <c r="G171" s="23" t="s">
        <v>1513</v>
      </c>
      <c r="H171" s="23" t="str">
        <f>TRIM('data cleaning'!$I171)</f>
        <v>West</v>
      </c>
      <c r="I171" s="23" t="s">
        <v>1518</v>
      </c>
      <c r="J171" s="23" t="str">
        <f>TRIM('data cleaning'!$K171)</f>
        <v>Furniture</v>
      </c>
      <c r="K171" s="23" t="s">
        <v>1522</v>
      </c>
      <c r="L171" s="23" t="str">
        <f>TRIM('data cleaning'!$M171)</f>
        <v>Chairs</v>
      </c>
      <c r="M171" s="23" t="s">
        <v>1531</v>
      </c>
      <c r="N171" s="23" t="str">
        <f>PROPER('data cleaning'!$O171)</f>
        <v>Bank Chairs</v>
      </c>
      <c r="O171" s="23" t="str">
        <f>TRIM('data cleaning'!$P171)</f>
        <v>Bank Chairs</v>
      </c>
      <c r="P171" s="23" t="s">
        <v>1699</v>
      </c>
      <c r="Q171" s="23">
        <v>4166.8999999999996</v>
      </c>
      <c r="R171" s="23">
        <v>2</v>
      </c>
      <c r="S171" s="23"/>
      <c r="T171" s="24">
        <v>1147.3</v>
      </c>
    </row>
    <row r="172" spans="1:20" ht="15.6" x14ac:dyDescent="0.3">
      <c r="A172" s="13" t="s">
        <v>183</v>
      </c>
      <c r="B172" s="14">
        <v>45782</v>
      </c>
      <c r="C172" s="15">
        <v>45791</v>
      </c>
      <c r="D172" s="16" t="str">
        <f>TRIM('data cleaning'!$E172)</f>
        <v>Mr. Travis Love MD</v>
      </c>
      <c r="E172" s="17" t="s">
        <v>949</v>
      </c>
      <c r="F172" s="17" t="str">
        <f>TRIM('data cleaning'!$G172)</f>
        <v>Home Office</v>
      </c>
      <c r="G172" s="17" t="s">
        <v>1515</v>
      </c>
      <c r="H172" s="17" t="str">
        <f>TRIM('data cleaning'!$I172)</f>
        <v>South</v>
      </c>
      <c r="I172" s="17" t="s">
        <v>1517</v>
      </c>
      <c r="J172" s="17" t="str">
        <f>TRIM('data cleaning'!$K172)</f>
        <v>Technology</v>
      </c>
      <c r="K172" s="17" t="s">
        <v>1521</v>
      </c>
      <c r="L172" s="17" t="str">
        <f>TRIM('data cleaning'!$M172)</f>
        <v>Laptops</v>
      </c>
      <c r="M172" s="17" t="s">
        <v>1528</v>
      </c>
      <c r="N172" s="17" t="str">
        <f>PROPER('data cleaning'!$O172)</f>
        <v>Seat Laptops</v>
      </c>
      <c r="O172" s="17" t="str">
        <f>TRIM('data cleaning'!$P172)</f>
        <v>Seat Laptops</v>
      </c>
      <c r="P172" s="17" t="s">
        <v>1700</v>
      </c>
      <c r="Q172" s="17">
        <v>4773.45</v>
      </c>
      <c r="R172" s="17">
        <v>1</v>
      </c>
      <c r="S172" s="17">
        <v>0.15</v>
      </c>
      <c r="T172" s="18">
        <v>1431.93</v>
      </c>
    </row>
    <row r="173" spans="1:20" ht="15.6" x14ac:dyDescent="0.3">
      <c r="A173" s="19" t="s">
        <v>184</v>
      </c>
      <c r="B173" s="20">
        <v>45950</v>
      </c>
      <c r="C173" s="21">
        <v>45958</v>
      </c>
      <c r="D173" s="22" t="str">
        <f>TRIM('data cleaning'!$E173)</f>
        <v>Denise Evans</v>
      </c>
      <c r="E173" s="23" t="s">
        <v>950</v>
      </c>
      <c r="F173" s="23" t="str">
        <f>TRIM('data cleaning'!$G173)</f>
        <v>Corporate</v>
      </c>
      <c r="G173" s="23" t="s">
        <v>1514</v>
      </c>
      <c r="H173" s="23" t="str">
        <f>TRIM('data cleaning'!$I173)</f>
        <v>North</v>
      </c>
      <c r="I173" s="23" t="s">
        <v>1516</v>
      </c>
      <c r="J173" s="23" t="str">
        <f>TRIM('data cleaning'!$K173)</f>
        <v>Technology</v>
      </c>
      <c r="K173" s="23" t="s">
        <v>1521</v>
      </c>
      <c r="L173" s="23" t="str">
        <f>TRIM('data cleaning'!$M173)</f>
        <v>Laptops</v>
      </c>
      <c r="M173" s="23" t="s">
        <v>1528</v>
      </c>
      <c r="N173" s="23" t="str">
        <f>PROPER('data cleaning'!$O173)</f>
        <v>Charge Laptops</v>
      </c>
      <c r="O173" s="23" t="str">
        <f>TRIM('data cleaning'!$P173)</f>
        <v>Charge Laptops</v>
      </c>
      <c r="P173" s="23" t="s">
        <v>1701</v>
      </c>
      <c r="Q173" s="23">
        <v>2531.77</v>
      </c>
      <c r="R173" s="23">
        <v>1</v>
      </c>
      <c r="S173" s="23">
        <v>0.15</v>
      </c>
      <c r="T173" s="24">
        <v>-362.23</v>
      </c>
    </row>
    <row r="174" spans="1:20" ht="15.6" x14ac:dyDescent="0.3">
      <c r="A174" s="13" t="s">
        <v>185</v>
      </c>
      <c r="B174" s="14">
        <v>46090</v>
      </c>
      <c r="C174" s="15">
        <v>46093</v>
      </c>
      <c r="D174" s="16" t="str">
        <f>TRIM('data cleaning'!$E174)</f>
        <v>Amy Fitzpatrick</v>
      </c>
      <c r="E174" s="17" t="s">
        <v>951</v>
      </c>
      <c r="F174" s="17" t="str">
        <f>TRIM('data cleaning'!$G174)</f>
        <v>Home Office</v>
      </c>
      <c r="G174" s="17" t="s">
        <v>1515</v>
      </c>
      <c r="H174" s="17" t="str">
        <f>TRIM('data cleaning'!$I174)</f>
        <v>South</v>
      </c>
      <c r="I174" s="17" t="s">
        <v>1517</v>
      </c>
      <c r="J174" s="17" t="str">
        <f>TRIM('data cleaning'!$K174)</f>
        <v>Office Supplies</v>
      </c>
      <c r="K174" s="17" t="s">
        <v>1520</v>
      </c>
      <c r="L174" s="17" t="str">
        <f>TRIM('data cleaning'!$M174)</f>
        <v>Storage</v>
      </c>
      <c r="M174" s="17" t="s">
        <v>1525</v>
      </c>
      <c r="N174" s="17" t="str">
        <f>PROPER('data cleaning'!$O174)</f>
        <v>Radio Storage</v>
      </c>
      <c r="O174" s="17" t="str">
        <f>TRIM('data cleaning'!$P174)</f>
        <v>Radio Storage</v>
      </c>
      <c r="P174" s="17" t="s">
        <v>1702</v>
      </c>
      <c r="Q174" s="17">
        <v>243.75</v>
      </c>
      <c r="R174" s="17">
        <v>8</v>
      </c>
      <c r="S174" s="17">
        <v>0.15</v>
      </c>
      <c r="T174" s="18">
        <v>21.51</v>
      </c>
    </row>
    <row r="175" spans="1:20" ht="15.6" x14ac:dyDescent="0.3">
      <c r="A175" s="19" t="s">
        <v>186</v>
      </c>
      <c r="B175" s="20">
        <v>45942</v>
      </c>
      <c r="C175" s="21">
        <v>45947</v>
      </c>
      <c r="D175" s="22" t="str">
        <f>TRIM('data cleaning'!$E175)</f>
        <v>Kathryn Kim</v>
      </c>
      <c r="E175" s="23" t="s">
        <v>952</v>
      </c>
      <c r="F175" s="23" t="str">
        <f>TRIM('data cleaning'!$G175)</f>
        <v>Home Office</v>
      </c>
      <c r="G175" s="23" t="s">
        <v>1515</v>
      </c>
      <c r="H175" s="23" t="str">
        <f>TRIM('data cleaning'!$I175)</f>
        <v>East</v>
      </c>
      <c r="I175" s="23" t="s">
        <v>1519</v>
      </c>
      <c r="J175" s="23" t="str">
        <f>TRIM('data cleaning'!$K175)</f>
        <v>Technology</v>
      </c>
      <c r="K175" s="23" t="s">
        <v>1521</v>
      </c>
      <c r="L175" s="23" t="str">
        <f>TRIM('data cleaning'!$M175)</f>
        <v>Accessories</v>
      </c>
      <c r="M175" s="23" t="s">
        <v>1526</v>
      </c>
      <c r="N175" s="23" t="str">
        <f>PROPER('data cleaning'!$O175)</f>
        <v>Significant Accessories</v>
      </c>
      <c r="O175" s="23" t="str">
        <f>TRIM('data cleaning'!$P175)</f>
        <v>Significant Accessories</v>
      </c>
      <c r="P175" s="23" t="s">
        <v>1703</v>
      </c>
      <c r="Q175" s="23">
        <v>1967.71</v>
      </c>
      <c r="R175" s="23">
        <v>6</v>
      </c>
      <c r="S175" s="23"/>
      <c r="T175" s="24">
        <v>253.51</v>
      </c>
    </row>
    <row r="176" spans="1:20" ht="15.6" x14ac:dyDescent="0.3">
      <c r="A176" s="13" t="s">
        <v>187</v>
      </c>
      <c r="B176" s="14">
        <v>45480</v>
      </c>
      <c r="C176" s="15">
        <v>45482</v>
      </c>
      <c r="D176" s="16" t="str">
        <f>TRIM('data cleaning'!$E176)</f>
        <v>Barbara Hall</v>
      </c>
      <c r="E176" s="17" t="s">
        <v>953</v>
      </c>
      <c r="F176" s="17" t="str">
        <f>TRIM('data cleaning'!$G176)</f>
        <v>Home Office</v>
      </c>
      <c r="G176" s="17" t="s">
        <v>1515</v>
      </c>
      <c r="H176" s="17" t="str">
        <f>TRIM('data cleaning'!$I176)</f>
        <v>South</v>
      </c>
      <c r="I176" s="17" t="s">
        <v>1517</v>
      </c>
      <c r="J176" s="17" t="str">
        <f>TRIM('data cleaning'!$K176)</f>
        <v>Furniture</v>
      </c>
      <c r="K176" s="17" t="s">
        <v>1522</v>
      </c>
      <c r="L176" s="17" t="str">
        <f>TRIM('data cleaning'!$M176)</f>
        <v>Tables</v>
      </c>
      <c r="M176" s="17" t="s">
        <v>1529</v>
      </c>
      <c r="N176" s="17" t="str">
        <f>PROPER('data cleaning'!$O176)</f>
        <v>By Tables</v>
      </c>
      <c r="O176" s="17" t="str">
        <f>TRIM('data cleaning'!$P176)</f>
        <v>By Tables</v>
      </c>
      <c r="P176" s="17" t="s">
        <v>1704</v>
      </c>
      <c r="Q176" s="17">
        <v>2811.92</v>
      </c>
      <c r="R176" s="17">
        <v>7</v>
      </c>
      <c r="S176" s="17">
        <v>0.1</v>
      </c>
      <c r="T176" s="18">
        <v>-172.66</v>
      </c>
    </row>
    <row r="177" spans="1:20" ht="15.6" x14ac:dyDescent="0.3">
      <c r="A177" s="19" t="s">
        <v>188</v>
      </c>
      <c r="B177" s="20">
        <v>45905</v>
      </c>
      <c r="C177" s="21">
        <v>45915</v>
      </c>
      <c r="D177" s="22" t="str">
        <f>TRIM('data cleaning'!$E177)</f>
        <v>Joy Johnson</v>
      </c>
      <c r="E177" s="23" t="s">
        <v>954</v>
      </c>
      <c r="F177" s="23" t="str">
        <f>TRIM('data cleaning'!$G177)</f>
        <v>Home Office</v>
      </c>
      <c r="G177" s="23" t="s">
        <v>1515</v>
      </c>
      <c r="H177" s="23" t="str">
        <f>TRIM('data cleaning'!$I177)</f>
        <v>West</v>
      </c>
      <c r="I177" s="23" t="s">
        <v>1518</v>
      </c>
      <c r="J177" s="23" t="str">
        <f>TRIM('data cleaning'!$K177)</f>
        <v>Technology</v>
      </c>
      <c r="K177" s="23" t="s">
        <v>1521</v>
      </c>
      <c r="L177" s="23" t="str">
        <f>TRIM('data cleaning'!$M177)</f>
        <v>Phones</v>
      </c>
      <c r="M177" s="23" t="s">
        <v>1530</v>
      </c>
      <c r="N177" s="23" t="str">
        <f>PROPER('data cleaning'!$O177)</f>
        <v>Discuss Phones</v>
      </c>
      <c r="O177" s="23" t="str">
        <f>TRIM('data cleaning'!$P177)</f>
        <v>Discuss Phones</v>
      </c>
      <c r="P177" s="23" t="s">
        <v>1705</v>
      </c>
      <c r="Q177" s="23">
        <v>3334.88</v>
      </c>
      <c r="R177" s="23">
        <v>6</v>
      </c>
      <c r="S177" s="23">
        <v>0.1</v>
      </c>
      <c r="T177" s="24">
        <v>1107.96</v>
      </c>
    </row>
    <row r="178" spans="1:20" ht="15.6" x14ac:dyDescent="0.3">
      <c r="A178" s="13" t="s">
        <v>189</v>
      </c>
      <c r="B178" s="14">
        <v>46023</v>
      </c>
      <c r="C178" s="15">
        <v>46025</v>
      </c>
      <c r="D178" s="16" t="str">
        <f>TRIM('data cleaning'!$E178)</f>
        <v>Cheryl Thompson</v>
      </c>
      <c r="E178" s="17" t="s">
        <v>955</v>
      </c>
      <c r="F178" s="17" t="str">
        <f>TRIM('data cleaning'!$G178)</f>
        <v>Consumer</v>
      </c>
      <c r="G178" s="17" t="s">
        <v>1513</v>
      </c>
      <c r="H178" s="17" t="str">
        <f>TRIM('data cleaning'!$I178)</f>
        <v>North</v>
      </c>
      <c r="I178" s="17" t="s">
        <v>1516</v>
      </c>
      <c r="J178" s="17" t="str">
        <f>TRIM('data cleaning'!$K178)</f>
        <v>Furniture</v>
      </c>
      <c r="K178" s="17" t="s">
        <v>1522</v>
      </c>
      <c r="L178" s="17" t="str">
        <f>TRIM('data cleaning'!$M178)</f>
        <v>Bookcases</v>
      </c>
      <c r="M178" s="17" t="s">
        <v>1527</v>
      </c>
      <c r="N178" s="17" t="str">
        <f>PROPER('data cleaning'!$O178)</f>
        <v>Election Bookcases</v>
      </c>
      <c r="O178" s="17" t="str">
        <f>TRIM('data cleaning'!$P178)</f>
        <v>Election Bookcases</v>
      </c>
      <c r="P178" s="17" t="s">
        <v>1706</v>
      </c>
      <c r="Q178" s="17">
        <v>1582.43</v>
      </c>
      <c r="R178" s="17">
        <v>7</v>
      </c>
      <c r="S178" s="17"/>
      <c r="T178" s="18">
        <v>372.53</v>
      </c>
    </row>
    <row r="179" spans="1:20" ht="15.6" x14ac:dyDescent="0.3">
      <c r="A179" s="19" t="s">
        <v>190</v>
      </c>
      <c r="B179" s="20">
        <v>45582</v>
      </c>
      <c r="C179" s="21">
        <v>45589</v>
      </c>
      <c r="D179" s="22" t="str">
        <f>TRIM('data cleaning'!$E179)</f>
        <v>William Gonzalez</v>
      </c>
      <c r="E179" s="23" t="s">
        <v>858</v>
      </c>
      <c r="F179" s="23" t="str">
        <f>TRIM('data cleaning'!$G179)</f>
        <v>Consumer</v>
      </c>
      <c r="G179" s="23" t="s">
        <v>1513</v>
      </c>
      <c r="H179" s="23" t="str">
        <f>TRIM('data cleaning'!$I179)</f>
        <v>East</v>
      </c>
      <c r="I179" s="23" t="s">
        <v>1519</v>
      </c>
      <c r="J179" s="23" t="str">
        <f>TRIM('data cleaning'!$K179)</f>
        <v>Office Supplies</v>
      </c>
      <c r="K179" s="23" t="s">
        <v>1520</v>
      </c>
      <c r="L179" s="23" t="str">
        <f>TRIM('data cleaning'!$M179)</f>
        <v>Storage</v>
      </c>
      <c r="M179" s="23" t="s">
        <v>1525</v>
      </c>
      <c r="N179" s="23" t="str">
        <f>PROPER('data cleaning'!$O179)</f>
        <v>Onto Storage</v>
      </c>
      <c r="O179" s="23" t="str">
        <f>TRIM('data cleaning'!$P179)</f>
        <v>Onto Storage</v>
      </c>
      <c r="P179" s="23" t="s">
        <v>1707</v>
      </c>
      <c r="Q179" s="23">
        <v>2567.02</v>
      </c>
      <c r="R179" s="23">
        <v>1</v>
      </c>
      <c r="S179" s="23">
        <v>0.1</v>
      </c>
      <c r="T179" s="24">
        <v>-77.33</v>
      </c>
    </row>
    <row r="180" spans="1:20" ht="15.6" x14ac:dyDescent="0.3">
      <c r="A180" s="13" t="s">
        <v>191</v>
      </c>
      <c r="B180" s="14">
        <v>45663</v>
      </c>
      <c r="C180" s="15">
        <v>45667</v>
      </c>
      <c r="D180" s="16" t="str">
        <f>TRIM('data cleaning'!$E180)</f>
        <v>Bobby Rosario</v>
      </c>
      <c r="E180" s="17" t="s">
        <v>956</v>
      </c>
      <c r="F180" s="17" t="str">
        <f>TRIM('data cleaning'!$G180)</f>
        <v>Consumer</v>
      </c>
      <c r="G180" s="17" t="s">
        <v>1513</v>
      </c>
      <c r="H180" s="17" t="str">
        <f>TRIM('data cleaning'!$I180)</f>
        <v>North</v>
      </c>
      <c r="I180" s="17" t="s">
        <v>1516</v>
      </c>
      <c r="J180" s="17" t="str">
        <f>TRIM('data cleaning'!$K180)</f>
        <v>Technology</v>
      </c>
      <c r="K180" s="17" t="s">
        <v>1521</v>
      </c>
      <c r="L180" s="17" t="str">
        <f>TRIM('data cleaning'!$M180)</f>
        <v>Phones</v>
      </c>
      <c r="M180" s="17" t="s">
        <v>1530</v>
      </c>
      <c r="N180" s="17" t="str">
        <f>PROPER('data cleaning'!$O180)</f>
        <v>Little Phones</v>
      </c>
      <c r="O180" s="17" t="str">
        <f>TRIM('data cleaning'!$P180)</f>
        <v>Little Phones</v>
      </c>
      <c r="P180" s="17" t="s">
        <v>1708</v>
      </c>
      <c r="Q180" s="17">
        <v>4999.88</v>
      </c>
      <c r="R180" s="17">
        <v>3</v>
      </c>
      <c r="S180" s="17">
        <v>0</v>
      </c>
      <c r="T180" s="18">
        <v>-186.57</v>
      </c>
    </row>
    <row r="181" spans="1:20" ht="15.6" x14ac:dyDescent="0.3">
      <c r="A181" s="19" t="s">
        <v>192</v>
      </c>
      <c r="B181" s="20">
        <v>45947</v>
      </c>
      <c r="C181" s="21">
        <v>45957</v>
      </c>
      <c r="D181" s="22" t="str">
        <f>TRIM('data cleaning'!$E181)</f>
        <v>Robert Snyder</v>
      </c>
      <c r="E181" s="23" t="s">
        <v>957</v>
      </c>
      <c r="F181" s="23" t="str">
        <f>TRIM('data cleaning'!$G181)</f>
        <v>Home Office</v>
      </c>
      <c r="G181" s="23" t="s">
        <v>1515</v>
      </c>
      <c r="H181" s="23" t="str">
        <f>TRIM('data cleaning'!$I181)</f>
        <v>South</v>
      </c>
      <c r="I181" s="23" t="s">
        <v>1517</v>
      </c>
      <c r="J181" s="23" t="str">
        <f>TRIM('data cleaning'!$K181)</f>
        <v>Office Supplies</v>
      </c>
      <c r="K181" s="23" t="s">
        <v>1520</v>
      </c>
      <c r="L181" s="23" t="str">
        <f>TRIM('data cleaning'!$M181)</f>
        <v>Paper</v>
      </c>
      <c r="M181" s="23" t="s">
        <v>1524</v>
      </c>
      <c r="N181" s="23" t="str">
        <f>PROPER('data cleaning'!$O181)</f>
        <v>True Paper</v>
      </c>
      <c r="O181" s="23" t="str">
        <f>TRIM('data cleaning'!$P181)</f>
        <v>True Paper</v>
      </c>
      <c r="P181" s="23" t="s">
        <v>1709</v>
      </c>
      <c r="Q181" s="23">
        <v>698.69</v>
      </c>
      <c r="R181" s="23">
        <v>7</v>
      </c>
      <c r="S181" s="23">
        <v>0.05</v>
      </c>
      <c r="T181" s="24">
        <v>-77.39</v>
      </c>
    </row>
    <row r="182" spans="1:20" ht="15.6" x14ac:dyDescent="0.3">
      <c r="A182" s="13" t="s">
        <v>193</v>
      </c>
      <c r="B182" s="14">
        <v>45922</v>
      </c>
      <c r="C182" s="15">
        <v>45923</v>
      </c>
      <c r="D182" s="16" t="str">
        <f>TRIM('data cleaning'!$E182)</f>
        <v>Paul Beasley</v>
      </c>
      <c r="E182" s="17" t="s">
        <v>958</v>
      </c>
      <c r="F182" s="17" t="str">
        <f>TRIM('data cleaning'!$G182)</f>
        <v>Home Office</v>
      </c>
      <c r="G182" s="17" t="s">
        <v>1515</v>
      </c>
      <c r="H182" s="17" t="str">
        <f>TRIM('data cleaning'!$I182)</f>
        <v>West</v>
      </c>
      <c r="I182" s="17" t="s">
        <v>1518</v>
      </c>
      <c r="J182" s="17" t="str">
        <f>TRIM('data cleaning'!$K182)</f>
        <v>Office Supplies</v>
      </c>
      <c r="K182" s="17" t="s">
        <v>1520</v>
      </c>
      <c r="L182" s="17" t="str">
        <f>TRIM('data cleaning'!$M182)</f>
        <v>Paper</v>
      </c>
      <c r="M182" s="17" t="s">
        <v>1524</v>
      </c>
      <c r="N182" s="17" t="str">
        <f>PROPER('data cleaning'!$O182)</f>
        <v>Sea Paper</v>
      </c>
      <c r="O182" s="17" t="str">
        <f>TRIM('data cleaning'!$P182)</f>
        <v>Sea Paper</v>
      </c>
      <c r="P182" s="17" t="s">
        <v>1710</v>
      </c>
      <c r="Q182" s="17">
        <v>2083.75</v>
      </c>
      <c r="R182" s="17">
        <v>4</v>
      </c>
      <c r="S182" s="17">
        <v>0.15</v>
      </c>
      <c r="T182" s="18">
        <v>283.02999999999997</v>
      </c>
    </row>
    <row r="183" spans="1:20" ht="15.6" x14ac:dyDescent="0.3">
      <c r="A183" s="19" t="s">
        <v>194</v>
      </c>
      <c r="B183" s="20">
        <v>45198</v>
      </c>
      <c r="C183" s="21">
        <v>45202</v>
      </c>
      <c r="D183" s="22" t="str">
        <f>TRIM('data cleaning'!$E183)</f>
        <v>Justin Jones</v>
      </c>
      <c r="E183" s="23" t="s">
        <v>959</v>
      </c>
      <c r="F183" s="23" t="str">
        <f>TRIM('data cleaning'!$G183)</f>
        <v>Home Office</v>
      </c>
      <c r="G183" s="23" t="s">
        <v>1515</v>
      </c>
      <c r="H183" s="23" t="str">
        <f>TRIM('data cleaning'!$I183)</f>
        <v>West</v>
      </c>
      <c r="I183" s="23" t="s">
        <v>1518</v>
      </c>
      <c r="J183" s="23" t="str">
        <f>TRIM('data cleaning'!$K183)</f>
        <v>Furniture</v>
      </c>
      <c r="K183" s="23" t="s">
        <v>1522</v>
      </c>
      <c r="L183" s="23" t="str">
        <f>TRIM('data cleaning'!$M183)</f>
        <v>Bookcases</v>
      </c>
      <c r="M183" s="23" t="s">
        <v>1527</v>
      </c>
      <c r="N183" s="23" t="str">
        <f>PROPER('data cleaning'!$O183)</f>
        <v>Best Bookcases</v>
      </c>
      <c r="O183" s="23" t="str">
        <f>TRIM('data cleaning'!$P183)</f>
        <v>Best Bookcases</v>
      </c>
      <c r="P183" s="23" t="s">
        <v>1711</v>
      </c>
      <c r="Q183" s="23">
        <v>1581.87</v>
      </c>
      <c r="R183" s="23">
        <v>8</v>
      </c>
      <c r="S183" s="23">
        <v>0.05</v>
      </c>
      <c r="T183" s="24">
        <v>3.66</v>
      </c>
    </row>
    <row r="184" spans="1:20" ht="15.6" x14ac:dyDescent="0.3">
      <c r="A184" s="13" t="s">
        <v>195</v>
      </c>
      <c r="B184" s="14">
        <v>45707</v>
      </c>
      <c r="C184" s="15">
        <v>45714</v>
      </c>
      <c r="D184" s="16" t="str">
        <f>TRIM('data cleaning'!$E184)</f>
        <v>David Brady</v>
      </c>
      <c r="E184" s="17" t="s">
        <v>960</v>
      </c>
      <c r="F184" s="17" t="str">
        <f>TRIM('data cleaning'!$G184)</f>
        <v>Home Office</v>
      </c>
      <c r="G184" s="17" t="s">
        <v>1515</v>
      </c>
      <c r="H184" s="17" t="str">
        <f>TRIM('data cleaning'!$I184)</f>
        <v>South</v>
      </c>
      <c r="I184" s="17" t="s">
        <v>1517</v>
      </c>
      <c r="J184" s="17" t="str">
        <f>TRIM('data cleaning'!$K184)</f>
        <v>Technology</v>
      </c>
      <c r="K184" s="17" t="s">
        <v>1521</v>
      </c>
      <c r="L184" s="17" t="str">
        <f>TRIM('data cleaning'!$M184)</f>
        <v>Accessories</v>
      </c>
      <c r="M184" s="17" t="s">
        <v>1526</v>
      </c>
      <c r="N184" s="17" t="str">
        <f>PROPER('data cleaning'!$O184)</f>
        <v>Event Accessories</v>
      </c>
      <c r="O184" s="17" t="str">
        <f>TRIM('data cleaning'!$P184)</f>
        <v>Event Accessories</v>
      </c>
      <c r="P184" s="17" t="s">
        <v>1712</v>
      </c>
      <c r="Q184" s="17">
        <v>2539.39</v>
      </c>
      <c r="R184" s="17">
        <v>7</v>
      </c>
      <c r="S184" s="17">
        <v>0.05</v>
      </c>
      <c r="T184" s="18">
        <v>633.04</v>
      </c>
    </row>
    <row r="185" spans="1:20" ht="15.6" x14ac:dyDescent="0.3">
      <c r="A185" s="19" t="s">
        <v>196</v>
      </c>
      <c r="B185" s="20">
        <v>45310</v>
      </c>
      <c r="C185" s="21">
        <v>45318</v>
      </c>
      <c r="D185" s="22" t="str">
        <f>TRIM('data cleaning'!$E185)</f>
        <v>Claire Farley</v>
      </c>
      <c r="E185" s="23" t="s">
        <v>961</v>
      </c>
      <c r="F185" s="23" t="str">
        <f>TRIM('data cleaning'!$G185)</f>
        <v>Home Office</v>
      </c>
      <c r="G185" s="23" t="s">
        <v>1515</v>
      </c>
      <c r="H185" s="23" t="str">
        <f>TRIM('data cleaning'!$I185)</f>
        <v>North</v>
      </c>
      <c r="I185" s="23" t="s">
        <v>1516</v>
      </c>
      <c r="J185" s="23" t="str">
        <f>TRIM('data cleaning'!$K185)</f>
        <v>Technology</v>
      </c>
      <c r="K185" s="23" t="s">
        <v>1521</v>
      </c>
      <c r="L185" s="23" t="str">
        <f>TRIM('data cleaning'!$M185)</f>
        <v>Phones</v>
      </c>
      <c r="M185" s="23" t="s">
        <v>1530</v>
      </c>
      <c r="N185" s="23" t="str">
        <f>PROPER('data cleaning'!$O185)</f>
        <v>Suddenly Phones</v>
      </c>
      <c r="O185" s="23" t="str">
        <f>TRIM('data cleaning'!$P185)</f>
        <v>Suddenly Phones</v>
      </c>
      <c r="P185" s="23" t="s">
        <v>1713</v>
      </c>
      <c r="Q185" s="23">
        <v>4376.88</v>
      </c>
      <c r="R185" s="23">
        <v>9</v>
      </c>
      <c r="S185" s="23">
        <v>0</v>
      </c>
      <c r="T185" s="24">
        <v>837.17</v>
      </c>
    </row>
    <row r="186" spans="1:20" ht="15.6" x14ac:dyDescent="0.3">
      <c r="A186" s="13" t="s">
        <v>197</v>
      </c>
      <c r="B186" s="14">
        <v>45116</v>
      </c>
      <c r="C186" s="15">
        <v>45119</v>
      </c>
      <c r="D186" s="16" t="str">
        <f>TRIM('data cleaning'!$E186)</f>
        <v>Elizabeth Lutz</v>
      </c>
      <c r="E186" s="17" t="s">
        <v>962</v>
      </c>
      <c r="F186" s="17" t="str">
        <f>TRIM('data cleaning'!$G186)</f>
        <v>Consumer</v>
      </c>
      <c r="G186" s="17" t="s">
        <v>1513</v>
      </c>
      <c r="H186" s="17" t="str">
        <f>TRIM('data cleaning'!$I186)</f>
        <v>South</v>
      </c>
      <c r="I186" s="17" t="s">
        <v>1517</v>
      </c>
      <c r="J186" s="17" t="str">
        <f>TRIM('data cleaning'!$K186)</f>
        <v>Technology</v>
      </c>
      <c r="K186" s="17" t="s">
        <v>1521</v>
      </c>
      <c r="L186" s="17" t="str">
        <f>TRIM('data cleaning'!$M186)</f>
        <v>Phones</v>
      </c>
      <c r="M186" s="17" t="s">
        <v>1530</v>
      </c>
      <c r="N186" s="17" t="str">
        <f>PROPER('data cleaning'!$O186)</f>
        <v>Hard Phones</v>
      </c>
      <c r="O186" s="17" t="str">
        <f>TRIM('data cleaning'!$P186)</f>
        <v>Hard Phones</v>
      </c>
      <c r="P186" s="17" t="s">
        <v>1714</v>
      </c>
      <c r="Q186" s="17">
        <v>1400.32</v>
      </c>
      <c r="R186" s="17">
        <v>9</v>
      </c>
      <c r="S186" s="17">
        <v>0.05</v>
      </c>
      <c r="T186" s="18">
        <v>359.99</v>
      </c>
    </row>
    <row r="187" spans="1:20" ht="15.6" x14ac:dyDescent="0.3">
      <c r="A187" s="19" t="s">
        <v>198</v>
      </c>
      <c r="B187" s="20">
        <v>45887</v>
      </c>
      <c r="C187" s="21">
        <v>45888</v>
      </c>
      <c r="D187" s="22" t="str">
        <f>TRIM('data cleaning'!$E187)</f>
        <v>William Dougherty</v>
      </c>
      <c r="E187" s="23" t="s">
        <v>963</v>
      </c>
      <c r="F187" s="23" t="str">
        <f>TRIM('data cleaning'!$G187)</f>
        <v>Corporate</v>
      </c>
      <c r="G187" s="23" t="s">
        <v>1514</v>
      </c>
      <c r="H187" s="23" t="str">
        <f>TRIM('data cleaning'!$I187)</f>
        <v>North</v>
      </c>
      <c r="I187" s="23" t="s">
        <v>1516</v>
      </c>
      <c r="J187" s="23" t="str">
        <f>TRIM('data cleaning'!$K187)</f>
        <v>Technology</v>
      </c>
      <c r="K187" s="23" t="s">
        <v>1521</v>
      </c>
      <c r="L187" s="23" t="str">
        <f>TRIM('data cleaning'!$M187)</f>
        <v>Accessories</v>
      </c>
      <c r="M187" s="23" t="s">
        <v>1526</v>
      </c>
      <c r="N187" s="23" t="str">
        <f>PROPER('data cleaning'!$O187)</f>
        <v>Little Accessories</v>
      </c>
      <c r="O187" s="23" t="str">
        <f>TRIM('data cleaning'!$P187)</f>
        <v>Little Accessories</v>
      </c>
      <c r="P187" s="23" t="s">
        <v>1715</v>
      </c>
      <c r="Q187" s="23">
        <v>2103.7399999999998</v>
      </c>
      <c r="R187" s="23">
        <v>7</v>
      </c>
      <c r="S187" s="23">
        <v>0.2</v>
      </c>
      <c r="T187" s="24">
        <v>11.95</v>
      </c>
    </row>
    <row r="188" spans="1:20" ht="15.6" x14ac:dyDescent="0.3">
      <c r="A188" s="13" t="s">
        <v>199</v>
      </c>
      <c r="B188" s="14" t="s">
        <v>768</v>
      </c>
      <c r="C188" s="15">
        <v>45185</v>
      </c>
      <c r="D188" s="16" t="str">
        <f>TRIM('data cleaning'!$E188)</f>
        <v>Phyllis Arnold</v>
      </c>
      <c r="E188" s="17" t="s">
        <v>964</v>
      </c>
      <c r="F188" s="17" t="str">
        <f>TRIM('data cleaning'!$G188)</f>
        <v>Consumer</v>
      </c>
      <c r="G188" s="17" t="s">
        <v>1513</v>
      </c>
      <c r="H188" s="17" t="str">
        <f>TRIM('data cleaning'!$I188)</f>
        <v>South</v>
      </c>
      <c r="I188" s="17" t="s">
        <v>1517</v>
      </c>
      <c r="J188" s="17" t="str">
        <f>TRIM('data cleaning'!$K188)</f>
        <v>Technology</v>
      </c>
      <c r="K188" s="17" t="s">
        <v>1521</v>
      </c>
      <c r="L188" s="17" t="str">
        <f>TRIM('data cleaning'!$M188)</f>
        <v>Phones</v>
      </c>
      <c r="M188" s="17" t="s">
        <v>1530</v>
      </c>
      <c r="N188" s="17" t="str">
        <f>PROPER('data cleaning'!$O188)</f>
        <v>Not Phones</v>
      </c>
      <c r="O188" s="17" t="str">
        <f>TRIM('data cleaning'!$P188)</f>
        <v>Not Phones</v>
      </c>
      <c r="P188" s="17" t="s">
        <v>1716</v>
      </c>
      <c r="Q188" s="17">
        <v>1627.49</v>
      </c>
      <c r="R188" s="17">
        <v>2</v>
      </c>
      <c r="S188" s="17"/>
      <c r="T188" s="18">
        <v>256.29000000000002</v>
      </c>
    </row>
    <row r="189" spans="1:20" ht="15.6" x14ac:dyDescent="0.3">
      <c r="A189" s="19" t="s">
        <v>200</v>
      </c>
      <c r="B189" s="20">
        <v>45874</v>
      </c>
      <c r="C189" s="21">
        <v>45882</v>
      </c>
      <c r="D189" s="22" t="str">
        <f>TRIM('data cleaning'!$E189)</f>
        <v>Michael Hall</v>
      </c>
      <c r="E189" s="23" t="s">
        <v>965</v>
      </c>
      <c r="F189" s="23" t="str">
        <f>TRIM('data cleaning'!$G189)</f>
        <v>Home Office</v>
      </c>
      <c r="G189" s="23" t="s">
        <v>1515</v>
      </c>
      <c r="H189" s="23" t="str">
        <f>TRIM('data cleaning'!$I189)</f>
        <v>North</v>
      </c>
      <c r="I189" s="23" t="s">
        <v>1516</v>
      </c>
      <c r="J189" s="23" t="str">
        <f>TRIM('data cleaning'!$K189)</f>
        <v>Furniture</v>
      </c>
      <c r="K189" s="23" t="s">
        <v>1522</v>
      </c>
      <c r="L189" s="23" t="str">
        <f>TRIM('data cleaning'!$M189)</f>
        <v>Tables</v>
      </c>
      <c r="M189" s="23" t="s">
        <v>1529</v>
      </c>
      <c r="N189" s="23" t="str">
        <f>PROPER('data cleaning'!$O189)</f>
        <v>Which Tables</v>
      </c>
      <c r="O189" s="23" t="str">
        <f>TRIM('data cleaning'!$P189)</f>
        <v>Which Tables</v>
      </c>
      <c r="P189" s="23" t="s">
        <v>1717</v>
      </c>
      <c r="Q189" s="23">
        <v>3495.56</v>
      </c>
      <c r="R189" s="23">
        <v>3</v>
      </c>
      <c r="S189" s="23"/>
      <c r="T189" s="24">
        <v>202.78</v>
      </c>
    </row>
    <row r="190" spans="1:20" ht="15.6" x14ac:dyDescent="0.3">
      <c r="A190" s="13" t="s">
        <v>201</v>
      </c>
      <c r="B190" s="14">
        <v>45644</v>
      </c>
      <c r="C190" s="15">
        <v>45649</v>
      </c>
      <c r="D190" s="16" t="str">
        <f>TRIM('data cleaning'!$E190)</f>
        <v>Jeremiah Wade</v>
      </c>
      <c r="E190" s="17" t="s">
        <v>966</v>
      </c>
      <c r="F190" s="17" t="str">
        <f>TRIM('data cleaning'!$G190)</f>
        <v>Home Office</v>
      </c>
      <c r="G190" s="17" t="s">
        <v>1515</v>
      </c>
      <c r="H190" s="17" t="str">
        <f>TRIM('data cleaning'!$I190)</f>
        <v>West</v>
      </c>
      <c r="I190" s="17" t="s">
        <v>1518</v>
      </c>
      <c r="J190" s="17" t="str">
        <f>TRIM('data cleaning'!$K190)</f>
        <v>Furniture</v>
      </c>
      <c r="K190" s="17" t="s">
        <v>1522</v>
      </c>
      <c r="L190" s="17" t="str">
        <f>TRIM('data cleaning'!$M190)</f>
        <v>Chairs</v>
      </c>
      <c r="M190" s="17" t="s">
        <v>1531</v>
      </c>
      <c r="N190" s="17" t="str">
        <f>PROPER('data cleaning'!$O190)</f>
        <v>Pick Chairs</v>
      </c>
      <c r="O190" s="17" t="str">
        <f>TRIM('data cleaning'!$P190)</f>
        <v>Pick Chairs</v>
      </c>
      <c r="P190" s="17" t="s">
        <v>1718</v>
      </c>
      <c r="Q190" s="17">
        <v>1117.49</v>
      </c>
      <c r="R190" s="17">
        <v>3</v>
      </c>
      <c r="S190" s="17">
        <v>0.2</v>
      </c>
      <c r="T190" s="18">
        <v>354.38</v>
      </c>
    </row>
    <row r="191" spans="1:20" ht="15.6" x14ac:dyDescent="0.3">
      <c r="A191" s="19" t="s">
        <v>202</v>
      </c>
      <c r="B191" s="20">
        <v>45975</v>
      </c>
      <c r="C191" s="21">
        <v>45979</v>
      </c>
      <c r="D191" s="22" t="str">
        <f>TRIM('data cleaning'!$E191)</f>
        <v>Tina Taylor</v>
      </c>
      <c r="E191" s="23" t="s">
        <v>967</v>
      </c>
      <c r="F191" s="23" t="str">
        <f>TRIM('data cleaning'!$G191)</f>
        <v>Home Office</v>
      </c>
      <c r="G191" s="23" t="s">
        <v>1515</v>
      </c>
      <c r="H191" s="23" t="str">
        <f>TRIM('data cleaning'!$I191)</f>
        <v>West</v>
      </c>
      <c r="I191" s="23" t="s">
        <v>1518</v>
      </c>
      <c r="J191" s="23" t="str">
        <f>TRIM('data cleaning'!$K191)</f>
        <v>Furniture</v>
      </c>
      <c r="K191" s="23" t="s">
        <v>1522</v>
      </c>
      <c r="L191" s="23" t="str">
        <f>TRIM('data cleaning'!$M191)</f>
        <v>Tables</v>
      </c>
      <c r="M191" s="23" t="s">
        <v>1529</v>
      </c>
      <c r="N191" s="23" t="str">
        <f>PROPER('data cleaning'!$O191)</f>
        <v>Eye Tables</v>
      </c>
      <c r="O191" s="23" t="str">
        <f>TRIM('data cleaning'!$P191)</f>
        <v>Eye Tables</v>
      </c>
      <c r="P191" s="23" t="s">
        <v>1719</v>
      </c>
      <c r="Q191" s="23">
        <v>1540.7</v>
      </c>
      <c r="R191" s="23">
        <v>1</v>
      </c>
      <c r="S191" s="23">
        <v>0.05</v>
      </c>
      <c r="T191" s="24">
        <v>47.61</v>
      </c>
    </row>
    <row r="192" spans="1:20" ht="15.6" x14ac:dyDescent="0.3">
      <c r="A192" s="13" t="s">
        <v>203</v>
      </c>
      <c r="B192" s="14">
        <v>45123</v>
      </c>
      <c r="C192" s="15">
        <v>45131</v>
      </c>
      <c r="D192" s="16" t="str">
        <f>TRIM('data cleaning'!$E192)</f>
        <v>Robert Martinez</v>
      </c>
      <c r="E192" s="17" t="s">
        <v>968</v>
      </c>
      <c r="F192" s="17" t="str">
        <f>TRIM('data cleaning'!$G192)</f>
        <v>Consumer</v>
      </c>
      <c r="G192" s="17" t="s">
        <v>1513</v>
      </c>
      <c r="H192" s="17" t="str">
        <f>TRIM('data cleaning'!$I192)</f>
        <v>South</v>
      </c>
      <c r="I192" s="17" t="s">
        <v>1517</v>
      </c>
      <c r="J192" s="17" t="str">
        <f>TRIM('data cleaning'!$K192)</f>
        <v>Furniture</v>
      </c>
      <c r="K192" s="17" t="s">
        <v>1522</v>
      </c>
      <c r="L192" s="17" t="str">
        <f>TRIM('data cleaning'!$M192)</f>
        <v>Chairs</v>
      </c>
      <c r="M192" s="17" t="s">
        <v>1531</v>
      </c>
      <c r="N192" s="17" t="str">
        <f>PROPER('data cleaning'!$O192)</f>
        <v>Garden Chairs</v>
      </c>
      <c r="O192" s="17" t="str">
        <f>TRIM('data cleaning'!$P192)</f>
        <v>Garden Chairs</v>
      </c>
      <c r="P192" s="17" t="s">
        <v>1720</v>
      </c>
      <c r="Q192" s="17">
        <v>3003.86</v>
      </c>
      <c r="R192" s="17">
        <v>1</v>
      </c>
      <c r="S192" s="17"/>
      <c r="T192" s="18">
        <v>250.69</v>
      </c>
    </row>
    <row r="193" spans="1:20" ht="15.6" x14ac:dyDescent="0.3">
      <c r="A193" s="19" t="s">
        <v>204</v>
      </c>
      <c r="B193" s="20">
        <v>45596</v>
      </c>
      <c r="C193" s="21">
        <v>45597</v>
      </c>
      <c r="D193" s="22" t="str">
        <f>TRIM('data cleaning'!$E193)</f>
        <v>Jimmy Fisher</v>
      </c>
      <c r="E193" s="23" t="s">
        <v>969</v>
      </c>
      <c r="F193" s="23" t="str">
        <f>TRIM('data cleaning'!$G193)</f>
        <v>Home Office</v>
      </c>
      <c r="G193" s="23" t="s">
        <v>1515</v>
      </c>
      <c r="H193" s="23" t="str">
        <f>TRIM('data cleaning'!$I193)</f>
        <v>North</v>
      </c>
      <c r="I193" s="23" t="s">
        <v>1516</v>
      </c>
      <c r="J193" s="23" t="str">
        <f>TRIM('data cleaning'!$K193)</f>
        <v>Technology</v>
      </c>
      <c r="K193" s="23" t="s">
        <v>1521</v>
      </c>
      <c r="L193" s="23" t="str">
        <f>TRIM('data cleaning'!$M193)</f>
        <v>Accessories</v>
      </c>
      <c r="M193" s="23" t="s">
        <v>1526</v>
      </c>
      <c r="N193" s="23" t="str">
        <f>PROPER('data cleaning'!$O193)</f>
        <v>Open Accessories</v>
      </c>
      <c r="O193" s="23" t="str">
        <f>TRIM('data cleaning'!$P193)</f>
        <v>Open Accessories</v>
      </c>
      <c r="P193" s="23" t="s">
        <v>1721</v>
      </c>
      <c r="Q193" s="23">
        <v>3093.31</v>
      </c>
      <c r="R193" s="23">
        <v>4</v>
      </c>
      <c r="S193" s="23">
        <v>0.2</v>
      </c>
      <c r="T193" s="24">
        <v>90.05</v>
      </c>
    </row>
    <row r="194" spans="1:20" ht="15.6" x14ac:dyDescent="0.3">
      <c r="A194" s="13" t="s">
        <v>205</v>
      </c>
      <c r="B194" s="14">
        <v>45492</v>
      </c>
      <c r="C194" s="15">
        <v>45494</v>
      </c>
      <c r="D194" s="16" t="str">
        <f>TRIM('data cleaning'!$E194)</f>
        <v>Michael Ruiz</v>
      </c>
      <c r="E194" s="17" t="s">
        <v>970</v>
      </c>
      <c r="F194" s="17" t="str">
        <f>TRIM('data cleaning'!$G194)</f>
        <v>Home Office</v>
      </c>
      <c r="G194" s="17" t="s">
        <v>1515</v>
      </c>
      <c r="H194" s="17" t="str">
        <f>TRIM('data cleaning'!$I194)</f>
        <v>North</v>
      </c>
      <c r="I194" s="17" t="s">
        <v>1516</v>
      </c>
      <c r="J194" s="17" t="str">
        <f>TRIM('data cleaning'!$K194)</f>
        <v>Office Supplies</v>
      </c>
      <c r="K194" s="17" t="s">
        <v>1520</v>
      </c>
      <c r="L194" s="17" t="str">
        <f>TRIM('data cleaning'!$M194)</f>
        <v>Paper</v>
      </c>
      <c r="M194" s="17" t="s">
        <v>1524</v>
      </c>
      <c r="N194" s="17" t="str">
        <f>PROPER('data cleaning'!$O194)</f>
        <v>Watch Paper</v>
      </c>
      <c r="O194" s="17" t="str">
        <f>TRIM('data cleaning'!$P194)</f>
        <v>Watch Paper</v>
      </c>
      <c r="P194" s="17" t="s">
        <v>1722</v>
      </c>
      <c r="Q194" s="17">
        <v>4769.3500000000004</v>
      </c>
      <c r="R194" s="17">
        <v>9</v>
      </c>
      <c r="S194" s="17">
        <v>0.2</v>
      </c>
      <c r="T194" s="18">
        <v>1109</v>
      </c>
    </row>
    <row r="195" spans="1:20" ht="15.6" x14ac:dyDescent="0.3">
      <c r="A195" s="19" t="s">
        <v>206</v>
      </c>
      <c r="B195" s="20">
        <v>45321</v>
      </c>
      <c r="C195" s="21">
        <v>45322</v>
      </c>
      <c r="D195" s="22" t="str">
        <f>TRIM('data cleaning'!$E195)</f>
        <v>Brett Lee</v>
      </c>
      <c r="E195" s="23" t="s">
        <v>971</v>
      </c>
      <c r="F195" s="23" t="str">
        <f>TRIM('data cleaning'!$G195)</f>
        <v>Corporate</v>
      </c>
      <c r="G195" s="23" t="s">
        <v>1514</v>
      </c>
      <c r="H195" s="23" t="str">
        <f>TRIM('data cleaning'!$I195)</f>
        <v>North</v>
      </c>
      <c r="I195" s="23" t="s">
        <v>1516</v>
      </c>
      <c r="J195" s="23" t="str">
        <f>TRIM('data cleaning'!$K195)</f>
        <v>Technology</v>
      </c>
      <c r="K195" s="23" t="s">
        <v>1521</v>
      </c>
      <c r="L195" s="23" t="str">
        <f>TRIM('data cleaning'!$M195)</f>
        <v>Accessories</v>
      </c>
      <c r="M195" s="23" t="s">
        <v>1526</v>
      </c>
      <c r="N195" s="23" t="str">
        <f>PROPER('data cleaning'!$O195)</f>
        <v>Boy Accessories</v>
      </c>
      <c r="O195" s="23" t="str">
        <f>TRIM('data cleaning'!$P195)</f>
        <v>Boy Accessories</v>
      </c>
      <c r="P195" s="23" t="s">
        <v>1723</v>
      </c>
      <c r="Q195" s="23">
        <v>3196.57</v>
      </c>
      <c r="R195" s="23">
        <v>6</v>
      </c>
      <c r="S195" s="23">
        <v>0.1</v>
      </c>
      <c r="T195" s="24">
        <v>674.55</v>
      </c>
    </row>
    <row r="196" spans="1:20" ht="15.6" x14ac:dyDescent="0.3">
      <c r="A196" s="13" t="s">
        <v>207</v>
      </c>
      <c r="B196" s="14">
        <v>45286</v>
      </c>
      <c r="C196" s="15">
        <v>45288</v>
      </c>
      <c r="D196" s="16" t="str">
        <f>TRIM('data cleaning'!$E196)</f>
        <v>Cynthia Moore</v>
      </c>
      <c r="E196" s="17" t="s">
        <v>972</v>
      </c>
      <c r="F196" s="17" t="str">
        <f>TRIM('data cleaning'!$G196)</f>
        <v>Home Office</v>
      </c>
      <c r="G196" s="17" t="s">
        <v>1515</v>
      </c>
      <c r="H196" s="17" t="str">
        <f>TRIM('data cleaning'!$I196)</f>
        <v>East</v>
      </c>
      <c r="I196" s="17" t="s">
        <v>1519</v>
      </c>
      <c r="J196" s="17" t="str">
        <f>TRIM('data cleaning'!$K196)</f>
        <v>Technology</v>
      </c>
      <c r="K196" s="17" t="s">
        <v>1521</v>
      </c>
      <c r="L196" s="17" t="str">
        <f>TRIM('data cleaning'!$M196)</f>
        <v>Phones</v>
      </c>
      <c r="M196" s="17" t="s">
        <v>1530</v>
      </c>
      <c r="N196" s="17" t="str">
        <f>PROPER('data cleaning'!$O196)</f>
        <v>Pull Phones</v>
      </c>
      <c r="O196" s="17" t="str">
        <f>TRIM('data cleaning'!$P196)</f>
        <v>Pull Phones</v>
      </c>
      <c r="P196" s="17" t="s">
        <v>1724</v>
      </c>
      <c r="Q196" s="17">
        <v>3868.93</v>
      </c>
      <c r="R196" s="17">
        <v>6</v>
      </c>
      <c r="S196" s="17">
        <v>0.05</v>
      </c>
      <c r="T196" s="18">
        <v>-679.44</v>
      </c>
    </row>
    <row r="197" spans="1:20" ht="15.6" x14ac:dyDescent="0.3">
      <c r="A197" s="19" t="s">
        <v>208</v>
      </c>
      <c r="B197" s="20">
        <v>45088</v>
      </c>
      <c r="C197" s="21">
        <v>45096</v>
      </c>
      <c r="D197" s="22" t="str">
        <f>TRIM('data cleaning'!$E197)</f>
        <v>Julie Cummings</v>
      </c>
      <c r="E197" s="23" t="s">
        <v>973</v>
      </c>
      <c r="F197" s="23" t="str">
        <f>TRIM('data cleaning'!$G197)</f>
        <v>Consumer</v>
      </c>
      <c r="G197" s="23" t="s">
        <v>1513</v>
      </c>
      <c r="H197" s="23" t="str">
        <f>TRIM('data cleaning'!$I197)</f>
        <v>North</v>
      </c>
      <c r="I197" s="23" t="s">
        <v>1516</v>
      </c>
      <c r="J197" s="23" t="str">
        <f>TRIM('data cleaning'!$K197)</f>
        <v>Office Supplies</v>
      </c>
      <c r="K197" s="23" t="s">
        <v>1520</v>
      </c>
      <c r="L197" s="23" t="str">
        <f>TRIM('data cleaning'!$M197)</f>
        <v>Binders</v>
      </c>
      <c r="M197" s="23" t="s">
        <v>1523</v>
      </c>
      <c r="N197" s="23" t="str">
        <f>PROPER('data cleaning'!$O197)</f>
        <v>Special Binders</v>
      </c>
      <c r="O197" s="23" t="str">
        <f>TRIM('data cleaning'!$P197)</f>
        <v>Special Binders</v>
      </c>
      <c r="P197" s="23" t="s">
        <v>1725</v>
      </c>
      <c r="Q197" s="23">
        <v>4905.05</v>
      </c>
      <c r="R197" s="23">
        <v>8</v>
      </c>
      <c r="S197" s="23"/>
      <c r="T197" s="24">
        <v>-489.26</v>
      </c>
    </row>
    <row r="198" spans="1:20" ht="15.6" x14ac:dyDescent="0.3">
      <c r="A198" s="13" t="s">
        <v>209</v>
      </c>
      <c r="B198" s="14">
        <v>45978</v>
      </c>
      <c r="C198" s="15">
        <v>45979</v>
      </c>
      <c r="D198" s="16" t="str">
        <f>TRIM('data cleaning'!$E198)</f>
        <v>Andrea Gill</v>
      </c>
      <c r="E198" s="17" t="s">
        <v>974</v>
      </c>
      <c r="F198" s="17" t="str">
        <f>TRIM('data cleaning'!$G198)</f>
        <v>Corporate</v>
      </c>
      <c r="G198" s="17" t="s">
        <v>1514</v>
      </c>
      <c r="H198" s="17" t="str">
        <f>TRIM('data cleaning'!$I198)</f>
        <v>East</v>
      </c>
      <c r="I198" s="17" t="s">
        <v>1519</v>
      </c>
      <c r="J198" s="17" t="str">
        <f>TRIM('data cleaning'!$K198)</f>
        <v>Office Supplies</v>
      </c>
      <c r="K198" s="17" t="s">
        <v>1520</v>
      </c>
      <c r="L198" s="17" t="str">
        <f>TRIM('data cleaning'!$M198)</f>
        <v>Paper</v>
      </c>
      <c r="M198" s="17" t="s">
        <v>1524</v>
      </c>
      <c r="N198" s="17" t="str">
        <f>PROPER('data cleaning'!$O198)</f>
        <v>One Paper</v>
      </c>
      <c r="O198" s="17" t="str">
        <f>TRIM('data cleaning'!$P198)</f>
        <v>One Paper</v>
      </c>
      <c r="P198" s="17" t="s">
        <v>1726</v>
      </c>
      <c r="Q198" s="17">
        <v>1502.54</v>
      </c>
      <c r="R198" s="17">
        <v>1</v>
      </c>
      <c r="S198" s="17">
        <v>0.05</v>
      </c>
      <c r="T198" s="18">
        <v>431.51</v>
      </c>
    </row>
    <row r="199" spans="1:20" ht="15.6" x14ac:dyDescent="0.3">
      <c r="A199" s="19" t="s">
        <v>210</v>
      </c>
      <c r="B199" s="20">
        <v>45147</v>
      </c>
      <c r="C199" s="21">
        <v>45156</v>
      </c>
      <c r="D199" s="22" t="str">
        <f>TRIM('data cleaning'!$E199)</f>
        <v>Carrie Sullivan</v>
      </c>
      <c r="E199" s="23" t="s">
        <v>975</v>
      </c>
      <c r="F199" s="23" t="str">
        <f>TRIM('data cleaning'!$G199)</f>
        <v>Corporate</v>
      </c>
      <c r="G199" s="23" t="s">
        <v>1514</v>
      </c>
      <c r="H199" s="23" t="str">
        <f>TRIM('data cleaning'!$I199)</f>
        <v>North</v>
      </c>
      <c r="I199" s="23" t="s">
        <v>1516</v>
      </c>
      <c r="J199" s="23" t="str">
        <f>TRIM('data cleaning'!$K199)</f>
        <v>Office Supplies</v>
      </c>
      <c r="K199" s="23" t="s">
        <v>1520</v>
      </c>
      <c r="L199" s="23" t="str">
        <f>TRIM('data cleaning'!$M199)</f>
        <v>Paper</v>
      </c>
      <c r="M199" s="23" t="s">
        <v>1524</v>
      </c>
      <c r="N199" s="23" t="str">
        <f>PROPER('data cleaning'!$O199)</f>
        <v>System Paper</v>
      </c>
      <c r="O199" s="23" t="str">
        <f>TRIM('data cleaning'!$P199)</f>
        <v>System Paper</v>
      </c>
      <c r="P199" s="23" t="s">
        <v>1727</v>
      </c>
      <c r="Q199" s="23">
        <v>2393.33</v>
      </c>
      <c r="R199" s="23">
        <v>1</v>
      </c>
      <c r="S199" s="23"/>
      <c r="T199" s="24">
        <v>-227.11</v>
      </c>
    </row>
    <row r="200" spans="1:20" ht="15.6" x14ac:dyDescent="0.3">
      <c r="A200" s="13" t="s">
        <v>211</v>
      </c>
      <c r="B200" s="14">
        <v>46105</v>
      </c>
      <c r="C200" s="15">
        <v>46110</v>
      </c>
      <c r="D200" s="16" t="str">
        <f>TRIM('data cleaning'!$E200)</f>
        <v>Jill Miller</v>
      </c>
      <c r="E200" s="17" t="s">
        <v>976</v>
      </c>
      <c r="F200" s="17" t="str">
        <f>TRIM('data cleaning'!$G200)</f>
        <v>Home Office</v>
      </c>
      <c r="G200" s="17" t="s">
        <v>1515</v>
      </c>
      <c r="H200" s="17" t="str">
        <f>TRIM('data cleaning'!$I200)</f>
        <v>West</v>
      </c>
      <c r="I200" s="17" t="s">
        <v>1518</v>
      </c>
      <c r="J200" s="17" t="str">
        <f>TRIM('data cleaning'!$K200)</f>
        <v>Office Supplies</v>
      </c>
      <c r="K200" s="17" t="s">
        <v>1520</v>
      </c>
      <c r="L200" s="17" t="str">
        <f>TRIM('data cleaning'!$M200)</f>
        <v>Paper</v>
      </c>
      <c r="M200" s="17" t="s">
        <v>1524</v>
      </c>
      <c r="N200" s="17" t="str">
        <f>PROPER('data cleaning'!$O200)</f>
        <v>Project Paper</v>
      </c>
      <c r="O200" s="17" t="str">
        <f>TRIM('data cleaning'!$P200)</f>
        <v>Project Paper</v>
      </c>
      <c r="P200" s="17" t="s">
        <v>1728</v>
      </c>
      <c r="Q200" s="17">
        <v>666.15</v>
      </c>
      <c r="R200" s="17">
        <v>6</v>
      </c>
      <c r="S200" s="17">
        <v>0.15</v>
      </c>
      <c r="T200" s="18">
        <v>192.66</v>
      </c>
    </row>
    <row r="201" spans="1:20" ht="15.6" x14ac:dyDescent="0.3">
      <c r="A201" s="19" t="s">
        <v>212</v>
      </c>
      <c r="B201" s="20">
        <v>45127</v>
      </c>
      <c r="C201" s="21">
        <v>45130</v>
      </c>
      <c r="D201" s="22" t="str">
        <f>TRIM('data cleaning'!$E201)</f>
        <v>Luis Pratt</v>
      </c>
      <c r="E201" s="23" t="s">
        <v>977</v>
      </c>
      <c r="F201" s="23" t="str">
        <f>TRIM('data cleaning'!$G201)</f>
        <v>Home Office</v>
      </c>
      <c r="G201" s="23" t="s">
        <v>1515</v>
      </c>
      <c r="H201" s="23" t="str">
        <f>TRIM('data cleaning'!$I201)</f>
        <v>East</v>
      </c>
      <c r="I201" s="23" t="s">
        <v>1519</v>
      </c>
      <c r="J201" s="23" t="str">
        <f>TRIM('data cleaning'!$K201)</f>
        <v>Technology</v>
      </c>
      <c r="K201" s="23" t="s">
        <v>1521</v>
      </c>
      <c r="L201" s="23" t="str">
        <f>TRIM('data cleaning'!$M201)</f>
        <v>Accessories</v>
      </c>
      <c r="M201" s="23" t="s">
        <v>1526</v>
      </c>
      <c r="N201" s="23" t="str">
        <f>PROPER('data cleaning'!$O201)</f>
        <v>Authority Accessories</v>
      </c>
      <c r="O201" s="23" t="str">
        <f>TRIM('data cleaning'!$P201)</f>
        <v>Authority Accessories</v>
      </c>
      <c r="P201" s="23" t="s">
        <v>1729</v>
      </c>
      <c r="Q201" s="23">
        <v>2506.21</v>
      </c>
      <c r="R201" s="23">
        <v>8</v>
      </c>
      <c r="S201" s="23">
        <v>0.1</v>
      </c>
      <c r="T201" s="24">
        <v>772.84</v>
      </c>
    </row>
    <row r="202" spans="1:20" ht="15.6" x14ac:dyDescent="0.3">
      <c r="A202" s="13" t="s">
        <v>213</v>
      </c>
      <c r="B202" s="14">
        <v>45539</v>
      </c>
      <c r="C202" s="15">
        <v>45546</v>
      </c>
      <c r="D202" s="16" t="str">
        <f>TRIM('data cleaning'!$E202)</f>
        <v>Jonathon Chavez</v>
      </c>
      <c r="E202" s="17" t="s">
        <v>978</v>
      </c>
      <c r="F202" s="17" t="str">
        <f>TRIM('data cleaning'!$G202)</f>
        <v>Corporate</v>
      </c>
      <c r="G202" s="17" t="s">
        <v>1514</v>
      </c>
      <c r="H202" s="17" t="str">
        <f>TRIM('data cleaning'!$I202)</f>
        <v>North</v>
      </c>
      <c r="I202" s="17" t="s">
        <v>1516</v>
      </c>
      <c r="J202" s="17" t="str">
        <f>TRIM('data cleaning'!$K202)</f>
        <v>Furniture</v>
      </c>
      <c r="K202" s="17" t="s">
        <v>1522</v>
      </c>
      <c r="L202" s="17" t="str">
        <f>TRIM('data cleaning'!$M202)</f>
        <v>Bookcases</v>
      </c>
      <c r="M202" s="17" t="s">
        <v>1527</v>
      </c>
      <c r="N202" s="17" t="str">
        <f>PROPER('data cleaning'!$O202)</f>
        <v>Want Bookcases</v>
      </c>
      <c r="O202" s="17" t="str">
        <f>TRIM('data cleaning'!$P202)</f>
        <v>Want Bookcases</v>
      </c>
      <c r="P202" s="17" t="s">
        <v>1730</v>
      </c>
      <c r="Q202" s="17">
        <v>440.69</v>
      </c>
      <c r="R202" s="17">
        <v>10</v>
      </c>
      <c r="S202" s="17">
        <v>0.05</v>
      </c>
      <c r="T202" s="18">
        <v>44.07</v>
      </c>
    </row>
    <row r="203" spans="1:20" ht="15.6" x14ac:dyDescent="0.3">
      <c r="A203" s="19" t="s">
        <v>214</v>
      </c>
      <c r="B203" s="20">
        <v>45411</v>
      </c>
      <c r="C203" s="21">
        <v>45416</v>
      </c>
      <c r="D203" s="22" t="str">
        <f>TRIM('data cleaning'!$E203)</f>
        <v>Jonathan Arnold</v>
      </c>
      <c r="E203" s="23" t="s">
        <v>979</v>
      </c>
      <c r="F203" s="23" t="str">
        <f>TRIM('data cleaning'!$G203)</f>
        <v>Home Office</v>
      </c>
      <c r="G203" s="23" t="s">
        <v>1515</v>
      </c>
      <c r="H203" s="23" t="str">
        <f>TRIM('data cleaning'!$I203)</f>
        <v>West</v>
      </c>
      <c r="I203" s="23" t="s">
        <v>1518</v>
      </c>
      <c r="J203" s="23" t="str">
        <f>TRIM('data cleaning'!$K203)</f>
        <v>Furniture</v>
      </c>
      <c r="K203" s="23" t="s">
        <v>1522</v>
      </c>
      <c r="L203" s="23" t="str">
        <f>TRIM('data cleaning'!$M203)</f>
        <v>Tables</v>
      </c>
      <c r="M203" s="23" t="s">
        <v>1529</v>
      </c>
      <c r="N203" s="23" t="str">
        <f>PROPER('data cleaning'!$O203)</f>
        <v>Force Tables</v>
      </c>
      <c r="O203" s="23" t="str">
        <f>TRIM('data cleaning'!$P203)</f>
        <v>Force Tables</v>
      </c>
      <c r="P203" s="23" t="s">
        <v>1731</v>
      </c>
      <c r="Q203" s="23">
        <v>1567.15</v>
      </c>
      <c r="R203" s="23">
        <v>10</v>
      </c>
      <c r="S203" s="23"/>
      <c r="T203" s="24">
        <v>53.85</v>
      </c>
    </row>
    <row r="204" spans="1:20" ht="15.6" x14ac:dyDescent="0.3">
      <c r="A204" s="13" t="s">
        <v>215</v>
      </c>
      <c r="B204" s="14">
        <v>45814</v>
      </c>
      <c r="C204" s="15">
        <v>45815</v>
      </c>
      <c r="D204" s="16" t="str">
        <f>TRIM('data cleaning'!$E204)</f>
        <v>Aaron Wilson</v>
      </c>
      <c r="E204" s="17" t="s">
        <v>980</v>
      </c>
      <c r="F204" s="17" t="str">
        <f>TRIM('data cleaning'!$G204)</f>
        <v>Corporate</v>
      </c>
      <c r="G204" s="17" t="s">
        <v>1514</v>
      </c>
      <c r="H204" s="17" t="str">
        <f>TRIM('data cleaning'!$I204)</f>
        <v>North</v>
      </c>
      <c r="I204" s="17" t="s">
        <v>1516</v>
      </c>
      <c r="J204" s="17" t="str">
        <f>TRIM('data cleaning'!$K204)</f>
        <v>Technology</v>
      </c>
      <c r="K204" s="17" t="s">
        <v>1521</v>
      </c>
      <c r="L204" s="17" t="str">
        <f>TRIM('data cleaning'!$M204)</f>
        <v>Accessories</v>
      </c>
      <c r="M204" s="17" t="s">
        <v>1526</v>
      </c>
      <c r="N204" s="17" t="str">
        <f>PROPER('data cleaning'!$O204)</f>
        <v>Song Accessories</v>
      </c>
      <c r="O204" s="17" t="str">
        <f>TRIM('data cleaning'!$P204)</f>
        <v>Song Accessories</v>
      </c>
      <c r="P204" s="17" t="s">
        <v>1732</v>
      </c>
      <c r="Q204" s="17">
        <v>3647.73</v>
      </c>
      <c r="R204" s="17">
        <v>6</v>
      </c>
      <c r="S204" s="17">
        <v>0.2</v>
      </c>
      <c r="T204" s="18">
        <v>1273</v>
      </c>
    </row>
    <row r="205" spans="1:20" ht="15.6" x14ac:dyDescent="0.3">
      <c r="A205" s="19" t="s">
        <v>216</v>
      </c>
      <c r="B205" s="20">
        <v>45399</v>
      </c>
      <c r="C205" s="21">
        <v>45406</v>
      </c>
      <c r="D205" s="22" t="str">
        <f>TRIM('data cleaning'!$E205)</f>
        <v>Brittany Summers</v>
      </c>
      <c r="E205" s="23" t="s">
        <v>981</v>
      </c>
      <c r="F205" s="23" t="str">
        <f>TRIM('data cleaning'!$G205)</f>
        <v>Home Office</v>
      </c>
      <c r="G205" s="23" t="s">
        <v>1515</v>
      </c>
      <c r="H205" s="23" t="str">
        <f>TRIM('data cleaning'!$I205)</f>
        <v>West</v>
      </c>
      <c r="I205" s="23" t="s">
        <v>1518</v>
      </c>
      <c r="J205" s="23" t="str">
        <f>TRIM('data cleaning'!$K205)</f>
        <v>Furniture</v>
      </c>
      <c r="K205" s="23" t="s">
        <v>1522</v>
      </c>
      <c r="L205" s="23" t="str">
        <f>TRIM('data cleaning'!$M205)</f>
        <v>Bookcases</v>
      </c>
      <c r="M205" s="23" t="s">
        <v>1527</v>
      </c>
      <c r="N205" s="23" t="str">
        <f>PROPER('data cleaning'!$O205)</f>
        <v>Else Bookcases</v>
      </c>
      <c r="O205" s="23" t="str">
        <f>TRIM('data cleaning'!$P205)</f>
        <v>Else Bookcases</v>
      </c>
      <c r="P205" s="23" t="s">
        <v>1621</v>
      </c>
      <c r="Q205" s="23">
        <v>1848.39</v>
      </c>
      <c r="R205" s="23">
        <v>3</v>
      </c>
      <c r="S205" s="23">
        <v>0</v>
      </c>
      <c r="T205" s="24">
        <v>-224.53</v>
      </c>
    </row>
    <row r="206" spans="1:20" ht="15.6" x14ac:dyDescent="0.3">
      <c r="A206" s="13" t="s">
        <v>217</v>
      </c>
      <c r="B206" s="14">
        <v>45961</v>
      </c>
      <c r="C206" s="15">
        <v>45963</v>
      </c>
      <c r="D206" s="16" t="str">
        <f>TRIM('data cleaning'!$E206)</f>
        <v>Willie Garcia</v>
      </c>
      <c r="E206" s="17" t="s">
        <v>982</v>
      </c>
      <c r="F206" s="17" t="str">
        <f>TRIM('data cleaning'!$G206)</f>
        <v>Home Office</v>
      </c>
      <c r="G206" s="17" t="s">
        <v>1515</v>
      </c>
      <c r="H206" s="17" t="str">
        <f>TRIM('data cleaning'!$I206)</f>
        <v>North</v>
      </c>
      <c r="I206" s="17" t="s">
        <v>1516</v>
      </c>
      <c r="J206" s="17" t="str">
        <f>TRIM('data cleaning'!$K206)</f>
        <v>Furniture</v>
      </c>
      <c r="K206" s="17" t="s">
        <v>1522</v>
      </c>
      <c r="L206" s="17" t="str">
        <f>TRIM('data cleaning'!$M206)</f>
        <v>Chairs</v>
      </c>
      <c r="M206" s="17" t="s">
        <v>1531</v>
      </c>
      <c r="N206" s="17" t="str">
        <f>PROPER('data cleaning'!$O206)</f>
        <v>Fast Chairs</v>
      </c>
      <c r="O206" s="17" t="str">
        <f>TRIM('data cleaning'!$P206)</f>
        <v>Fast Chairs</v>
      </c>
      <c r="P206" s="17" t="s">
        <v>1733</v>
      </c>
      <c r="Q206" s="17">
        <v>1218.18</v>
      </c>
      <c r="R206" s="17">
        <v>6</v>
      </c>
      <c r="S206" s="17">
        <v>0.1</v>
      </c>
      <c r="T206" s="18">
        <v>12.88</v>
      </c>
    </row>
    <row r="207" spans="1:20" ht="15.6" x14ac:dyDescent="0.3">
      <c r="A207" s="19" t="s">
        <v>218</v>
      </c>
      <c r="B207" s="20">
        <v>45671</v>
      </c>
      <c r="C207" s="21">
        <v>45679</v>
      </c>
      <c r="D207" s="22" t="str">
        <f>TRIM('data cleaning'!$E207)</f>
        <v>Kevin Delacruz</v>
      </c>
      <c r="E207" s="23" t="s">
        <v>983</v>
      </c>
      <c r="F207" s="23" t="str">
        <f>TRIM('data cleaning'!$G207)</f>
        <v>Home Office</v>
      </c>
      <c r="G207" s="23" t="s">
        <v>1515</v>
      </c>
      <c r="H207" s="23" t="str">
        <f>TRIM('data cleaning'!$I207)</f>
        <v>South</v>
      </c>
      <c r="I207" s="23" t="s">
        <v>1517</v>
      </c>
      <c r="J207" s="23" t="str">
        <f>TRIM('data cleaning'!$K207)</f>
        <v>Office Supplies</v>
      </c>
      <c r="K207" s="23" t="s">
        <v>1520</v>
      </c>
      <c r="L207" s="23" t="str">
        <f>TRIM('data cleaning'!$M207)</f>
        <v>Binders</v>
      </c>
      <c r="M207" s="23" t="s">
        <v>1523</v>
      </c>
      <c r="N207" s="23" t="str">
        <f>PROPER('data cleaning'!$O207)</f>
        <v>Interesting Binders</v>
      </c>
      <c r="O207" s="23" t="str">
        <f>TRIM('data cleaning'!$P207)</f>
        <v>Interesting Binders</v>
      </c>
      <c r="P207" s="23" t="s">
        <v>1734</v>
      </c>
      <c r="Q207" s="23">
        <v>4746.68</v>
      </c>
      <c r="R207" s="23">
        <v>6</v>
      </c>
      <c r="S207" s="23">
        <v>0.15</v>
      </c>
      <c r="T207" s="24">
        <v>1042.83</v>
      </c>
    </row>
    <row r="208" spans="1:20" ht="15.6" x14ac:dyDescent="0.3">
      <c r="A208" s="13" t="s">
        <v>219</v>
      </c>
      <c r="B208" s="14">
        <v>45954</v>
      </c>
      <c r="C208" s="15">
        <v>45961</v>
      </c>
      <c r="D208" s="16" t="str">
        <f>TRIM('data cleaning'!$E208)</f>
        <v>Elizabeth Dougherty</v>
      </c>
      <c r="E208" s="17" t="s">
        <v>984</v>
      </c>
      <c r="F208" s="17" t="str">
        <f>TRIM('data cleaning'!$G208)</f>
        <v>Consumer</v>
      </c>
      <c r="G208" s="17" t="s">
        <v>1513</v>
      </c>
      <c r="H208" s="17" t="str">
        <f>TRIM('data cleaning'!$I208)</f>
        <v>South</v>
      </c>
      <c r="I208" s="17" t="s">
        <v>1517</v>
      </c>
      <c r="J208" s="17" t="str">
        <f>TRIM('data cleaning'!$K208)</f>
        <v>Office Supplies</v>
      </c>
      <c r="K208" s="17" t="s">
        <v>1520</v>
      </c>
      <c r="L208" s="17" t="str">
        <f>TRIM('data cleaning'!$M208)</f>
        <v>Paper</v>
      </c>
      <c r="M208" s="17" t="s">
        <v>1524</v>
      </c>
      <c r="N208" s="17" t="str">
        <f>PROPER('data cleaning'!$O208)</f>
        <v>Second Paper</v>
      </c>
      <c r="O208" s="17" t="str">
        <f>TRIM('data cleaning'!$P208)</f>
        <v>Second Paper</v>
      </c>
      <c r="P208" s="17" t="s">
        <v>1735</v>
      </c>
      <c r="Q208" s="17">
        <v>1606.21</v>
      </c>
      <c r="R208" s="17">
        <v>5</v>
      </c>
      <c r="S208" s="17">
        <v>0.05</v>
      </c>
      <c r="T208" s="18">
        <v>527.29999999999995</v>
      </c>
    </row>
    <row r="209" spans="1:20" ht="15.6" x14ac:dyDescent="0.3">
      <c r="A209" s="19" t="s">
        <v>220</v>
      </c>
      <c r="B209" s="20">
        <v>45321</v>
      </c>
      <c r="C209" s="21">
        <v>45328</v>
      </c>
      <c r="D209" s="22" t="str">
        <f>TRIM('data cleaning'!$E209)</f>
        <v>Tammy Brown</v>
      </c>
      <c r="E209" s="23" t="s">
        <v>985</v>
      </c>
      <c r="F209" s="23" t="str">
        <f>TRIM('data cleaning'!$G209)</f>
        <v>Home Office</v>
      </c>
      <c r="G209" s="23" t="s">
        <v>1515</v>
      </c>
      <c r="H209" s="23" t="str">
        <f>TRIM('data cleaning'!$I209)</f>
        <v>West</v>
      </c>
      <c r="I209" s="23" t="s">
        <v>1518</v>
      </c>
      <c r="J209" s="23" t="str">
        <f>TRIM('data cleaning'!$K209)</f>
        <v>Technology</v>
      </c>
      <c r="K209" s="23" t="s">
        <v>1521</v>
      </c>
      <c r="L209" s="23" t="str">
        <f>TRIM('data cleaning'!$M209)</f>
        <v>Laptops</v>
      </c>
      <c r="M209" s="23" t="s">
        <v>1528</v>
      </c>
      <c r="N209" s="23" t="str">
        <f>PROPER('data cleaning'!$O209)</f>
        <v>Our Laptops</v>
      </c>
      <c r="O209" s="23" t="str">
        <f>TRIM('data cleaning'!$P209)</f>
        <v>Our Laptops</v>
      </c>
      <c r="P209" s="23" t="s">
        <v>1736</v>
      </c>
      <c r="Q209" s="23">
        <v>4572.04</v>
      </c>
      <c r="R209" s="23">
        <v>2</v>
      </c>
      <c r="S209" s="23">
        <v>0.1</v>
      </c>
      <c r="T209" s="24">
        <v>1034.33</v>
      </c>
    </row>
    <row r="210" spans="1:20" ht="15.6" x14ac:dyDescent="0.3">
      <c r="A210" s="13" t="s">
        <v>221</v>
      </c>
      <c r="B210" s="14">
        <v>45463</v>
      </c>
      <c r="C210" s="15">
        <v>45468</v>
      </c>
      <c r="D210" s="16" t="str">
        <f>TRIM('data cleaning'!$E210)</f>
        <v>Amy Shepherd</v>
      </c>
      <c r="E210" s="17" t="s">
        <v>986</v>
      </c>
      <c r="F210" s="17" t="str">
        <f>TRIM('data cleaning'!$G210)</f>
        <v/>
      </c>
      <c r="G210" s="17"/>
      <c r="H210" s="17" t="str">
        <f>TRIM('data cleaning'!$I210)</f>
        <v>West</v>
      </c>
      <c r="I210" s="17" t="s">
        <v>1518</v>
      </c>
      <c r="J210" s="17" t="str">
        <f>TRIM('data cleaning'!$K210)</f>
        <v>Furniture</v>
      </c>
      <c r="K210" s="17" t="s">
        <v>1522</v>
      </c>
      <c r="L210" s="17" t="str">
        <f>TRIM('data cleaning'!$M210)</f>
        <v>Bookcases</v>
      </c>
      <c r="M210" s="17" t="s">
        <v>1527</v>
      </c>
      <c r="N210" s="17" t="str">
        <f>PROPER('data cleaning'!$O210)</f>
        <v>Sound Bookcases</v>
      </c>
      <c r="O210" s="17" t="str">
        <f>TRIM('data cleaning'!$P210)</f>
        <v>Sound Bookcases</v>
      </c>
      <c r="P210" s="17" t="s">
        <v>1737</v>
      </c>
      <c r="Q210" s="17">
        <v>3485.2</v>
      </c>
      <c r="R210" s="17">
        <v>8</v>
      </c>
      <c r="S210" s="17">
        <v>0.05</v>
      </c>
      <c r="T210" s="18">
        <v>-461.96</v>
      </c>
    </row>
    <row r="211" spans="1:20" ht="15.6" x14ac:dyDescent="0.3">
      <c r="A211" s="19" t="s">
        <v>222</v>
      </c>
      <c r="B211" s="20">
        <v>45421</v>
      </c>
      <c r="C211" s="21">
        <v>45429</v>
      </c>
      <c r="D211" s="22" t="str">
        <f>TRIM('data cleaning'!$E211)</f>
        <v>Emily Doyle</v>
      </c>
      <c r="E211" s="23" t="s">
        <v>987</v>
      </c>
      <c r="F211" s="23" t="str">
        <f>TRIM('data cleaning'!$G211)</f>
        <v>Consumer</v>
      </c>
      <c r="G211" s="23" t="s">
        <v>1513</v>
      </c>
      <c r="H211" s="23" t="str">
        <f>TRIM('data cleaning'!$I211)</f>
        <v>East</v>
      </c>
      <c r="I211" s="23" t="s">
        <v>1519</v>
      </c>
      <c r="J211" s="23" t="str">
        <f>TRIM('data cleaning'!$K211)</f>
        <v>Furniture</v>
      </c>
      <c r="K211" s="23" t="s">
        <v>1522</v>
      </c>
      <c r="L211" s="23" t="str">
        <f>TRIM('data cleaning'!$M211)</f>
        <v>Bookcases</v>
      </c>
      <c r="M211" s="23" t="s">
        <v>1527</v>
      </c>
      <c r="N211" s="23" t="str">
        <f>PROPER('data cleaning'!$O211)</f>
        <v>Deep Bookcases</v>
      </c>
      <c r="O211" s="23" t="str">
        <f>TRIM('data cleaning'!$P211)</f>
        <v>Deep Bookcases</v>
      </c>
      <c r="P211" s="23" t="s">
        <v>1738</v>
      </c>
      <c r="Q211" s="23">
        <v>4986.45</v>
      </c>
      <c r="R211" s="23">
        <v>6</v>
      </c>
      <c r="S211" s="23"/>
      <c r="T211" s="24">
        <v>-44.46</v>
      </c>
    </row>
    <row r="212" spans="1:20" ht="15.6" x14ac:dyDescent="0.3">
      <c r="A212" s="13" t="s">
        <v>223</v>
      </c>
      <c r="B212" s="14">
        <v>45387</v>
      </c>
      <c r="C212" s="15">
        <v>45390</v>
      </c>
      <c r="D212" s="16" t="str">
        <f>TRIM('data cleaning'!$E212)</f>
        <v>Steven Glover</v>
      </c>
      <c r="E212" s="17" t="s">
        <v>988</v>
      </c>
      <c r="F212" s="17" t="str">
        <f>TRIM('data cleaning'!$G212)</f>
        <v>Consumer</v>
      </c>
      <c r="G212" s="17" t="s">
        <v>1513</v>
      </c>
      <c r="H212" s="17" t="str">
        <f>TRIM('data cleaning'!$I212)</f>
        <v>South</v>
      </c>
      <c r="I212" s="17" t="s">
        <v>1517</v>
      </c>
      <c r="J212" s="17" t="str">
        <f>TRIM('data cleaning'!$K212)</f>
        <v>Technology</v>
      </c>
      <c r="K212" s="17" t="s">
        <v>1521</v>
      </c>
      <c r="L212" s="17" t="str">
        <f>TRIM('data cleaning'!$M212)</f>
        <v>Phones</v>
      </c>
      <c r="M212" s="17" t="s">
        <v>1530</v>
      </c>
      <c r="N212" s="17" t="str">
        <f>PROPER('data cleaning'!$O212)</f>
        <v>Nice Phones</v>
      </c>
      <c r="O212" s="17" t="str">
        <f>TRIM('data cleaning'!$P212)</f>
        <v>Nice Phones</v>
      </c>
      <c r="P212" s="17" t="s">
        <v>1739</v>
      </c>
      <c r="Q212" s="17">
        <v>3978.8</v>
      </c>
      <c r="R212" s="17">
        <v>9</v>
      </c>
      <c r="S212" s="17">
        <v>0.05</v>
      </c>
      <c r="T212" s="18">
        <v>-530.17999999999995</v>
      </c>
    </row>
    <row r="213" spans="1:20" ht="15.6" x14ac:dyDescent="0.3">
      <c r="A213" s="19" t="s">
        <v>224</v>
      </c>
      <c r="B213" s="20">
        <v>45629</v>
      </c>
      <c r="C213" s="21">
        <v>45630</v>
      </c>
      <c r="D213" s="22" t="str">
        <f>TRIM('data cleaning'!$E213)</f>
        <v/>
      </c>
      <c r="E213" s="23"/>
      <c r="F213" s="23" t="str">
        <f>TRIM('data cleaning'!$G213)</f>
        <v>Home Office</v>
      </c>
      <c r="G213" s="23" t="s">
        <v>1515</v>
      </c>
      <c r="H213" s="23" t="str">
        <f>TRIM('data cleaning'!$I213)</f>
        <v>South</v>
      </c>
      <c r="I213" s="23" t="s">
        <v>1517</v>
      </c>
      <c r="J213" s="23" t="str">
        <f>TRIM('data cleaning'!$K213)</f>
        <v>Furniture</v>
      </c>
      <c r="K213" s="23" t="s">
        <v>1522</v>
      </c>
      <c r="L213" s="23" t="str">
        <f>TRIM('data cleaning'!$M213)</f>
        <v>Tables</v>
      </c>
      <c r="M213" s="23" t="s">
        <v>1529</v>
      </c>
      <c r="N213" s="23" t="str">
        <f>PROPER('data cleaning'!$O213)</f>
        <v>Write Tables</v>
      </c>
      <c r="O213" s="23" t="str">
        <f>TRIM('data cleaning'!$P213)</f>
        <v>Write Tables</v>
      </c>
      <c r="P213" s="23" t="s">
        <v>1740</v>
      </c>
      <c r="Q213" s="23">
        <v>1836.44</v>
      </c>
      <c r="R213" s="23">
        <v>10</v>
      </c>
      <c r="S213" s="23">
        <v>0.1</v>
      </c>
      <c r="T213" s="24">
        <v>104.81</v>
      </c>
    </row>
    <row r="214" spans="1:20" ht="15.6" x14ac:dyDescent="0.3">
      <c r="A214" s="13" t="s">
        <v>225</v>
      </c>
      <c r="B214" s="14">
        <v>45133</v>
      </c>
      <c r="C214" s="15">
        <v>45135</v>
      </c>
      <c r="D214" s="16" t="str">
        <f>TRIM('data cleaning'!$E214)</f>
        <v>Bryan Lara</v>
      </c>
      <c r="E214" s="17" t="s">
        <v>989</v>
      </c>
      <c r="F214" s="17" t="str">
        <f>TRIM('data cleaning'!$G214)</f>
        <v>Corporate</v>
      </c>
      <c r="G214" s="17" t="s">
        <v>1514</v>
      </c>
      <c r="H214" s="17" t="str">
        <f>TRIM('data cleaning'!$I214)</f>
        <v>North</v>
      </c>
      <c r="I214" s="17" t="s">
        <v>1516</v>
      </c>
      <c r="J214" s="17" t="str">
        <f>TRIM('data cleaning'!$K214)</f>
        <v>Office Supplies</v>
      </c>
      <c r="K214" s="17" t="s">
        <v>1520</v>
      </c>
      <c r="L214" s="17" t="str">
        <f>TRIM('data cleaning'!$M214)</f>
        <v>Binders</v>
      </c>
      <c r="M214" s="17" t="s">
        <v>1523</v>
      </c>
      <c r="N214" s="17" t="str">
        <f>PROPER('data cleaning'!$O214)</f>
        <v>Positive Binders</v>
      </c>
      <c r="O214" s="17" t="str">
        <f>TRIM('data cleaning'!$P214)</f>
        <v>Positive Binders</v>
      </c>
      <c r="P214" s="17" t="s">
        <v>1741</v>
      </c>
      <c r="Q214" s="17">
        <v>1580.99</v>
      </c>
      <c r="R214" s="17">
        <v>8</v>
      </c>
      <c r="S214" s="17">
        <v>0.2</v>
      </c>
      <c r="T214" s="18">
        <v>41.01</v>
      </c>
    </row>
    <row r="215" spans="1:20" ht="15.6" x14ac:dyDescent="0.3">
      <c r="A215" s="19" t="s">
        <v>226</v>
      </c>
      <c r="B215" s="20">
        <v>46134</v>
      </c>
      <c r="C215" s="21">
        <v>46136</v>
      </c>
      <c r="D215" s="22" t="str">
        <f>TRIM('data cleaning'!$E215)</f>
        <v>Keith Wood</v>
      </c>
      <c r="E215" s="23" t="s">
        <v>990</v>
      </c>
      <c r="F215" s="23" t="str">
        <f>TRIM('data cleaning'!$G215)</f>
        <v>Home Office</v>
      </c>
      <c r="G215" s="23" t="s">
        <v>1515</v>
      </c>
      <c r="H215" s="23" t="str">
        <f>TRIM('data cleaning'!$I215)</f>
        <v>South</v>
      </c>
      <c r="I215" s="23" t="s">
        <v>1517</v>
      </c>
      <c r="J215" s="23" t="str">
        <f>TRIM('data cleaning'!$K215)</f>
        <v>Furniture</v>
      </c>
      <c r="K215" s="23" t="s">
        <v>1522</v>
      </c>
      <c r="L215" s="23" t="str">
        <f>TRIM('data cleaning'!$M215)</f>
        <v>Tables</v>
      </c>
      <c r="M215" s="23" t="s">
        <v>1529</v>
      </c>
      <c r="N215" s="23" t="str">
        <f>PROPER('data cleaning'!$O215)</f>
        <v>Ok Tables</v>
      </c>
      <c r="O215" s="23" t="str">
        <f>TRIM('data cleaning'!$P215)</f>
        <v>Ok Tables</v>
      </c>
      <c r="P215" s="23" t="s">
        <v>1742</v>
      </c>
      <c r="Q215" s="23">
        <v>2277.37</v>
      </c>
      <c r="R215" s="23">
        <v>9</v>
      </c>
      <c r="S215" s="23">
        <v>0.1</v>
      </c>
      <c r="T215" s="24">
        <v>-294.73</v>
      </c>
    </row>
    <row r="216" spans="1:20" ht="15.6" x14ac:dyDescent="0.3">
      <c r="A216" s="13" t="s">
        <v>227</v>
      </c>
      <c r="B216" s="14">
        <v>45867</v>
      </c>
      <c r="C216" s="15">
        <v>45876</v>
      </c>
      <c r="D216" s="16" t="str">
        <f>TRIM('data cleaning'!$E216)</f>
        <v>Samuel Barnett</v>
      </c>
      <c r="E216" s="17" t="s">
        <v>991</v>
      </c>
      <c r="F216" s="17" t="str">
        <f>TRIM('data cleaning'!$G216)</f>
        <v>Corporate</v>
      </c>
      <c r="G216" s="17" t="s">
        <v>1514</v>
      </c>
      <c r="H216" s="17" t="str">
        <f>TRIM('data cleaning'!$I216)</f>
        <v>South</v>
      </c>
      <c r="I216" s="17" t="s">
        <v>1517</v>
      </c>
      <c r="J216" s="17" t="str">
        <f>TRIM('data cleaning'!$K216)</f>
        <v>Furniture</v>
      </c>
      <c r="K216" s="17" t="s">
        <v>1522</v>
      </c>
      <c r="L216" s="17" t="str">
        <f>TRIM('data cleaning'!$M216)</f>
        <v>Tables</v>
      </c>
      <c r="M216" s="17" t="s">
        <v>1529</v>
      </c>
      <c r="N216" s="17" t="str">
        <f>PROPER('data cleaning'!$O216)</f>
        <v>Share Tables</v>
      </c>
      <c r="O216" s="17" t="str">
        <f>TRIM('data cleaning'!$P216)</f>
        <v>Share Tables</v>
      </c>
      <c r="P216" s="17" t="s">
        <v>1743</v>
      </c>
      <c r="Q216" s="17">
        <v>4558.03</v>
      </c>
      <c r="R216" s="17">
        <v>1</v>
      </c>
      <c r="S216" s="17">
        <v>0</v>
      </c>
      <c r="T216" s="18">
        <v>387.23</v>
      </c>
    </row>
    <row r="217" spans="1:20" ht="15.6" x14ac:dyDescent="0.3">
      <c r="A217" s="19" t="s">
        <v>228</v>
      </c>
      <c r="B217" s="20">
        <v>45435</v>
      </c>
      <c r="C217" s="21">
        <v>45439</v>
      </c>
      <c r="D217" s="22" t="str">
        <f>TRIM('data cleaning'!$E217)</f>
        <v>Christian Hernandez</v>
      </c>
      <c r="E217" s="23" t="s">
        <v>992</v>
      </c>
      <c r="F217" s="23" t="str">
        <f>TRIM('data cleaning'!$G217)</f>
        <v>Corporate</v>
      </c>
      <c r="G217" s="23" t="s">
        <v>1514</v>
      </c>
      <c r="H217" s="23" t="str">
        <f>TRIM('data cleaning'!$I217)</f>
        <v>South</v>
      </c>
      <c r="I217" s="23" t="s">
        <v>1517</v>
      </c>
      <c r="J217" s="23" t="str">
        <f>TRIM('data cleaning'!$K217)</f>
        <v>Furniture</v>
      </c>
      <c r="K217" s="23" t="s">
        <v>1522</v>
      </c>
      <c r="L217" s="23" t="str">
        <f>TRIM('data cleaning'!$M217)</f>
        <v>Tables</v>
      </c>
      <c r="M217" s="23" t="s">
        <v>1529</v>
      </c>
      <c r="N217" s="23" t="str">
        <f>PROPER('data cleaning'!$O217)</f>
        <v>Region Tables</v>
      </c>
      <c r="O217" s="23" t="str">
        <f>TRIM('data cleaning'!$P217)</f>
        <v>Region Tables</v>
      </c>
      <c r="P217" s="23" t="s">
        <v>1744</v>
      </c>
      <c r="Q217" s="23">
        <v>1762.81</v>
      </c>
      <c r="R217" s="23">
        <v>9</v>
      </c>
      <c r="S217" s="23">
        <v>0.1</v>
      </c>
      <c r="T217" s="24">
        <v>467.61</v>
      </c>
    </row>
    <row r="218" spans="1:20" ht="15.6" x14ac:dyDescent="0.3">
      <c r="A218" s="13" t="s">
        <v>229</v>
      </c>
      <c r="B218" s="14">
        <v>45098</v>
      </c>
      <c r="C218" s="15">
        <v>45103</v>
      </c>
      <c r="D218" s="16" t="str">
        <f>TRIM('data cleaning'!$E218)</f>
        <v>Andrew Maldonado</v>
      </c>
      <c r="E218" s="17" t="s">
        <v>993</v>
      </c>
      <c r="F218" s="17" t="str">
        <f>TRIM('data cleaning'!$G218)</f>
        <v>Home Office</v>
      </c>
      <c r="G218" s="17" t="s">
        <v>1515</v>
      </c>
      <c r="H218" s="17" t="str">
        <f>TRIM('data cleaning'!$I218)</f>
        <v>South</v>
      </c>
      <c r="I218" s="17" t="s">
        <v>1517</v>
      </c>
      <c r="J218" s="17" t="str">
        <f>TRIM('data cleaning'!$K218)</f>
        <v>Office Supplies</v>
      </c>
      <c r="K218" s="17" t="s">
        <v>1520</v>
      </c>
      <c r="L218" s="17" t="str">
        <f>TRIM('data cleaning'!$M218)</f>
        <v>Storage</v>
      </c>
      <c r="M218" s="17" t="s">
        <v>1525</v>
      </c>
      <c r="N218" s="17" t="str">
        <f>PROPER('data cleaning'!$O218)</f>
        <v>Seven Storage</v>
      </c>
      <c r="O218" s="17" t="str">
        <f>TRIM('data cleaning'!$P218)</f>
        <v>Seven Storage</v>
      </c>
      <c r="P218" s="17" t="s">
        <v>1745</v>
      </c>
      <c r="Q218" s="17">
        <v>669.59</v>
      </c>
      <c r="R218" s="17">
        <v>5</v>
      </c>
      <c r="S218" s="17">
        <v>0.2</v>
      </c>
      <c r="T218" s="18">
        <v>62.55</v>
      </c>
    </row>
    <row r="219" spans="1:20" ht="15.6" x14ac:dyDescent="0.3">
      <c r="A219" s="19" t="s">
        <v>230</v>
      </c>
      <c r="B219" s="20">
        <v>45824</v>
      </c>
      <c r="C219" s="21">
        <v>45827</v>
      </c>
      <c r="D219" s="22" t="str">
        <f>TRIM('data cleaning'!$E219)</f>
        <v>Robert Valdez</v>
      </c>
      <c r="E219" s="23" t="s">
        <v>994</v>
      </c>
      <c r="F219" s="23" t="str">
        <f>TRIM('data cleaning'!$G219)</f>
        <v>Corporate</v>
      </c>
      <c r="G219" s="23" t="s">
        <v>1514</v>
      </c>
      <c r="H219" s="23" t="str">
        <f>TRIM('data cleaning'!$I219)</f>
        <v>North</v>
      </c>
      <c r="I219" s="23" t="s">
        <v>1516</v>
      </c>
      <c r="J219" s="23" t="str">
        <f>TRIM('data cleaning'!$K219)</f>
        <v>Office Supplies</v>
      </c>
      <c r="K219" s="23" t="s">
        <v>1520</v>
      </c>
      <c r="L219" s="23" t="str">
        <f>TRIM('data cleaning'!$M219)</f>
        <v>Storage</v>
      </c>
      <c r="M219" s="23" t="s">
        <v>1525</v>
      </c>
      <c r="N219" s="23" t="str">
        <f>PROPER('data cleaning'!$O219)</f>
        <v>Increase Storage</v>
      </c>
      <c r="O219" s="23" t="str">
        <f>TRIM('data cleaning'!$P219)</f>
        <v>Increase Storage</v>
      </c>
      <c r="P219" s="23" t="s">
        <v>1746</v>
      </c>
      <c r="Q219" s="23">
        <v>897.44</v>
      </c>
      <c r="R219" s="23">
        <v>10</v>
      </c>
      <c r="S219" s="23"/>
      <c r="T219" s="24">
        <v>265.73</v>
      </c>
    </row>
    <row r="220" spans="1:20" ht="15.6" x14ac:dyDescent="0.3">
      <c r="A220" s="13" t="s">
        <v>231</v>
      </c>
      <c r="B220" s="14">
        <v>45541</v>
      </c>
      <c r="C220" s="15">
        <v>45542</v>
      </c>
      <c r="D220" s="16" t="str">
        <f>TRIM('data cleaning'!$E220)</f>
        <v>Victoria Smith</v>
      </c>
      <c r="E220" s="17" t="s">
        <v>995</v>
      </c>
      <c r="F220" s="17" t="str">
        <f>TRIM('data cleaning'!$G220)</f>
        <v>Home Office</v>
      </c>
      <c r="G220" s="17" t="s">
        <v>1515</v>
      </c>
      <c r="H220" s="17" t="str">
        <f>TRIM('data cleaning'!$I220)</f>
        <v>West</v>
      </c>
      <c r="I220" s="17" t="s">
        <v>1518</v>
      </c>
      <c r="J220" s="17" t="str">
        <f>TRIM('data cleaning'!$K220)</f>
        <v>Furniture</v>
      </c>
      <c r="K220" s="17" t="s">
        <v>1522</v>
      </c>
      <c r="L220" s="17" t="str">
        <f>TRIM('data cleaning'!$M220)</f>
        <v>Chairs</v>
      </c>
      <c r="M220" s="17" t="s">
        <v>1531</v>
      </c>
      <c r="N220" s="17" t="str">
        <f>PROPER('data cleaning'!$O220)</f>
        <v>Memory Chairs</v>
      </c>
      <c r="O220" s="17" t="str">
        <f>TRIM('data cleaning'!$P220)</f>
        <v>Memory Chairs</v>
      </c>
      <c r="P220" s="17" t="s">
        <v>1747</v>
      </c>
      <c r="Q220" s="17">
        <v>4745.3100000000004</v>
      </c>
      <c r="R220" s="17">
        <v>10</v>
      </c>
      <c r="S220" s="17">
        <v>0.1</v>
      </c>
      <c r="T220" s="18">
        <v>750.34</v>
      </c>
    </row>
    <row r="221" spans="1:20" ht="15.6" x14ac:dyDescent="0.3">
      <c r="A221" s="19" t="s">
        <v>232</v>
      </c>
      <c r="B221" s="20">
        <v>46149</v>
      </c>
      <c r="C221" s="21">
        <v>46150</v>
      </c>
      <c r="D221" s="22" t="str">
        <f>TRIM('data cleaning'!$E221)</f>
        <v>Rebecca King</v>
      </c>
      <c r="E221" s="23" t="s">
        <v>996</v>
      </c>
      <c r="F221" s="23" t="str">
        <f>TRIM('data cleaning'!$G221)</f>
        <v>Corporate</v>
      </c>
      <c r="G221" s="23" t="s">
        <v>1514</v>
      </c>
      <c r="H221" s="23" t="str">
        <f>TRIM('data cleaning'!$I221)</f>
        <v>West</v>
      </c>
      <c r="I221" s="23" t="s">
        <v>1518</v>
      </c>
      <c r="J221" s="23" t="str">
        <f>TRIM('data cleaning'!$K221)</f>
        <v>Office Supplies</v>
      </c>
      <c r="K221" s="23" t="s">
        <v>1520</v>
      </c>
      <c r="L221" s="23" t="str">
        <f>TRIM('data cleaning'!$M221)</f>
        <v>Storage</v>
      </c>
      <c r="M221" s="23" t="s">
        <v>1525</v>
      </c>
      <c r="N221" s="23" t="str">
        <f>PROPER('data cleaning'!$O221)</f>
        <v>Cell Storage</v>
      </c>
      <c r="O221" s="23" t="str">
        <f>TRIM('data cleaning'!$P221)</f>
        <v>Cell Storage</v>
      </c>
      <c r="P221" s="23" t="s">
        <v>1748</v>
      </c>
      <c r="Q221" s="23">
        <v>2515.29</v>
      </c>
      <c r="R221" s="23">
        <v>9</v>
      </c>
      <c r="S221" s="23">
        <v>0.1</v>
      </c>
      <c r="T221" s="24">
        <v>384.96</v>
      </c>
    </row>
    <row r="222" spans="1:20" ht="15.6" x14ac:dyDescent="0.3">
      <c r="A222" s="13" t="s">
        <v>233</v>
      </c>
      <c r="B222" s="14">
        <v>46006</v>
      </c>
      <c r="C222" s="15">
        <v>46013</v>
      </c>
      <c r="D222" s="16" t="str">
        <f>TRIM('data cleaning'!$E222)</f>
        <v>Timothy Patterson</v>
      </c>
      <c r="E222" s="17" t="s">
        <v>997</v>
      </c>
      <c r="F222" s="17" t="str">
        <f>TRIM('data cleaning'!$G222)</f>
        <v>Corporate</v>
      </c>
      <c r="G222" s="17" t="s">
        <v>1514</v>
      </c>
      <c r="H222" s="17" t="str">
        <f>TRIM('data cleaning'!$I222)</f>
        <v>West</v>
      </c>
      <c r="I222" s="17" t="s">
        <v>1518</v>
      </c>
      <c r="J222" s="17" t="str">
        <f>TRIM('data cleaning'!$K222)</f>
        <v>Furniture</v>
      </c>
      <c r="K222" s="17" t="s">
        <v>1522</v>
      </c>
      <c r="L222" s="17" t="str">
        <f>TRIM('data cleaning'!$M222)</f>
        <v>Bookcases</v>
      </c>
      <c r="M222" s="17" t="s">
        <v>1527</v>
      </c>
      <c r="N222" s="17" t="str">
        <f>PROPER('data cleaning'!$O222)</f>
        <v>Seek Bookcases</v>
      </c>
      <c r="O222" s="17" t="str">
        <f>TRIM('data cleaning'!$P222)</f>
        <v>Seek Bookcases</v>
      </c>
      <c r="P222" s="17" t="s">
        <v>1749</v>
      </c>
      <c r="Q222" s="17">
        <v>1522.3</v>
      </c>
      <c r="R222" s="17">
        <v>2</v>
      </c>
      <c r="S222" s="17"/>
      <c r="T222" s="18">
        <v>-254.3</v>
      </c>
    </row>
    <row r="223" spans="1:20" ht="15.6" x14ac:dyDescent="0.3">
      <c r="A223" s="19" t="s">
        <v>234</v>
      </c>
      <c r="B223" s="20">
        <v>45184</v>
      </c>
      <c r="C223" s="21">
        <v>45188</v>
      </c>
      <c r="D223" s="22" t="str">
        <f>TRIM('data cleaning'!$E223)</f>
        <v>Tiffany Young</v>
      </c>
      <c r="E223" s="23" t="s">
        <v>998</v>
      </c>
      <c r="F223" s="23" t="str">
        <f>TRIM('data cleaning'!$G223)</f>
        <v>Corporate</v>
      </c>
      <c r="G223" s="23" t="s">
        <v>1514</v>
      </c>
      <c r="H223" s="23" t="str">
        <f>TRIM('data cleaning'!$I223)</f>
        <v>East</v>
      </c>
      <c r="I223" s="23" t="s">
        <v>1519</v>
      </c>
      <c r="J223" s="23" t="str">
        <f>TRIM('data cleaning'!$K223)</f>
        <v>Technology</v>
      </c>
      <c r="K223" s="23" t="s">
        <v>1521</v>
      </c>
      <c r="L223" s="23" t="str">
        <f>TRIM('data cleaning'!$M223)</f>
        <v>Accessories</v>
      </c>
      <c r="M223" s="23" t="s">
        <v>1526</v>
      </c>
      <c r="N223" s="23" t="str">
        <f>PROPER('data cleaning'!$O223)</f>
        <v>Specific Accessories</v>
      </c>
      <c r="O223" s="23" t="str">
        <f>TRIM('data cleaning'!$P223)</f>
        <v>Specific Accessories</v>
      </c>
      <c r="P223" s="23" t="s">
        <v>1750</v>
      </c>
      <c r="Q223" s="23">
        <v>1733.95</v>
      </c>
      <c r="R223" s="23">
        <v>3</v>
      </c>
      <c r="S223" s="23">
        <v>0.1</v>
      </c>
      <c r="T223" s="24">
        <v>474.78</v>
      </c>
    </row>
    <row r="224" spans="1:20" ht="15.6" x14ac:dyDescent="0.3">
      <c r="A224" s="13" t="s">
        <v>235</v>
      </c>
      <c r="B224" s="14">
        <v>45197</v>
      </c>
      <c r="C224" s="15">
        <v>45203</v>
      </c>
      <c r="D224" s="16" t="str">
        <f>TRIM('data cleaning'!$E224)</f>
        <v>Scott Miller</v>
      </c>
      <c r="E224" s="17" t="s">
        <v>999</v>
      </c>
      <c r="F224" s="17" t="str">
        <f>TRIM('data cleaning'!$G224)</f>
        <v>Consumer</v>
      </c>
      <c r="G224" s="17" t="s">
        <v>1513</v>
      </c>
      <c r="H224" s="17" t="str">
        <f>TRIM('data cleaning'!$I224)</f>
        <v>East</v>
      </c>
      <c r="I224" s="17" t="s">
        <v>1519</v>
      </c>
      <c r="J224" s="17" t="str">
        <f>TRIM('data cleaning'!$K224)</f>
        <v>Technology</v>
      </c>
      <c r="K224" s="17" t="s">
        <v>1521</v>
      </c>
      <c r="L224" s="17" t="str">
        <f>TRIM('data cleaning'!$M224)</f>
        <v>Phones</v>
      </c>
      <c r="M224" s="17" t="s">
        <v>1530</v>
      </c>
      <c r="N224" s="17" t="str">
        <f>PROPER('data cleaning'!$O224)</f>
        <v>Until Phones</v>
      </c>
      <c r="O224" s="17" t="str">
        <f>TRIM('data cleaning'!$P224)</f>
        <v>Until Phones</v>
      </c>
      <c r="P224" s="17" t="s">
        <v>1751</v>
      </c>
      <c r="Q224" s="17">
        <v>2599.15</v>
      </c>
      <c r="R224" s="17">
        <v>2</v>
      </c>
      <c r="S224" s="17">
        <v>0.1</v>
      </c>
      <c r="T224" s="18">
        <v>-174.26</v>
      </c>
    </row>
    <row r="225" spans="1:20" ht="15.6" x14ac:dyDescent="0.3">
      <c r="A225" s="19" t="s">
        <v>236</v>
      </c>
      <c r="B225" s="20">
        <v>45785</v>
      </c>
      <c r="C225" s="21">
        <v>45788</v>
      </c>
      <c r="D225" s="22" t="str">
        <f>TRIM('data cleaning'!$E225)</f>
        <v>Ryan Stephenson</v>
      </c>
      <c r="E225" s="23" t="s">
        <v>1000</v>
      </c>
      <c r="F225" s="23" t="str">
        <f>TRIM('data cleaning'!$G225)</f>
        <v>Corporate</v>
      </c>
      <c r="G225" s="23" t="s">
        <v>1514</v>
      </c>
      <c r="H225" s="23" t="str">
        <f>TRIM('data cleaning'!$I225)</f>
        <v>South</v>
      </c>
      <c r="I225" s="23" t="s">
        <v>1517</v>
      </c>
      <c r="J225" s="23" t="str">
        <f>TRIM('data cleaning'!$K225)</f>
        <v>Technology</v>
      </c>
      <c r="K225" s="23" t="s">
        <v>1521</v>
      </c>
      <c r="L225" s="23" t="str">
        <f>TRIM('data cleaning'!$M225)</f>
        <v>Phones</v>
      </c>
      <c r="M225" s="23" t="s">
        <v>1530</v>
      </c>
      <c r="N225" s="23" t="str">
        <f>PROPER('data cleaning'!$O225)</f>
        <v>Pay Phones</v>
      </c>
      <c r="O225" s="23" t="str">
        <f>TRIM('data cleaning'!$P225)</f>
        <v>Pay Phones</v>
      </c>
      <c r="P225" s="23" t="s">
        <v>1752</v>
      </c>
      <c r="Q225" s="23">
        <v>529.22</v>
      </c>
      <c r="R225" s="23">
        <v>5</v>
      </c>
      <c r="S225" s="23">
        <v>0.15</v>
      </c>
      <c r="T225" s="24">
        <v>145.69</v>
      </c>
    </row>
    <row r="226" spans="1:20" ht="15.6" x14ac:dyDescent="0.3">
      <c r="A226" s="13" t="s">
        <v>237</v>
      </c>
      <c r="B226" s="14">
        <v>45665</v>
      </c>
      <c r="C226" s="15">
        <v>45675</v>
      </c>
      <c r="D226" s="16" t="str">
        <f>TRIM('data cleaning'!$E226)</f>
        <v>William Hughes</v>
      </c>
      <c r="E226" s="17" t="s">
        <v>1001</v>
      </c>
      <c r="F226" s="17" t="str">
        <f>TRIM('data cleaning'!$G226)</f>
        <v>Home Office</v>
      </c>
      <c r="G226" s="17" t="s">
        <v>1515</v>
      </c>
      <c r="H226" s="17" t="str">
        <f>TRIM('data cleaning'!$I226)</f>
        <v>West</v>
      </c>
      <c r="I226" s="17" t="s">
        <v>1518</v>
      </c>
      <c r="J226" s="17" t="str">
        <f>TRIM('data cleaning'!$K226)</f>
        <v>Furniture</v>
      </c>
      <c r="K226" s="17" t="s">
        <v>1522</v>
      </c>
      <c r="L226" s="17" t="str">
        <f>TRIM('data cleaning'!$M226)</f>
        <v>Tables</v>
      </c>
      <c r="M226" s="17" t="s">
        <v>1529</v>
      </c>
      <c r="N226" s="17" t="str">
        <f>PROPER('data cleaning'!$O226)</f>
        <v>Kitchen Tables</v>
      </c>
      <c r="O226" s="17" t="str">
        <f>TRIM('data cleaning'!$P226)</f>
        <v>Kitchen Tables</v>
      </c>
      <c r="P226" s="17" t="s">
        <v>1753</v>
      </c>
      <c r="Q226" s="17">
        <v>3619.59</v>
      </c>
      <c r="R226" s="17">
        <v>4</v>
      </c>
      <c r="S226" s="17">
        <v>0.05</v>
      </c>
      <c r="T226" s="18">
        <v>268.02</v>
      </c>
    </row>
    <row r="227" spans="1:20" ht="15.6" x14ac:dyDescent="0.3">
      <c r="A227" s="19" t="s">
        <v>238</v>
      </c>
      <c r="B227" s="20">
        <v>45104</v>
      </c>
      <c r="C227" s="21">
        <v>45112</v>
      </c>
      <c r="D227" s="22" t="str">
        <f>TRIM('data cleaning'!$E227)</f>
        <v>Derek Taylor</v>
      </c>
      <c r="E227" s="23" t="s">
        <v>1002</v>
      </c>
      <c r="F227" s="23" t="str">
        <f>TRIM('data cleaning'!$G227)</f>
        <v>Consumer</v>
      </c>
      <c r="G227" s="23" t="s">
        <v>1513</v>
      </c>
      <c r="H227" s="23" t="str">
        <f>TRIM('data cleaning'!$I227)</f>
        <v>South</v>
      </c>
      <c r="I227" s="23" t="s">
        <v>1517</v>
      </c>
      <c r="J227" s="23" t="str">
        <f>TRIM('data cleaning'!$K227)</f>
        <v>Technology</v>
      </c>
      <c r="K227" s="23" t="s">
        <v>1521</v>
      </c>
      <c r="L227" s="23" t="str">
        <f>TRIM('data cleaning'!$M227)</f>
        <v>Accessories</v>
      </c>
      <c r="M227" s="23" t="s">
        <v>1526</v>
      </c>
      <c r="N227" s="23" t="str">
        <f>PROPER('data cleaning'!$O227)</f>
        <v>Mother Accessories</v>
      </c>
      <c r="O227" s="23" t="str">
        <f>TRIM('data cleaning'!$P227)</f>
        <v>Mother Accessories</v>
      </c>
      <c r="P227" s="23" t="s">
        <v>1754</v>
      </c>
      <c r="Q227" s="23">
        <v>164.72</v>
      </c>
      <c r="R227" s="23">
        <v>7</v>
      </c>
      <c r="S227" s="23">
        <v>0.2</v>
      </c>
      <c r="T227" s="24">
        <v>8.48</v>
      </c>
    </row>
    <row r="228" spans="1:20" ht="15.6" x14ac:dyDescent="0.3">
      <c r="A228" s="13" t="s">
        <v>239</v>
      </c>
      <c r="B228" s="14">
        <v>45335</v>
      </c>
      <c r="C228" s="15">
        <v>45336</v>
      </c>
      <c r="D228" s="16" t="str">
        <f>TRIM('data cleaning'!$E228)</f>
        <v>Deanna White</v>
      </c>
      <c r="E228" s="17" t="s">
        <v>1003</v>
      </c>
      <c r="F228" s="17" t="str">
        <f>TRIM('data cleaning'!$G228)</f>
        <v>Home Office</v>
      </c>
      <c r="G228" s="17" t="s">
        <v>1515</v>
      </c>
      <c r="H228" s="17" t="str">
        <f>TRIM('data cleaning'!$I228)</f>
        <v>West</v>
      </c>
      <c r="I228" s="17" t="s">
        <v>1518</v>
      </c>
      <c r="J228" s="17" t="str">
        <f>TRIM('data cleaning'!$K228)</f>
        <v>Office Supplies</v>
      </c>
      <c r="K228" s="17" t="s">
        <v>1520</v>
      </c>
      <c r="L228" s="17" t="str">
        <f>TRIM('data cleaning'!$M228)</f>
        <v>Paper</v>
      </c>
      <c r="M228" s="17" t="s">
        <v>1524</v>
      </c>
      <c r="N228" s="17" t="str">
        <f>PROPER('data cleaning'!$O228)</f>
        <v>Day Paper</v>
      </c>
      <c r="O228" s="17" t="str">
        <f>TRIM('data cleaning'!$P228)</f>
        <v>Day Paper</v>
      </c>
      <c r="P228" s="17" t="s">
        <v>1755</v>
      </c>
      <c r="Q228" s="17">
        <v>300.18</v>
      </c>
      <c r="R228" s="17">
        <v>8</v>
      </c>
      <c r="S228" s="17">
        <v>0.2</v>
      </c>
      <c r="T228" s="18">
        <v>85.64</v>
      </c>
    </row>
    <row r="229" spans="1:20" ht="15.6" x14ac:dyDescent="0.3">
      <c r="A229" s="19" t="s">
        <v>240</v>
      </c>
      <c r="B229" s="20">
        <v>45534</v>
      </c>
      <c r="C229" s="21">
        <v>45535</v>
      </c>
      <c r="D229" s="22" t="str">
        <f>TRIM('data cleaning'!$E229)</f>
        <v>Michael Rivera</v>
      </c>
      <c r="E229" s="23" t="s">
        <v>1004</v>
      </c>
      <c r="F229" s="23" t="str">
        <f>TRIM('data cleaning'!$G229)</f>
        <v>Home Office</v>
      </c>
      <c r="G229" s="23" t="s">
        <v>1515</v>
      </c>
      <c r="H229" s="23" t="str">
        <f>TRIM('data cleaning'!$I229)</f>
        <v>East</v>
      </c>
      <c r="I229" s="23" t="s">
        <v>1519</v>
      </c>
      <c r="J229" s="23" t="str">
        <f>TRIM('data cleaning'!$K229)</f>
        <v>Technology</v>
      </c>
      <c r="K229" s="23" t="s">
        <v>1521</v>
      </c>
      <c r="L229" s="23" t="str">
        <f>TRIM('data cleaning'!$M229)</f>
        <v>Laptops</v>
      </c>
      <c r="M229" s="23" t="s">
        <v>1528</v>
      </c>
      <c r="N229" s="23" t="str">
        <f>PROPER('data cleaning'!$O229)</f>
        <v>Better Laptops</v>
      </c>
      <c r="O229" s="23" t="str">
        <f>TRIM('data cleaning'!$P229)</f>
        <v>Better Laptops</v>
      </c>
      <c r="P229" s="23" t="s">
        <v>1756</v>
      </c>
      <c r="Q229" s="23">
        <v>4243.5</v>
      </c>
      <c r="R229" s="23">
        <v>7</v>
      </c>
      <c r="S229" s="23">
        <v>0.05</v>
      </c>
      <c r="T229" s="24">
        <v>1210.8900000000001</v>
      </c>
    </row>
    <row r="230" spans="1:20" ht="15.6" x14ac:dyDescent="0.3">
      <c r="A230" s="13" t="s">
        <v>241</v>
      </c>
      <c r="B230" s="14">
        <v>46156</v>
      </c>
      <c r="C230" s="15">
        <v>46157</v>
      </c>
      <c r="D230" s="16" t="str">
        <f>TRIM('data cleaning'!$E230)</f>
        <v>Jonathan Carter</v>
      </c>
      <c r="E230" s="17" t="s">
        <v>1005</v>
      </c>
      <c r="F230" s="17" t="str">
        <f>TRIM('data cleaning'!$G230)</f>
        <v>Home Office</v>
      </c>
      <c r="G230" s="17" t="s">
        <v>1515</v>
      </c>
      <c r="H230" s="17" t="str">
        <f>TRIM('data cleaning'!$I230)</f>
        <v>East</v>
      </c>
      <c r="I230" s="17" t="s">
        <v>1519</v>
      </c>
      <c r="J230" s="17" t="str">
        <f>TRIM('data cleaning'!$K230)</f>
        <v>Technology</v>
      </c>
      <c r="K230" s="17" t="s">
        <v>1521</v>
      </c>
      <c r="L230" s="17" t="str">
        <f>TRIM('data cleaning'!$M230)</f>
        <v>Accessories</v>
      </c>
      <c r="M230" s="17" t="s">
        <v>1526</v>
      </c>
      <c r="N230" s="17" t="str">
        <f>PROPER('data cleaning'!$O230)</f>
        <v>Already Accessories</v>
      </c>
      <c r="O230" s="17" t="str">
        <f>TRIM('data cleaning'!$P230)</f>
        <v>Already Accessories</v>
      </c>
      <c r="P230" s="17" t="s">
        <v>1757</v>
      </c>
      <c r="Q230" s="17">
        <v>2032.88</v>
      </c>
      <c r="R230" s="17">
        <v>10</v>
      </c>
      <c r="S230" s="17">
        <v>0.2</v>
      </c>
      <c r="T230" s="18">
        <v>-188.94</v>
      </c>
    </row>
    <row r="231" spans="1:20" ht="15.6" x14ac:dyDescent="0.3">
      <c r="A231" s="19" t="s">
        <v>242</v>
      </c>
      <c r="B231" s="20">
        <v>45699</v>
      </c>
      <c r="C231" s="21">
        <v>45708</v>
      </c>
      <c r="D231" s="22" t="str">
        <f>TRIM('data cleaning'!$E231)</f>
        <v>Blake Jones</v>
      </c>
      <c r="E231" s="23" t="s">
        <v>1006</v>
      </c>
      <c r="F231" s="23" t="str">
        <f>TRIM('data cleaning'!$G231)</f>
        <v>Home Office</v>
      </c>
      <c r="G231" s="23" t="s">
        <v>1515</v>
      </c>
      <c r="H231" s="23" t="str">
        <f>TRIM('data cleaning'!$I231)</f>
        <v>North</v>
      </c>
      <c r="I231" s="23" t="s">
        <v>1516</v>
      </c>
      <c r="J231" s="23" t="str">
        <f>TRIM('data cleaning'!$K231)</f>
        <v>Furniture</v>
      </c>
      <c r="K231" s="23" t="s">
        <v>1522</v>
      </c>
      <c r="L231" s="23" t="str">
        <f>TRIM('data cleaning'!$M231)</f>
        <v>Tables</v>
      </c>
      <c r="M231" s="23" t="s">
        <v>1529</v>
      </c>
      <c r="N231" s="23" t="str">
        <f>PROPER('data cleaning'!$O231)</f>
        <v>Cold Tables</v>
      </c>
      <c r="O231" s="23" t="str">
        <f>TRIM('data cleaning'!$P231)</f>
        <v>Cold Tables</v>
      </c>
      <c r="P231" s="23" t="s">
        <v>1758</v>
      </c>
      <c r="Q231" s="23">
        <v>2279.25</v>
      </c>
      <c r="R231" s="23">
        <v>9</v>
      </c>
      <c r="S231" s="23">
        <v>0.1</v>
      </c>
      <c r="T231" s="24">
        <v>578.75</v>
      </c>
    </row>
    <row r="232" spans="1:20" ht="15.6" x14ac:dyDescent="0.3">
      <c r="A232" s="13" t="s">
        <v>243</v>
      </c>
      <c r="B232" s="14">
        <v>45566</v>
      </c>
      <c r="C232" s="15">
        <v>45573</v>
      </c>
      <c r="D232" s="16" t="str">
        <f>TRIM('data cleaning'!$E232)</f>
        <v>Julie Vega</v>
      </c>
      <c r="E232" s="17" t="s">
        <v>1007</v>
      </c>
      <c r="F232" s="17" t="str">
        <f>TRIM('data cleaning'!$G232)</f>
        <v>Consumer</v>
      </c>
      <c r="G232" s="17" t="s">
        <v>1513</v>
      </c>
      <c r="H232" s="17" t="str">
        <f>TRIM('data cleaning'!$I232)</f>
        <v>South</v>
      </c>
      <c r="I232" s="17" t="s">
        <v>1517</v>
      </c>
      <c r="J232" s="17" t="str">
        <f>TRIM('data cleaning'!$K232)</f>
        <v>Furniture</v>
      </c>
      <c r="K232" s="17" t="s">
        <v>1522</v>
      </c>
      <c r="L232" s="17" t="str">
        <f>TRIM('data cleaning'!$M232)</f>
        <v>Chairs</v>
      </c>
      <c r="M232" s="17" t="s">
        <v>1531</v>
      </c>
      <c r="N232" s="17" t="str">
        <f>PROPER('data cleaning'!$O232)</f>
        <v>Real Chairs</v>
      </c>
      <c r="O232" s="17" t="str">
        <f>TRIM('data cleaning'!$P232)</f>
        <v>Real Chairs</v>
      </c>
      <c r="P232" s="17" t="s">
        <v>1759</v>
      </c>
      <c r="Q232" s="17">
        <v>1897.33</v>
      </c>
      <c r="R232" s="17">
        <v>6</v>
      </c>
      <c r="S232" s="17">
        <v>0.2</v>
      </c>
      <c r="T232" s="18">
        <v>600.36</v>
      </c>
    </row>
    <row r="233" spans="1:20" ht="15.6" x14ac:dyDescent="0.3">
      <c r="A233" s="19" t="s">
        <v>244</v>
      </c>
      <c r="B233" s="20">
        <v>45888</v>
      </c>
      <c r="C233" s="21">
        <v>45895</v>
      </c>
      <c r="D233" s="22" t="str">
        <f>TRIM('data cleaning'!$E233)</f>
        <v>Lisa Davis</v>
      </c>
      <c r="E233" s="23" t="s">
        <v>1008</v>
      </c>
      <c r="F233" s="23" t="str">
        <f>TRIM('data cleaning'!$G233)</f>
        <v>Corporate</v>
      </c>
      <c r="G233" s="23" t="s">
        <v>1514</v>
      </c>
      <c r="H233" s="23" t="str">
        <f>TRIM('data cleaning'!$I233)</f>
        <v>West</v>
      </c>
      <c r="I233" s="23" t="s">
        <v>1518</v>
      </c>
      <c r="J233" s="23" t="str">
        <f>TRIM('data cleaning'!$K233)</f>
        <v>Office Supplies</v>
      </c>
      <c r="K233" s="23" t="s">
        <v>1520</v>
      </c>
      <c r="L233" s="23" t="str">
        <f>TRIM('data cleaning'!$M233)</f>
        <v>Storage</v>
      </c>
      <c r="M233" s="23" t="s">
        <v>1525</v>
      </c>
      <c r="N233" s="23" t="str">
        <f>PROPER('data cleaning'!$O233)</f>
        <v>Information Storage</v>
      </c>
      <c r="O233" s="23" t="str">
        <f>TRIM('data cleaning'!$P233)</f>
        <v>Information Storage</v>
      </c>
      <c r="P233" s="23" t="s">
        <v>1760</v>
      </c>
      <c r="Q233" s="23">
        <v>2525.39</v>
      </c>
      <c r="R233" s="23">
        <v>1</v>
      </c>
      <c r="S233" s="23">
        <v>0</v>
      </c>
      <c r="T233" s="24">
        <v>-314.74</v>
      </c>
    </row>
    <row r="234" spans="1:20" ht="15.6" x14ac:dyDescent="0.3">
      <c r="A234" s="13" t="s">
        <v>245</v>
      </c>
      <c r="B234" s="14">
        <v>45080</v>
      </c>
      <c r="C234" s="15">
        <v>45083</v>
      </c>
      <c r="D234" s="16" t="str">
        <f>TRIM('data cleaning'!$E234)</f>
        <v>Margaret English</v>
      </c>
      <c r="E234" s="17" t="s">
        <v>1009</v>
      </c>
      <c r="F234" s="17" t="str">
        <f>TRIM('data cleaning'!$G234)</f>
        <v>Home Office</v>
      </c>
      <c r="G234" s="17" t="s">
        <v>1515</v>
      </c>
      <c r="H234" s="17" t="str">
        <f>TRIM('data cleaning'!$I234)</f>
        <v>East</v>
      </c>
      <c r="I234" s="17" t="s">
        <v>1519</v>
      </c>
      <c r="J234" s="17" t="str">
        <f>TRIM('data cleaning'!$K234)</f>
        <v>Office Supplies</v>
      </c>
      <c r="K234" s="17" t="s">
        <v>1520</v>
      </c>
      <c r="L234" s="17" t="str">
        <f>TRIM('data cleaning'!$M234)</f>
        <v>Paper</v>
      </c>
      <c r="M234" s="17" t="s">
        <v>1524</v>
      </c>
      <c r="N234" s="17" t="str">
        <f>PROPER('data cleaning'!$O234)</f>
        <v>Unit Paper</v>
      </c>
      <c r="O234" s="17" t="str">
        <f>TRIM('data cleaning'!$P234)</f>
        <v>Unit Paper</v>
      </c>
      <c r="P234" s="17" t="s">
        <v>1761</v>
      </c>
      <c r="Q234" s="17">
        <v>3050.99</v>
      </c>
      <c r="R234" s="17">
        <v>9</v>
      </c>
      <c r="S234" s="17">
        <v>0.05</v>
      </c>
      <c r="T234" s="18">
        <v>-59.86</v>
      </c>
    </row>
    <row r="235" spans="1:20" ht="15.6" x14ac:dyDescent="0.3">
      <c r="A235" s="19" t="s">
        <v>246</v>
      </c>
      <c r="B235" s="20">
        <v>45479</v>
      </c>
      <c r="C235" s="21">
        <v>45489</v>
      </c>
      <c r="D235" s="22" t="str">
        <f>TRIM('data cleaning'!$E235)</f>
        <v>Alexander Bradford</v>
      </c>
      <c r="E235" s="23" t="s">
        <v>1010</v>
      </c>
      <c r="F235" s="23" t="str">
        <f>TRIM('data cleaning'!$G235)</f>
        <v>Home Office</v>
      </c>
      <c r="G235" s="23" t="s">
        <v>1515</v>
      </c>
      <c r="H235" s="23" t="str">
        <f>TRIM('data cleaning'!$I235)</f>
        <v>West</v>
      </c>
      <c r="I235" s="23" t="s">
        <v>1518</v>
      </c>
      <c r="J235" s="23" t="str">
        <f>TRIM('data cleaning'!$K235)</f>
        <v>Furniture</v>
      </c>
      <c r="K235" s="23" t="s">
        <v>1522</v>
      </c>
      <c r="L235" s="23" t="str">
        <f>TRIM('data cleaning'!$M235)</f>
        <v>Tables</v>
      </c>
      <c r="M235" s="23" t="s">
        <v>1529</v>
      </c>
      <c r="N235" s="23" t="str">
        <f>PROPER('data cleaning'!$O235)</f>
        <v>Future Tables</v>
      </c>
      <c r="O235" s="23" t="str">
        <f>TRIM('data cleaning'!$P235)</f>
        <v>Future Tables</v>
      </c>
      <c r="P235" s="23" t="s">
        <v>1762</v>
      </c>
      <c r="Q235" s="23">
        <v>3709.63</v>
      </c>
      <c r="R235" s="23">
        <v>5</v>
      </c>
      <c r="S235" s="23">
        <v>0.2</v>
      </c>
      <c r="T235" s="24">
        <v>-55.62</v>
      </c>
    </row>
    <row r="236" spans="1:20" ht="15.6" x14ac:dyDescent="0.3">
      <c r="A236" s="13" t="s">
        <v>247</v>
      </c>
      <c r="B236" s="14">
        <v>45475</v>
      </c>
      <c r="C236" s="15">
        <v>45480</v>
      </c>
      <c r="D236" s="16" t="str">
        <f>TRIM('data cleaning'!$E236)</f>
        <v>Sean Cantu</v>
      </c>
      <c r="E236" s="17" t="s">
        <v>1011</v>
      </c>
      <c r="F236" s="17" t="str">
        <f>TRIM('data cleaning'!$G236)</f>
        <v>Consumer</v>
      </c>
      <c r="G236" s="17" t="s">
        <v>1513</v>
      </c>
      <c r="H236" s="17" t="str">
        <f>TRIM('data cleaning'!$I236)</f>
        <v>West</v>
      </c>
      <c r="I236" s="17" t="s">
        <v>1518</v>
      </c>
      <c r="J236" s="17" t="str">
        <f>TRIM('data cleaning'!$K236)</f>
        <v>Office Supplies</v>
      </c>
      <c r="K236" s="17" t="s">
        <v>1520</v>
      </c>
      <c r="L236" s="17" t="str">
        <f>TRIM('data cleaning'!$M236)</f>
        <v>Storage</v>
      </c>
      <c r="M236" s="17" t="s">
        <v>1525</v>
      </c>
      <c r="N236" s="17" t="str">
        <f>PROPER('data cleaning'!$O236)</f>
        <v>Ahead Storage</v>
      </c>
      <c r="O236" s="17" t="str">
        <f>TRIM('data cleaning'!$P236)</f>
        <v>Ahead Storage</v>
      </c>
      <c r="P236" s="17" t="s">
        <v>1763</v>
      </c>
      <c r="Q236" s="17">
        <v>2400.7199999999998</v>
      </c>
      <c r="R236" s="17">
        <v>1</v>
      </c>
      <c r="S236" s="17">
        <v>0.1</v>
      </c>
      <c r="T236" s="18">
        <v>-42.78</v>
      </c>
    </row>
    <row r="237" spans="1:20" ht="15.6" x14ac:dyDescent="0.3">
      <c r="A237" s="19" t="s">
        <v>248</v>
      </c>
      <c r="B237" s="20">
        <v>45363</v>
      </c>
      <c r="C237" s="21">
        <v>45364</v>
      </c>
      <c r="D237" s="22" t="str">
        <f>TRIM('data cleaning'!$E237)</f>
        <v>Christine Powell</v>
      </c>
      <c r="E237" s="23" t="s">
        <v>1012</v>
      </c>
      <c r="F237" s="23" t="str">
        <f>TRIM('data cleaning'!$G237)</f>
        <v>Home Office</v>
      </c>
      <c r="G237" s="23" t="s">
        <v>1515</v>
      </c>
      <c r="H237" s="23" t="str">
        <f>TRIM('data cleaning'!$I237)</f>
        <v>South</v>
      </c>
      <c r="I237" s="23" t="s">
        <v>1517</v>
      </c>
      <c r="J237" s="23" t="str">
        <f>TRIM('data cleaning'!$K237)</f>
        <v>Office Supplies</v>
      </c>
      <c r="K237" s="23" t="s">
        <v>1520</v>
      </c>
      <c r="L237" s="23" t="str">
        <f>TRIM('data cleaning'!$M237)</f>
        <v>Paper</v>
      </c>
      <c r="M237" s="23" t="s">
        <v>1524</v>
      </c>
      <c r="N237" s="23" t="str">
        <f>PROPER('data cleaning'!$O237)</f>
        <v>Month Paper</v>
      </c>
      <c r="O237" s="23" t="str">
        <f>TRIM('data cleaning'!$P237)</f>
        <v>Month Paper</v>
      </c>
      <c r="P237" s="23" t="s">
        <v>1764</v>
      </c>
      <c r="Q237" s="23">
        <v>3004.7</v>
      </c>
      <c r="R237" s="23">
        <v>5</v>
      </c>
      <c r="S237" s="23"/>
      <c r="T237" s="24">
        <v>692.88</v>
      </c>
    </row>
    <row r="238" spans="1:20" ht="15.6" x14ac:dyDescent="0.3">
      <c r="A238" s="13" t="s">
        <v>249</v>
      </c>
      <c r="B238" s="14">
        <v>45775</v>
      </c>
      <c r="C238" s="15">
        <v>45785</v>
      </c>
      <c r="D238" s="16" t="str">
        <f>TRIM('data cleaning'!$E238)</f>
        <v>Brandon Hicks</v>
      </c>
      <c r="E238" s="17" t="s">
        <v>1013</v>
      </c>
      <c r="F238" s="17" t="str">
        <f>TRIM('data cleaning'!$G238)</f>
        <v>Corporate</v>
      </c>
      <c r="G238" s="17" t="s">
        <v>1514</v>
      </c>
      <c r="H238" s="17" t="str">
        <f>TRIM('data cleaning'!$I238)</f>
        <v>South</v>
      </c>
      <c r="I238" s="17" t="s">
        <v>1517</v>
      </c>
      <c r="J238" s="17" t="str">
        <f>TRIM('data cleaning'!$K238)</f>
        <v>Office Supplies</v>
      </c>
      <c r="K238" s="17" t="s">
        <v>1520</v>
      </c>
      <c r="L238" s="17" t="str">
        <f>TRIM('data cleaning'!$M238)</f>
        <v>Binders</v>
      </c>
      <c r="M238" s="17" t="s">
        <v>1523</v>
      </c>
      <c r="N238" s="17" t="str">
        <f>PROPER('data cleaning'!$O238)</f>
        <v>Fight Binders</v>
      </c>
      <c r="O238" s="17" t="str">
        <f>TRIM('data cleaning'!$P238)</f>
        <v>Fight Binders</v>
      </c>
      <c r="P238" s="17" t="s">
        <v>1765</v>
      </c>
      <c r="Q238" s="17">
        <v>2428.2199999999998</v>
      </c>
      <c r="R238" s="17">
        <v>9</v>
      </c>
      <c r="S238" s="17"/>
      <c r="T238" s="18">
        <v>477.51</v>
      </c>
    </row>
    <row r="239" spans="1:20" ht="15.6" x14ac:dyDescent="0.3">
      <c r="A239" s="19" t="s">
        <v>250</v>
      </c>
      <c r="B239" s="20">
        <v>45179</v>
      </c>
      <c r="C239" s="21">
        <v>45180</v>
      </c>
      <c r="D239" s="22" t="str">
        <f>TRIM('data cleaning'!$E239)</f>
        <v>Morgan Jones</v>
      </c>
      <c r="E239" s="23" t="s">
        <v>1014</v>
      </c>
      <c r="F239" s="23" t="str">
        <f>TRIM('data cleaning'!$G239)</f>
        <v>Corporate</v>
      </c>
      <c r="G239" s="23" t="s">
        <v>1514</v>
      </c>
      <c r="H239" s="23" t="str">
        <f>TRIM('data cleaning'!$I239)</f>
        <v>West</v>
      </c>
      <c r="I239" s="23" t="s">
        <v>1518</v>
      </c>
      <c r="J239" s="23" t="str">
        <f>TRIM('data cleaning'!$K239)</f>
        <v>Office Supplies</v>
      </c>
      <c r="K239" s="23" t="s">
        <v>1520</v>
      </c>
      <c r="L239" s="23" t="str">
        <f>TRIM('data cleaning'!$M239)</f>
        <v>Binders</v>
      </c>
      <c r="M239" s="23" t="s">
        <v>1523</v>
      </c>
      <c r="N239" s="23" t="str">
        <f>PROPER('data cleaning'!$O239)</f>
        <v>Article Binders</v>
      </c>
      <c r="O239" s="23" t="str">
        <f>TRIM('data cleaning'!$P239)</f>
        <v>Article Binders</v>
      </c>
      <c r="P239" s="23" t="s">
        <v>1766</v>
      </c>
      <c r="Q239" s="23">
        <v>2884.22</v>
      </c>
      <c r="R239" s="23">
        <v>2</v>
      </c>
      <c r="S239" s="23">
        <v>0.05</v>
      </c>
      <c r="T239" s="24">
        <v>-546.79999999999995</v>
      </c>
    </row>
    <row r="240" spans="1:20" ht="15.6" x14ac:dyDescent="0.3">
      <c r="A240" s="13" t="s">
        <v>251</v>
      </c>
      <c r="B240" s="14">
        <v>45497</v>
      </c>
      <c r="C240" s="15">
        <v>45501</v>
      </c>
      <c r="D240" s="16" t="str">
        <f>TRIM('data cleaning'!$E240)</f>
        <v>Jason Gonzalez</v>
      </c>
      <c r="E240" s="17" t="s">
        <v>1015</v>
      </c>
      <c r="F240" s="17" t="str">
        <f>TRIM('data cleaning'!$G240)</f>
        <v>Home Office</v>
      </c>
      <c r="G240" s="17" t="s">
        <v>1515</v>
      </c>
      <c r="H240" s="17" t="str">
        <f>TRIM('data cleaning'!$I240)</f>
        <v>North</v>
      </c>
      <c r="I240" s="17" t="s">
        <v>1516</v>
      </c>
      <c r="J240" s="17" t="str">
        <f>TRIM('data cleaning'!$K240)</f>
        <v>Furniture</v>
      </c>
      <c r="K240" s="17" t="s">
        <v>1522</v>
      </c>
      <c r="L240" s="17" t="str">
        <f>TRIM('data cleaning'!$M240)</f>
        <v>Tables</v>
      </c>
      <c r="M240" s="17" t="s">
        <v>1529</v>
      </c>
      <c r="N240" s="17" t="str">
        <f>PROPER('data cleaning'!$O240)</f>
        <v>Season Tables</v>
      </c>
      <c r="O240" s="17" t="str">
        <f>TRIM('data cleaning'!$P240)</f>
        <v>Season Tables</v>
      </c>
      <c r="P240" s="17" t="s">
        <v>1767</v>
      </c>
      <c r="Q240" s="17">
        <v>2081.37</v>
      </c>
      <c r="R240" s="17">
        <v>10</v>
      </c>
      <c r="S240" s="17">
        <v>0.15</v>
      </c>
      <c r="T240" s="18">
        <v>582.89</v>
      </c>
    </row>
    <row r="241" spans="1:20" ht="15.6" x14ac:dyDescent="0.3">
      <c r="A241" s="19" t="s">
        <v>252</v>
      </c>
      <c r="B241" s="20">
        <v>45620</v>
      </c>
      <c r="C241" s="21">
        <v>45629</v>
      </c>
      <c r="D241" s="22" t="str">
        <f>TRIM('data cleaning'!$E241)</f>
        <v>Bobby Wood</v>
      </c>
      <c r="E241" s="23" t="s">
        <v>1016</v>
      </c>
      <c r="F241" s="23" t="str">
        <f>TRIM('data cleaning'!$G241)</f>
        <v>Corporate</v>
      </c>
      <c r="G241" s="23" t="s">
        <v>1514</v>
      </c>
      <c r="H241" s="23" t="str">
        <f>TRIM('data cleaning'!$I241)</f>
        <v>East</v>
      </c>
      <c r="I241" s="23" t="s">
        <v>1519</v>
      </c>
      <c r="J241" s="23" t="str">
        <f>TRIM('data cleaning'!$K241)</f>
        <v>Office Supplies</v>
      </c>
      <c r="K241" s="23" t="s">
        <v>1520</v>
      </c>
      <c r="L241" s="23" t="str">
        <f>TRIM('data cleaning'!$M241)</f>
        <v>Binders</v>
      </c>
      <c r="M241" s="23" t="s">
        <v>1523</v>
      </c>
      <c r="N241" s="23" t="str">
        <f>PROPER('data cleaning'!$O241)</f>
        <v>Than Binders</v>
      </c>
      <c r="O241" s="23" t="str">
        <f>TRIM('data cleaning'!$P241)</f>
        <v>Than Binders</v>
      </c>
      <c r="P241" s="23" t="s">
        <v>1768</v>
      </c>
      <c r="Q241" s="23">
        <v>1076.3399999999999</v>
      </c>
      <c r="R241" s="23">
        <v>6</v>
      </c>
      <c r="S241" s="23"/>
      <c r="T241" s="24">
        <v>67.92</v>
      </c>
    </row>
    <row r="242" spans="1:20" ht="15.6" x14ac:dyDescent="0.3">
      <c r="A242" s="13" t="s">
        <v>253</v>
      </c>
      <c r="B242" s="14">
        <v>45865</v>
      </c>
      <c r="C242" s="15">
        <v>45874</v>
      </c>
      <c r="D242" s="16" t="str">
        <f>TRIM('data cleaning'!$E242)</f>
        <v>Michael Payne</v>
      </c>
      <c r="E242" s="17" t="s">
        <v>1017</v>
      </c>
      <c r="F242" s="17" t="str">
        <f>TRIM('data cleaning'!$G242)</f>
        <v>Home Office</v>
      </c>
      <c r="G242" s="17" t="s">
        <v>1515</v>
      </c>
      <c r="H242" s="17" t="str">
        <f>TRIM('data cleaning'!$I242)</f>
        <v>East</v>
      </c>
      <c r="I242" s="17" t="s">
        <v>1519</v>
      </c>
      <c r="J242" s="17" t="str">
        <f>TRIM('data cleaning'!$K242)</f>
        <v>Furniture</v>
      </c>
      <c r="K242" s="17" t="s">
        <v>1522</v>
      </c>
      <c r="L242" s="17" t="str">
        <f>TRIM('data cleaning'!$M242)</f>
        <v>Tables</v>
      </c>
      <c r="M242" s="17" t="s">
        <v>1529</v>
      </c>
      <c r="N242" s="17" t="str">
        <f>PROPER('data cleaning'!$O242)</f>
        <v>Understand Tables</v>
      </c>
      <c r="O242" s="17" t="str">
        <f>TRIM('data cleaning'!$P242)</f>
        <v>Understand Tables</v>
      </c>
      <c r="P242" s="17" t="s">
        <v>1769</v>
      </c>
      <c r="Q242" s="17">
        <v>1744.52</v>
      </c>
      <c r="R242" s="17">
        <v>6</v>
      </c>
      <c r="S242" s="17"/>
      <c r="T242" s="18">
        <v>391.81</v>
      </c>
    </row>
    <row r="243" spans="1:20" ht="15.6" x14ac:dyDescent="0.3">
      <c r="A243" s="19" t="s">
        <v>254</v>
      </c>
      <c r="B243" s="20">
        <v>45575</v>
      </c>
      <c r="C243" s="21">
        <v>45579</v>
      </c>
      <c r="D243" s="22" t="str">
        <f>TRIM('data cleaning'!$E243)</f>
        <v>Kathleen Hardin</v>
      </c>
      <c r="E243" s="23" t="s">
        <v>1018</v>
      </c>
      <c r="F243" s="23" t="str">
        <f>TRIM('data cleaning'!$G243)</f>
        <v>Corporate</v>
      </c>
      <c r="G243" s="23" t="s">
        <v>1514</v>
      </c>
      <c r="H243" s="23" t="str">
        <f>TRIM('data cleaning'!$I243)</f>
        <v>East</v>
      </c>
      <c r="I243" s="23" t="s">
        <v>1519</v>
      </c>
      <c r="J243" s="23" t="str">
        <f>TRIM('data cleaning'!$K243)</f>
        <v>Office Supplies</v>
      </c>
      <c r="K243" s="23" t="s">
        <v>1520</v>
      </c>
      <c r="L243" s="23" t="str">
        <f>TRIM('data cleaning'!$M243)</f>
        <v>Paper</v>
      </c>
      <c r="M243" s="23" t="s">
        <v>1524</v>
      </c>
      <c r="N243" s="23" t="str">
        <f>PROPER('data cleaning'!$O243)</f>
        <v>Condition Paper</v>
      </c>
      <c r="O243" s="23" t="str">
        <f>TRIM('data cleaning'!$P243)</f>
        <v>Condition Paper</v>
      </c>
      <c r="P243" s="23" t="s">
        <v>1770</v>
      </c>
      <c r="Q243" s="23">
        <v>4788.82</v>
      </c>
      <c r="R243" s="23">
        <v>5</v>
      </c>
      <c r="S243" s="23">
        <v>0.2</v>
      </c>
      <c r="T243" s="24">
        <v>-171.56</v>
      </c>
    </row>
    <row r="244" spans="1:20" ht="15.6" x14ac:dyDescent="0.3">
      <c r="A244" s="13" t="s">
        <v>255</v>
      </c>
      <c r="B244" s="14">
        <v>45973</v>
      </c>
      <c r="C244" s="15">
        <v>45981</v>
      </c>
      <c r="D244" s="16" t="str">
        <f>TRIM('data cleaning'!$E244)</f>
        <v>Emily Wells</v>
      </c>
      <c r="E244" s="17" t="s">
        <v>1019</v>
      </c>
      <c r="F244" s="17" t="str">
        <f>TRIM('data cleaning'!$G244)</f>
        <v>Home Office</v>
      </c>
      <c r="G244" s="17" t="s">
        <v>1515</v>
      </c>
      <c r="H244" s="17" t="str">
        <f>TRIM('data cleaning'!$I244)</f>
        <v>East</v>
      </c>
      <c r="I244" s="17" t="s">
        <v>1519</v>
      </c>
      <c r="J244" s="17" t="str">
        <f>TRIM('data cleaning'!$K244)</f>
        <v>Office Supplies</v>
      </c>
      <c r="K244" s="17" t="s">
        <v>1520</v>
      </c>
      <c r="L244" s="17" t="str">
        <f>TRIM('data cleaning'!$M244)</f>
        <v>Binders</v>
      </c>
      <c r="M244" s="17" t="s">
        <v>1523</v>
      </c>
      <c r="N244" s="17" t="str">
        <f>PROPER('data cleaning'!$O244)</f>
        <v>Behind Binders</v>
      </c>
      <c r="O244" s="17" t="str">
        <f>TRIM('data cleaning'!$P244)</f>
        <v>Behind Binders</v>
      </c>
      <c r="P244" s="17" t="s">
        <v>1771</v>
      </c>
      <c r="Q244" s="17">
        <v>1619.35</v>
      </c>
      <c r="R244" s="17">
        <v>6</v>
      </c>
      <c r="S244" s="17">
        <v>0.2</v>
      </c>
      <c r="T244" s="18">
        <v>507.72</v>
      </c>
    </row>
    <row r="245" spans="1:20" ht="15.6" x14ac:dyDescent="0.3">
      <c r="A245" s="19" t="s">
        <v>256</v>
      </c>
      <c r="B245" s="20">
        <v>45782</v>
      </c>
      <c r="C245" s="21">
        <v>45792</v>
      </c>
      <c r="D245" s="22" t="str">
        <f>TRIM('data cleaning'!$E245)</f>
        <v>Rose Taylor</v>
      </c>
      <c r="E245" s="23" t="s">
        <v>1020</v>
      </c>
      <c r="F245" s="23" t="str">
        <f>TRIM('data cleaning'!$G245)</f>
        <v>Consumer</v>
      </c>
      <c r="G245" s="23" t="s">
        <v>1513</v>
      </c>
      <c r="H245" s="23" t="str">
        <f>TRIM('data cleaning'!$I245)</f>
        <v>East</v>
      </c>
      <c r="I245" s="23" t="s">
        <v>1519</v>
      </c>
      <c r="J245" s="23" t="str">
        <f>TRIM('data cleaning'!$K245)</f>
        <v>Technology</v>
      </c>
      <c r="K245" s="23" t="s">
        <v>1521</v>
      </c>
      <c r="L245" s="23" t="str">
        <f>TRIM('data cleaning'!$M245)</f>
        <v>Phones</v>
      </c>
      <c r="M245" s="23" t="s">
        <v>1530</v>
      </c>
      <c r="N245" s="23" t="str">
        <f>PROPER('data cleaning'!$O245)</f>
        <v>Home Phones</v>
      </c>
      <c r="O245" s="23" t="str">
        <f>TRIM('data cleaning'!$P245)</f>
        <v>Home Phones</v>
      </c>
      <c r="P245" s="23" t="s">
        <v>1772</v>
      </c>
      <c r="Q245" s="23">
        <v>3399.28</v>
      </c>
      <c r="R245" s="23">
        <v>7</v>
      </c>
      <c r="S245" s="23">
        <v>0.15</v>
      </c>
      <c r="T245" s="24">
        <v>850.19</v>
      </c>
    </row>
    <row r="246" spans="1:20" ht="15.6" x14ac:dyDescent="0.3">
      <c r="A246" s="13" t="s">
        <v>257</v>
      </c>
      <c r="B246" s="14">
        <v>45320</v>
      </c>
      <c r="C246" s="15">
        <v>45322</v>
      </c>
      <c r="D246" s="16" t="str">
        <f>TRIM('data cleaning'!$E246)</f>
        <v>Lauren Robinson</v>
      </c>
      <c r="E246" s="17" t="s">
        <v>1021</v>
      </c>
      <c r="F246" s="17" t="str">
        <f>TRIM('data cleaning'!$G246)</f>
        <v>Corporate</v>
      </c>
      <c r="G246" s="17" t="s">
        <v>1514</v>
      </c>
      <c r="H246" s="17" t="str">
        <f>TRIM('data cleaning'!$I246)</f>
        <v>South</v>
      </c>
      <c r="I246" s="17" t="s">
        <v>1517</v>
      </c>
      <c r="J246" s="17" t="str">
        <f>TRIM('data cleaning'!$K246)</f>
        <v>Furniture</v>
      </c>
      <c r="K246" s="17" t="s">
        <v>1522</v>
      </c>
      <c r="L246" s="17" t="str">
        <f>TRIM('data cleaning'!$M246)</f>
        <v>Tables</v>
      </c>
      <c r="M246" s="17" t="s">
        <v>1529</v>
      </c>
      <c r="N246" s="17" t="str">
        <f>PROPER('data cleaning'!$O246)</f>
        <v>Paper Tables</v>
      </c>
      <c r="O246" s="17" t="str">
        <f>TRIM('data cleaning'!$P246)</f>
        <v>Paper Tables</v>
      </c>
      <c r="P246" s="17" t="s">
        <v>1773</v>
      </c>
      <c r="Q246" s="17">
        <v>1764.5</v>
      </c>
      <c r="R246" s="17">
        <v>8</v>
      </c>
      <c r="S246" s="17"/>
      <c r="T246" s="18">
        <v>-104.03</v>
      </c>
    </row>
    <row r="247" spans="1:20" ht="15.6" x14ac:dyDescent="0.3">
      <c r="A247" s="19" t="s">
        <v>258</v>
      </c>
      <c r="B247" s="20">
        <v>45938</v>
      </c>
      <c r="C247" s="21">
        <v>45943</v>
      </c>
      <c r="D247" s="22" t="str">
        <f>TRIM('data cleaning'!$E247)</f>
        <v>Toni Melendez</v>
      </c>
      <c r="E247" s="23" t="s">
        <v>1022</v>
      </c>
      <c r="F247" s="23" t="str">
        <f>TRIM('data cleaning'!$G247)</f>
        <v>Home Office</v>
      </c>
      <c r="G247" s="23" t="s">
        <v>1515</v>
      </c>
      <c r="H247" s="23" t="str">
        <f>TRIM('data cleaning'!$I247)</f>
        <v>South</v>
      </c>
      <c r="I247" s="23" t="s">
        <v>1517</v>
      </c>
      <c r="J247" s="23" t="str">
        <f>TRIM('data cleaning'!$K247)</f>
        <v>Furniture</v>
      </c>
      <c r="K247" s="23" t="s">
        <v>1522</v>
      </c>
      <c r="L247" s="23" t="str">
        <f>TRIM('data cleaning'!$M247)</f>
        <v>Bookcases</v>
      </c>
      <c r="M247" s="23" t="s">
        <v>1527</v>
      </c>
      <c r="N247" s="23" t="str">
        <f>PROPER('data cleaning'!$O247)</f>
        <v>Any Bookcases</v>
      </c>
      <c r="O247" s="23" t="str">
        <f>TRIM('data cleaning'!$P247)</f>
        <v>Any Bookcases</v>
      </c>
      <c r="P247" s="23" t="s">
        <v>1774</v>
      </c>
      <c r="Q247" s="23">
        <v>4668.47</v>
      </c>
      <c r="R247" s="23">
        <v>5</v>
      </c>
      <c r="S247" s="23">
        <v>0.05</v>
      </c>
      <c r="T247" s="24">
        <v>-653.24</v>
      </c>
    </row>
    <row r="248" spans="1:20" ht="15.6" x14ac:dyDescent="0.3">
      <c r="A248" s="13" t="s">
        <v>259</v>
      </c>
      <c r="B248" s="14">
        <v>45557</v>
      </c>
      <c r="C248" s="15">
        <v>45566</v>
      </c>
      <c r="D248" s="16" t="str">
        <f>TRIM('data cleaning'!$E248)</f>
        <v>Brenda Cameron</v>
      </c>
      <c r="E248" s="17" t="s">
        <v>1023</v>
      </c>
      <c r="F248" s="17" t="str">
        <f>TRIM('data cleaning'!$G248)</f>
        <v>Corporate</v>
      </c>
      <c r="G248" s="17" t="s">
        <v>1514</v>
      </c>
      <c r="H248" s="17" t="str">
        <f>TRIM('data cleaning'!$I248)</f>
        <v>West</v>
      </c>
      <c r="I248" s="17" t="s">
        <v>1518</v>
      </c>
      <c r="J248" s="17" t="str">
        <f>TRIM('data cleaning'!$K248)</f>
        <v>Furniture</v>
      </c>
      <c r="K248" s="17" t="s">
        <v>1522</v>
      </c>
      <c r="L248" s="17" t="str">
        <f>TRIM('data cleaning'!$M248)</f>
        <v>Chairs</v>
      </c>
      <c r="M248" s="17" t="s">
        <v>1531</v>
      </c>
      <c r="N248" s="17" t="str">
        <f>PROPER('data cleaning'!$O248)</f>
        <v>Employee Chairs</v>
      </c>
      <c r="O248" s="17" t="str">
        <f>TRIM('data cleaning'!$P248)</f>
        <v>Employee Chairs</v>
      </c>
      <c r="P248" s="17" t="s">
        <v>1775</v>
      </c>
      <c r="Q248" s="17">
        <v>1167.07</v>
      </c>
      <c r="R248" s="17">
        <v>4</v>
      </c>
      <c r="S248" s="17">
        <v>0</v>
      </c>
      <c r="T248" s="18">
        <v>-169.1</v>
      </c>
    </row>
    <row r="249" spans="1:20" ht="15.6" x14ac:dyDescent="0.3">
      <c r="A249" s="19" t="s">
        <v>260</v>
      </c>
      <c r="B249" s="20">
        <v>45249</v>
      </c>
      <c r="C249" s="21">
        <v>45252</v>
      </c>
      <c r="D249" s="22" t="str">
        <f>TRIM('data cleaning'!$E249)</f>
        <v>Samantha Briggs</v>
      </c>
      <c r="E249" s="23" t="s">
        <v>1024</v>
      </c>
      <c r="F249" s="23" t="str">
        <f>TRIM('data cleaning'!$G249)</f>
        <v>Corporate</v>
      </c>
      <c r="G249" s="23" t="s">
        <v>1514</v>
      </c>
      <c r="H249" s="23" t="str">
        <f>TRIM('data cleaning'!$I249)</f>
        <v>West</v>
      </c>
      <c r="I249" s="23" t="s">
        <v>1518</v>
      </c>
      <c r="J249" s="23" t="str">
        <f>TRIM('data cleaning'!$K249)</f>
        <v>Furniture</v>
      </c>
      <c r="K249" s="23" t="s">
        <v>1522</v>
      </c>
      <c r="L249" s="23" t="str">
        <f>TRIM('data cleaning'!$M249)</f>
        <v>Bookcases</v>
      </c>
      <c r="M249" s="23" t="s">
        <v>1527</v>
      </c>
      <c r="N249" s="23" t="str">
        <f>PROPER('data cleaning'!$O249)</f>
        <v>Painting Bookcases</v>
      </c>
      <c r="O249" s="23" t="str">
        <f>TRIM('data cleaning'!$P249)</f>
        <v>Painting Bookcases</v>
      </c>
      <c r="P249" s="23" t="s">
        <v>1776</v>
      </c>
      <c r="Q249" s="23">
        <v>75.650000000000006</v>
      </c>
      <c r="R249" s="23">
        <v>9</v>
      </c>
      <c r="S249" s="23">
        <v>0.05</v>
      </c>
      <c r="T249" s="24">
        <v>1.8</v>
      </c>
    </row>
    <row r="250" spans="1:20" ht="15.6" x14ac:dyDescent="0.3">
      <c r="A250" s="13" t="s">
        <v>261</v>
      </c>
      <c r="B250" s="14">
        <v>46058</v>
      </c>
      <c r="C250" s="15">
        <v>46063</v>
      </c>
      <c r="D250" s="16" t="str">
        <f>TRIM('data cleaning'!$E250)</f>
        <v>Joseph Frazier</v>
      </c>
      <c r="E250" s="17" t="s">
        <v>1025</v>
      </c>
      <c r="F250" s="17" t="str">
        <f>TRIM('data cleaning'!$G250)</f>
        <v>Consumer</v>
      </c>
      <c r="G250" s="17" t="s">
        <v>1513</v>
      </c>
      <c r="H250" s="17" t="str">
        <f>TRIM('data cleaning'!$I250)</f>
        <v>North</v>
      </c>
      <c r="I250" s="17" t="s">
        <v>1516</v>
      </c>
      <c r="J250" s="17" t="str">
        <f>TRIM('data cleaning'!$K250)</f>
        <v>Office Supplies</v>
      </c>
      <c r="K250" s="17" t="s">
        <v>1520</v>
      </c>
      <c r="L250" s="17" t="str">
        <f>TRIM('data cleaning'!$M250)</f>
        <v>Binders</v>
      </c>
      <c r="M250" s="17" t="s">
        <v>1523</v>
      </c>
      <c r="N250" s="17" t="str">
        <f>PROPER('data cleaning'!$O250)</f>
        <v>Few Binders</v>
      </c>
      <c r="O250" s="17" t="str">
        <f>TRIM('data cleaning'!$P250)</f>
        <v>Few Binders</v>
      </c>
      <c r="P250" s="17" t="s">
        <v>1777</v>
      </c>
      <c r="Q250" s="17">
        <v>1639.78</v>
      </c>
      <c r="R250" s="17">
        <v>1</v>
      </c>
      <c r="S250" s="17">
        <v>0</v>
      </c>
      <c r="T250" s="18">
        <v>260.33999999999997</v>
      </c>
    </row>
    <row r="251" spans="1:20" ht="15.6" x14ac:dyDescent="0.3">
      <c r="A251" s="19" t="s">
        <v>262</v>
      </c>
      <c r="B251" s="20">
        <v>46096</v>
      </c>
      <c r="C251" s="21">
        <v>46099</v>
      </c>
      <c r="D251" s="22" t="str">
        <f>TRIM('data cleaning'!$E251)</f>
        <v>Zachary Thornton</v>
      </c>
      <c r="E251" s="23" t="s">
        <v>1026</v>
      </c>
      <c r="F251" s="23" t="str">
        <f>TRIM('data cleaning'!$G251)</f>
        <v>Consumer</v>
      </c>
      <c r="G251" s="23" t="s">
        <v>1513</v>
      </c>
      <c r="H251" s="23" t="str">
        <f>TRIM('data cleaning'!$I251)</f>
        <v>East</v>
      </c>
      <c r="I251" s="23" t="s">
        <v>1519</v>
      </c>
      <c r="J251" s="23" t="str">
        <f>TRIM('data cleaning'!$K251)</f>
        <v>Furniture</v>
      </c>
      <c r="K251" s="23" t="s">
        <v>1522</v>
      </c>
      <c r="L251" s="23" t="str">
        <f>TRIM('data cleaning'!$M251)</f>
        <v>Tables</v>
      </c>
      <c r="M251" s="23" t="s">
        <v>1529</v>
      </c>
      <c r="N251" s="23" t="str">
        <f>PROPER('data cleaning'!$O251)</f>
        <v>Civil Tables</v>
      </c>
      <c r="O251" s="23" t="str">
        <f>TRIM('data cleaning'!$P251)</f>
        <v>Civil Tables</v>
      </c>
      <c r="P251" s="23" t="s">
        <v>1778</v>
      </c>
      <c r="Q251" s="23">
        <v>4672.92</v>
      </c>
      <c r="R251" s="23">
        <v>1</v>
      </c>
      <c r="S251" s="23">
        <v>0.15</v>
      </c>
      <c r="T251" s="24">
        <v>1090.56</v>
      </c>
    </row>
    <row r="252" spans="1:20" ht="15.6" x14ac:dyDescent="0.3">
      <c r="A252" s="13" t="s">
        <v>263</v>
      </c>
      <c r="B252" s="14">
        <v>45194</v>
      </c>
      <c r="C252" s="15">
        <v>45199</v>
      </c>
      <c r="D252" s="16" t="str">
        <f>TRIM('data cleaning'!$E252)</f>
        <v/>
      </c>
      <c r="E252" s="17"/>
      <c r="F252" s="17" t="str">
        <f>TRIM('data cleaning'!$G252)</f>
        <v>Home Office</v>
      </c>
      <c r="G252" s="17" t="s">
        <v>1515</v>
      </c>
      <c r="H252" s="17" t="str">
        <f>TRIM('data cleaning'!$I252)</f>
        <v>West</v>
      </c>
      <c r="I252" s="17" t="s">
        <v>1518</v>
      </c>
      <c r="J252" s="17" t="str">
        <f>TRIM('data cleaning'!$K252)</f>
        <v>Furniture</v>
      </c>
      <c r="K252" s="17" t="s">
        <v>1522</v>
      </c>
      <c r="L252" s="17" t="str">
        <f>TRIM('data cleaning'!$M252)</f>
        <v>Chairs</v>
      </c>
      <c r="M252" s="17" t="s">
        <v>1531</v>
      </c>
      <c r="N252" s="17" t="str">
        <f>PROPER('data cleaning'!$O252)</f>
        <v>Marriage Chairs</v>
      </c>
      <c r="O252" s="17" t="str">
        <f>TRIM('data cleaning'!$P252)</f>
        <v>Marriage Chairs</v>
      </c>
      <c r="P252" s="17" t="s">
        <v>1779</v>
      </c>
      <c r="Q252" s="17">
        <v>2861.41</v>
      </c>
      <c r="R252" s="17">
        <v>2</v>
      </c>
      <c r="S252" s="17">
        <v>0.1</v>
      </c>
      <c r="T252" s="18">
        <v>-124.45</v>
      </c>
    </row>
    <row r="253" spans="1:20" ht="15.6" x14ac:dyDescent="0.3">
      <c r="A253" s="19" t="s">
        <v>264</v>
      </c>
      <c r="B253" s="20" t="s">
        <v>769</v>
      </c>
      <c r="C253" s="21">
        <v>45923</v>
      </c>
      <c r="D253" s="22" t="str">
        <f>TRIM('data cleaning'!$E253)</f>
        <v>Amanda Green</v>
      </c>
      <c r="E253" s="23" t="s">
        <v>1027</v>
      </c>
      <c r="F253" s="23" t="str">
        <f>TRIM('data cleaning'!$G253)</f>
        <v>Corporate</v>
      </c>
      <c r="G253" s="23" t="s">
        <v>1514</v>
      </c>
      <c r="H253" s="23" t="str">
        <f>TRIM('data cleaning'!$I253)</f>
        <v>East</v>
      </c>
      <c r="I253" s="23" t="s">
        <v>1519</v>
      </c>
      <c r="J253" s="23" t="str">
        <f>TRIM('data cleaning'!$K253)</f>
        <v>Furniture</v>
      </c>
      <c r="K253" s="23" t="s">
        <v>1522</v>
      </c>
      <c r="L253" s="23" t="str">
        <f>TRIM('data cleaning'!$M253)</f>
        <v>Bookcases</v>
      </c>
      <c r="M253" s="23" t="s">
        <v>1527</v>
      </c>
      <c r="N253" s="23" t="str">
        <f>PROPER('data cleaning'!$O253)</f>
        <v>Or Bookcases</v>
      </c>
      <c r="O253" s="23" t="str">
        <f>TRIM('data cleaning'!$P253)</f>
        <v>Or Bookcases</v>
      </c>
      <c r="P253" s="23" t="s">
        <v>1780</v>
      </c>
      <c r="Q253" s="23">
        <v>1400.54</v>
      </c>
      <c r="R253" s="23">
        <v>2</v>
      </c>
      <c r="S253" s="23">
        <v>0.1</v>
      </c>
      <c r="T253" s="24">
        <v>-154.94</v>
      </c>
    </row>
    <row r="254" spans="1:20" ht="15.6" x14ac:dyDescent="0.3">
      <c r="A254" s="13" t="s">
        <v>265</v>
      </c>
      <c r="B254" s="14">
        <v>45608</v>
      </c>
      <c r="C254" s="15">
        <v>45609</v>
      </c>
      <c r="D254" s="16" t="str">
        <f>TRIM('data cleaning'!$E254)</f>
        <v>Donna Martin</v>
      </c>
      <c r="E254" s="17" t="s">
        <v>1028</v>
      </c>
      <c r="F254" s="17" t="str">
        <f>TRIM('data cleaning'!$G254)</f>
        <v>Consumer</v>
      </c>
      <c r="G254" s="17" t="s">
        <v>1513</v>
      </c>
      <c r="H254" s="17" t="str">
        <f>TRIM('data cleaning'!$I254)</f>
        <v>South</v>
      </c>
      <c r="I254" s="17" t="s">
        <v>1517</v>
      </c>
      <c r="J254" s="17" t="str">
        <f>TRIM('data cleaning'!$K254)</f>
        <v>Office Supplies</v>
      </c>
      <c r="K254" s="17" t="s">
        <v>1520</v>
      </c>
      <c r="L254" s="17" t="str">
        <f>TRIM('data cleaning'!$M254)</f>
        <v>Binders</v>
      </c>
      <c r="M254" s="17" t="s">
        <v>1523</v>
      </c>
      <c r="N254" s="17" t="str">
        <f>PROPER('data cleaning'!$O254)</f>
        <v>Pick Binders</v>
      </c>
      <c r="O254" s="17" t="str">
        <f>TRIM('data cleaning'!$P254)</f>
        <v>Pick Binders</v>
      </c>
      <c r="P254" s="17" t="s">
        <v>1781</v>
      </c>
      <c r="Q254" s="17">
        <v>3696.26</v>
      </c>
      <c r="R254" s="17">
        <v>5</v>
      </c>
      <c r="S254" s="17">
        <v>0.2</v>
      </c>
      <c r="T254" s="18">
        <v>631.77</v>
      </c>
    </row>
    <row r="255" spans="1:20" ht="15.6" x14ac:dyDescent="0.3">
      <c r="A255" s="19" t="s">
        <v>266</v>
      </c>
      <c r="B255" s="20">
        <v>46093</v>
      </c>
      <c r="C255" s="21">
        <v>46100</v>
      </c>
      <c r="D255" s="22" t="str">
        <f>TRIM('data cleaning'!$E255)</f>
        <v>Jessica Hansen</v>
      </c>
      <c r="E255" s="23" t="s">
        <v>1029</v>
      </c>
      <c r="F255" s="23" t="str">
        <f>TRIM('data cleaning'!$G255)</f>
        <v>Home Office</v>
      </c>
      <c r="G255" s="23" t="s">
        <v>1515</v>
      </c>
      <c r="H255" s="23" t="str">
        <f>TRIM('data cleaning'!$I255)</f>
        <v>North</v>
      </c>
      <c r="I255" s="23" t="s">
        <v>1516</v>
      </c>
      <c r="J255" s="23" t="str">
        <f>TRIM('data cleaning'!$K255)</f>
        <v>Office Supplies</v>
      </c>
      <c r="K255" s="23" t="s">
        <v>1520</v>
      </c>
      <c r="L255" s="23" t="str">
        <f>TRIM('data cleaning'!$M255)</f>
        <v>Storage</v>
      </c>
      <c r="M255" s="23" t="s">
        <v>1525</v>
      </c>
      <c r="N255" s="23" t="str">
        <f>PROPER('data cleaning'!$O255)</f>
        <v>Cold Storage</v>
      </c>
      <c r="O255" s="23" t="str">
        <f>TRIM('data cleaning'!$P255)</f>
        <v>Cold Storage</v>
      </c>
      <c r="P255" s="23" t="s">
        <v>1782</v>
      </c>
      <c r="Q255" s="23">
        <v>4143.6000000000004</v>
      </c>
      <c r="R255" s="23">
        <v>9</v>
      </c>
      <c r="S255" s="23">
        <v>0.1</v>
      </c>
      <c r="T255" s="24">
        <v>-631.04999999999995</v>
      </c>
    </row>
    <row r="256" spans="1:20" ht="15.6" x14ac:dyDescent="0.3">
      <c r="A256" s="13" t="s">
        <v>267</v>
      </c>
      <c r="B256" s="14">
        <v>45208</v>
      </c>
      <c r="C256" s="15">
        <v>45216</v>
      </c>
      <c r="D256" s="16" t="str">
        <f>TRIM('data cleaning'!$E256)</f>
        <v>Mrs. Jessica Padilla DDS</v>
      </c>
      <c r="E256" s="17" t="s">
        <v>1030</v>
      </c>
      <c r="F256" s="17" t="str">
        <f>TRIM('data cleaning'!$G256)</f>
        <v>Consumer</v>
      </c>
      <c r="G256" s="17" t="s">
        <v>1513</v>
      </c>
      <c r="H256" s="17" t="str">
        <f>TRIM('data cleaning'!$I256)</f>
        <v>West</v>
      </c>
      <c r="I256" s="17" t="s">
        <v>1518</v>
      </c>
      <c r="J256" s="17" t="str">
        <f>TRIM('data cleaning'!$K256)</f>
        <v>Furniture</v>
      </c>
      <c r="K256" s="17" t="s">
        <v>1522</v>
      </c>
      <c r="L256" s="17" t="str">
        <f>TRIM('data cleaning'!$M256)</f>
        <v>Chairs</v>
      </c>
      <c r="M256" s="17" t="s">
        <v>1531</v>
      </c>
      <c r="N256" s="17" t="str">
        <f>PROPER('data cleaning'!$O256)</f>
        <v>Some Chairs</v>
      </c>
      <c r="O256" s="17" t="str">
        <f>TRIM('data cleaning'!$P256)</f>
        <v>Some Chairs</v>
      </c>
      <c r="P256" s="17" t="s">
        <v>1783</v>
      </c>
      <c r="Q256" s="17">
        <v>1651.83</v>
      </c>
      <c r="R256" s="17">
        <v>4</v>
      </c>
      <c r="S256" s="17">
        <v>0</v>
      </c>
      <c r="T256" s="18">
        <v>-93.44</v>
      </c>
    </row>
    <row r="257" spans="1:20" ht="15.6" x14ac:dyDescent="0.3">
      <c r="A257" s="19" t="s">
        <v>268</v>
      </c>
      <c r="B257" s="20">
        <v>45561</v>
      </c>
      <c r="C257" s="21">
        <v>45566</v>
      </c>
      <c r="D257" s="22" t="str">
        <f>TRIM('data cleaning'!$E257)</f>
        <v>Paige Shah</v>
      </c>
      <c r="E257" s="23" t="s">
        <v>1031</v>
      </c>
      <c r="F257" s="23" t="str">
        <f>TRIM('data cleaning'!$G257)</f>
        <v>Corporate</v>
      </c>
      <c r="G257" s="23" t="s">
        <v>1514</v>
      </c>
      <c r="H257" s="23" t="str">
        <f>TRIM('data cleaning'!$I257)</f>
        <v>South</v>
      </c>
      <c r="I257" s="23" t="s">
        <v>1517</v>
      </c>
      <c r="J257" s="23" t="str">
        <f>TRIM('data cleaning'!$K257)</f>
        <v>Technology</v>
      </c>
      <c r="K257" s="23" t="s">
        <v>1521</v>
      </c>
      <c r="L257" s="23" t="str">
        <f>TRIM('data cleaning'!$M257)</f>
        <v>Accessories</v>
      </c>
      <c r="M257" s="23" t="s">
        <v>1526</v>
      </c>
      <c r="N257" s="23" t="str">
        <f>PROPER('data cleaning'!$O257)</f>
        <v>Lawyer Accessories</v>
      </c>
      <c r="O257" s="23" t="str">
        <f>TRIM('data cleaning'!$P257)</f>
        <v>Lawyer Accessories</v>
      </c>
      <c r="P257" s="23" t="s">
        <v>1784</v>
      </c>
      <c r="Q257" s="23">
        <v>2933.18</v>
      </c>
      <c r="R257" s="23">
        <v>10</v>
      </c>
      <c r="S257" s="23">
        <v>0</v>
      </c>
      <c r="T257" s="24">
        <v>-164.69</v>
      </c>
    </row>
    <row r="258" spans="1:20" ht="15.6" x14ac:dyDescent="0.3">
      <c r="A258" s="13" t="s">
        <v>269</v>
      </c>
      <c r="B258" s="14">
        <v>45932</v>
      </c>
      <c r="C258" s="15">
        <v>45934</v>
      </c>
      <c r="D258" s="16" t="str">
        <f>TRIM('data cleaning'!$E258)</f>
        <v>Javier Lewis</v>
      </c>
      <c r="E258" s="17" t="s">
        <v>1032</v>
      </c>
      <c r="F258" s="17" t="str">
        <f>TRIM('data cleaning'!$G258)</f>
        <v>Home Office</v>
      </c>
      <c r="G258" s="17" t="s">
        <v>1515</v>
      </c>
      <c r="H258" s="17" t="str">
        <f>TRIM('data cleaning'!$I258)</f>
        <v>East</v>
      </c>
      <c r="I258" s="17" t="s">
        <v>1519</v>
      </c>
      <c r="J258" s="17" t="str">
        <f>TRIM('data cleaning'!$K258)</f>
        <v>Furniture</v>
      </c>
      <c r="K258" s="17" t="s">
        <v>1522</v>
      </c>
      <c r="L258" s="17" t="str">
        <f>TRIM('data cleaning'!$M258)</f>
        <v>Bookcases</v>
      </c>
      <c r="M258" s="17" t="s">
        <v>1527</v>
      </c>
      <c r="N258" s="17" t="str">
        <f>PROPER('data cleaning'!$O258)</f>
        <v>Pull Bookcases</v>
      </c>
      <c r="O258" s="17" t="str">
        <f>TRIM('data cleaning'!$P258)</f>
        <v>Pull Bookcases</v>
      </c>
      <c r="P258" s="17" t="s">
        <v>1785</v>
      </c>
      <c r="Q258" s="17">
        <v>2353.71</v>
      </c>
      <c r="R258" s="17">
        <v>3</v>
      </c>
      <c r="S258" s="17">
        <v>0.15</v>
      </c>
      <c r="T258" s="18">
        <v>417.41</v>
      </c>
    </row>
    <row r="259" spans="1:20" ht="15.6" x14ac:dyDescent="0.3">
      <c r="A259" s="19" t="s">
        <v>270</v>
      </c>
      <c r="B259" s="20">
        <v>45141</v>
      </c>
      <c r="C259" s="21">
        <v>45146</v>
      </c>
      <c r="D259" s="22" t="str">
        <f>TRIM('data cleaning'!$E259)</f>
        <v>Dawn Hill</v>
      </c>
      <c r="E259" s="23" t="s">
        <v>1033</v>
      </c>
      <c r="F259" s="23" t="str">
        <f>TRIM('data cleaning'!$G259)</f>
        <v>Corporate</v>
      </c>
      <c r="G259" s="23" t="s">
        <v>1514</v>
      </c>
      <c r="H259" s="23" t="str">
        <f>TRIM('data cleaning'!$I259)</f>
        <v>South</v>
      </c>
      <c r="I259" s="23" t="s">
        <v>1517</v>
      </c>
      <c r="J259" s="23" t="str">
        <f>TRIM('data cleaning'!$K259)</f>
        <v>Office Supplies</v>
      </c>
      <c r="K259" s="23" t="s">
        <v>1520</v>
      </c>
      <c r="L259" s="23" t="str">
        <f>TRIM('data cleaning'!$M259)</f>
        <v>Binders</v>
      </c>
      <c r="M259" s="23" t="s">
        <v>1523</v>
      </c>
      <c r="N259" s="23" t="str">
        <f>PROPER('data cleaning'!$O259)</f>
        <v>Ability Binders</v>
      </c>
      <c r="O259" s="23" t="str">
        <f>TRIM('data cleaning'!$P259)</f>
        <v>Ability Binders</v>
      </c>
      <c r="P259" s="23" t="s">
        <v>1786</v>
      </c>
      <c r="Q259" s="23">
        <v>1869.34</v>
      </c>
      <c r="R259" s="23">
        <v>4</v>
      </c>
      <c r="S259" s="23">
        <v>0.05</v>
      </c>
      <c r="T259" s="24">
        <v>610.42999999999995</v>
      </c>
    </row>
    <row r="260" spans="1:20" ht="15.6" x14ac:dyDescent="0.3">
      <c r="A260" s="13" t="s">
        <v>271</v>
      </c>
      <c r="B260" s="14">
        <v>45215</v>
      </c>
      <c r="C260" s="15">
        <v>45225</v>
      </c>
      <c r="D260" s="16" t="str">
        <f>TRIM('data cleaning'!$E260)</f>
        <v>Ricky Mora</v>
      </c>
      <c r="E260" s="17" t="s">
        <v>1034</v>
      </c>
      <c r="F260" s="17" t="str">
        <f>TRIM('data cleaning'!$G260)</f>
        <v>Home Office</v>
      </c>
      <c r="G260" s="17" t="s">
        <v>1515</v>
      </c>
      <c r="H260" s="17" t="str">
        <f>TRIM('data cleaning'!$I260)</f>
        <v>South</v>
      </c>
      <c r="I260" s="17" t="s">
        <v>1517</v>
      </c>
      <c r="J260" s="17" t="str">
        <f>TRIM('data cleaning'!$K260)</f>
        <v>Technology</v>
      </c>
      <c r="K260" s="17" t="s">
        <v>1521</v>
      </c>
      <c r="L260" s="17" t="str">
        <f>TRIM('data cleaning'!$M260)</f>
        <v>Laptops</v>
      </c>
      <c r="M260" s="17" t="s">
        <v>1528</v>
      </c>
      <c r="N260" s="17" t="str">
        <f>PROPER('data cleaning'!$O260)</f>
        <v>Do Laptops</v>
      </c>
      <c r="O260" s="17" t="str">
        <f>TRIM('data cleaning'!$P260)</f>
        <v>Do Laptops</v>
      </c>
      <c r="P260" s="17" t="s">
        <v>1787</v>
      </c>
      <c r="Q260" s="17">
        <v>1899.44</v>
      </c>
      <c r="R260" s="17">
        <v>9</v>
      </c>
      <c r="S260" s="17">
        <v>0.15</v>
      </c>
      <c r="T260" s="18">
        <v>411.31</v>
      </c>
    </row>
    <row r="261" spans="1:20" ht="15.6" x14ac:dyDescent="0.3">
      <c r="A261" s="19" t="s">
        <v>272</v>
      </c>
      <c r="B261" s="20">
        <v>45142</v>
      </c>
      <c r="C261" s="21">
        <v>45152</v>
      </c>
      <c r="D261" s="22" t="str">
        <f>TRIM('data cleaning'!$E261)</f>
        <v>John Johnson</v>
      </c>
      <c r="E261" s="23" t="s">
        <v>1035</v>
      </c>
      <c r="F261" s="23" t="str">
        <f>TRIM('data cleaning'!$G261)</f>
        <v>Home Office</v>
      </c>
      <c r="G261" s="23" t="s">
        <v>1515</v>
      </c>
      <c r="H261" s="23" t="str">
        <f>TRIM('data cleaning'!$I261)</f>
        <v>East</v>
      </c>
      <c r="I261" s="23" t="s">
        <v>1519</v>
      </c>
      <c r="J261" s="23" t="str">
        <f>TRIM('data cleaning'!$K261)</f>
        <v>Furniture</v>
      </c>
      <c r="K261" s="23" t="s">
        <v>1522</v>
      </c>
      <c r="L261" s="23" t="str">
        <f>TRIM('data cleaning'!$M261)</f>
        <v>Bookcases</v>
      </c>
      <c r="M261" s="23" t="s">
        <v>1527</v>
      </c>
      <c r="N261" s="23" t="str">
        <f>PROPER('data cleaning'!$O261)</f>
        <v>Option Bookcases</v>
      </c>
      <c r="O261" s="23" t="str">
        <f>TRIM('data cleaning'!$P261)</f>
        <v>Option Bookcases</v>
      </c>
      <c r="P261" s="23" t="s">
        <v>1788</v>
      </c>
      <c r="Q261" s="23">
        <v>4372.0200000000004</v>
      </c>
      <c r="R261" s="23">
        <v>2</v>
      </c>
      <c r="S261" s="23">
        <v>0.2</v>
      </c>
      <c r="T261" s="24">
        <v>199.85</v>
      </c>
    </row>
    <row r="262" spans="1:20" ht="15.6" x14ac:dyDescent="0.3">
      <c r="A262" s="13" t="s">
        <v>273</v>
      </c>
      <c r="B262" s="14">
        <v>45084</v>
      </c>
      <c r="C262" s="15">
        <v>45086</v>
      </c>
      <c r="D262" s="16" t="str">
        <f>TRIM('data cleaning'!$E262)</f>
        <v>Melissa Murphy</v>
      </c>
      <c r="E262" s="17" t="s">
        <v>1036</v>
      </c>
      <c r="F262" s="17" t="str">
        <f>TRIM('data cleaning'!$G262)</f>
        <v>Home Office</v>
      </c>
      <c r="G262" s="17" t="s">
        <v>1515</v>
      </c>
      <c r="H262" s="17" t="str">
        <f>TRIM('data cleaning'!$I262)</f>
        <v>South</v>
      </c>
      <c r="I262" s="17" t="s">
        <v>1517</v>
      </c>
      <c r="J262" s="17" t="str">
        <f>TRIM('data cleaning'!$K262)</f>
        <v>Furniture</v>
      </c>
      <c r="K262" s="17" t="s">
        <v>1522</v>
      </c>
      <c r="L262" s="17" t="str">
        <f>TRIM('data cleaning'!$M262)</f>
        <v>Bookcases</v>
      </c>
      <c r="M262" s="17" t="s">
        <v>1527</v>
      </c>
      <c r="N262" s="17" t="str">
        <f>PROPER('data cleaning'!$O262)</f>
        <v>Generation Bookcases</v>
      </c>
      <c r="O262" s="17" t="str">
        <f>TRIM('data cleaning'!$P262)</f>
        <v>Generation Bookcases</v>
      </c>
      <c r="P262" s="17" t="s">
        <v>1789</v>
      </c>
      <c r="Q262" s="17">
        <v>355.7</v>
      </c>
      <c r="R262" s="17">
        <v>9</v>
      </c>
      <c r="S262" s="17">
        <v>0.2</v>
      </c>
      <c r="T262" s="18">
        <v>-31.59</v>
      </c>
    </row>
    <row r="263" spans="1:20" ht="15.6" x14ac:dyDescent="0.3">
      <c r="A263" s="19" t="s">
        <v>274</v>
      </c>
      <c r="B263" s="20">
        <v>45501</v>
      </c>
      <c r="C263" s="21">
        <v>45510</v>
      </c>
      <c r="D263" s="22" t="str">
        <f>TRIM('data cleaning'!$E263)</f>
        <v>Danielle Hodge</v>
      </c>
      <c r="E263" s="23" t="s">
        <v>1037</v>
      </c>
      <c r="F263" s="23" t="str">
        <f>TRIM('data cleaning'!$G263)</f>
        <v>Consumer</v>
      </c>
      <c r="G263" s="23" t="s">
        <v>1513</v>
      </c>
      <c r="H263" s="23" t="str">
        <f>TRIM('data cleaning'!$I263)</f>
        <v>West</v>
      </c>
      <c r="I263" s="23" t="s">
        <v>1518</v>
      </c>
      <c r="J263" s="23" t="str">
        <f>TRIM('data cleaning'!$K263)</f>
        <v>Furniture</v>
      </c>
      <c r="K263" s="23" t="s">
        <v>1522</v>
      </c>
      <c r="L263" s="23" t="str">
        <f>TRIM('data cleaning'!$M263)</f>
        <v>Tables</v>
      </c>
      <c r="M263" s="23" t="s">
        <v>1529</v>
      </c>
      <c r="N263" s="23" t="str">
        <f>PROPER('data cleaning'!$O263)</f>
        <v>Year Tables</v>
      </c>
      <c r="O263" s="23" t="str">
        <f>TRIM('data cleaning'!$P263)</f>
        <v>Year Tables</v>
      </c>
      <c r="P263" s="23" t="s">
        <v>1627</v>
      </c>
      <c r="Q263" s="23">
        <v>2237.11</v>
      </c>
      <c r="R263" s="23">
        <v>4</v>
      </c>
      <c r="S263" s="23"/>
      <c r="T263" s="24">
        <v>270.08999999999997</v>
      </c>
    </row>
    <row r="264" spans="1:20" ht="15.6" x14ac:dyDescent="0.3">
      <c r="A264" s="13" t="s">
        <v>275</v>
      </c>
      <c r="B264" s="14">
        <v>45980</v>
      </c>
      <c r="C264" s="15">
        <v>45983</v>
      </c>
      <c r="D264" s="16" t="str">
        <f>TRIM('data cleaning'!$E264)</f>
        <v>Allen Trevino</v>
      </c>
      <c r="E264" s="17" t="s">
        <v>1038</v>
      </c>
      <c r="F264" s="17" t="str">
        <f>TRIM('data cleaning'!$G264)</f>
        <v>Corporate</v>
      </c>
      <c r="G264" s="17" t="s">
        <v>1514</v>
      </c>
      <c r="H264" s="17" t="str">
        <f>TRIM('data cleaning'!$I264)</f>
        <v>East</v>
      </c>
      <c r="I264" s="17" t="s">
        <v>1519</v>
      </c>
      <c r="J264" s="17" t="str">
        <f>TRIM('data cleaning'!$K264)</f>
        <v>Furniture</v>
      </c>
      <c r="K264" s="17" t="s">
        <v>1522</v>
      </c>
      <c r="L264" s="17" t="str">
        <f>TRIM('data cleaning'!$M264)</f>
        <v>Tables</v>
      </c>
      <c r="M264" s="17" t="s">
        <v>1529</v>
      </c>
      <c r="N264" s="17" t="str">
        <f>PROPER('data cleaning'!$O264)</f>
        <v>Necessary Tables</v>
      </c>
      <c r="O264" s="17" t="str">
        <f>TRIM('data cleaning'!$P264)</f>
        <v>Necessary Tables</v>
      </c>
      <c r="P264" s="17" t="s">
        <v>1790</v>
      </c>
      <c r="Q264" s="17">
        <v>2590.58</v>
      </c>
      <c r="R264" s="17">
        <v>8</v>
      </c>
      <c r="S264" s="17">
        <v>0.2</v>
      </c>
      <c r="T264" s="18">
        <v>-435.85</v>
      </c>
    </row>
    <row r="265" spans="1:20" ht="15.6" x14ac:dyDescent="0.3">
      <c r="A265" s="19" t="s">
        <v>276</v>
      </c>
      <c r="B265" s="20">
        <v>45423</v>
      </c>
      <c r="C265" s="21">
        <v>45430</v>
      </c>
      <c r="D265" s="22" t="str">
        <f>TRIM('data cleaning'!$E265)</f>
        <v>Mr. David Palmer</v>
      </c>
      <c r="E265" s="23" t="s">
        <v>1039</v>
      </c>
      <c r="F265" s="23" t="str">
        <f>TRIM('data cleaning'!$G265)</f>
        <v>Consumer</v>
      </c>
      <c r="G265" s="23" t="s">
        <v>1513</v>
      </c>
      <c r="H265" s="23" t="str">
        <f>TRIM('data cleaning'!$I265)</f>
        <v>North</v>
      </c>
      <c r="I265" s="23" t="s">
        <v>1516</v>
      </c>
      <c r="J265" s="23" t="str">
        <f>TRIM('data cleaning'!$K265)</f>
        <v>Office Supplies</v>
      </c>
      <c r="K265" s="23" t="s">
        <v>1520</v>
      </c>
      <c r="L265" s="23" t="str">
        <f>TRIM('data cleaning'!$M265)</f>
        <v>Binders</v>
      </c>
      <c r="M265" s="23" t="s">
        <v>1523</v>
      </c>
      <c r="N265" s="23" t="str">
        <f>PROPER('data cleaning'!$O265)</f>
        <v>Return Binders</v>
      </c>
      <c r="O265" s="23" t="str">
        <f>TRIM('data cleaning'!$P265)</f>
        <v>Return Binders</v>
      </c>
      <c r="P265" s="23" t="s">
        <v>1791</v>
      </c>
      <c r="Q265" s="23">
        <v>1309.56</v>
      </c>
      <c r="R265" s="23">
        <v>1</v>
      </c>
      <c r="S265" s="23"/>
      <c r="T265" s="24">
        <v>-104.97</v>
      </c>
    </row>
    <row r="266" spans="1:20" ht="15.6" x14ac:dyDescent="0.3">
      <c r="A266" s="13" t="s">
        <v>277</v>
      </c>
      <c r="B266" s="14">
        <v>45271</v>
      </c>
      <c r="C266" s="15">
        <v>45273</v>
      </c>
      <c r="D266" s="16" t="str">
        <f>TRIM('data cleaning'!$E266)</f>
        <v>Megan Miranda</v>
      </c>
      <c r="E266" s="17" t="s">
        <v>1040</v>
      </c>
      <c r="F266" s="17" t="str">
        <f>TRIM('data cleaning'!$G266)</f>
        <v>Corporate</v>
      </c>
      <c r="G266" s="17" t="s">
        <v>1514</v>
      </c>
      <c r="H266" s="17" t="str">
        <f>TRIM('data cleaning'!$I266)</f>
        <v>North</v>
      </c>
      <c r="I266" s="17" t="s">
        <v>1516</v>
      </c>
      <c r="J266" s="17" t="str">
        <f>TRIM('data cleaning'!$K266)</f>
        <v>Technology</v>
      </c>
      <c r="K266" s="17" t="s">
        <v>1521</v>
      </c>
      <c r="L266" s="17" t="str">
        <f>TRIM('data cleaning'!$M266)</f>
        <v>Accessories</v>
      </c>
      <c r="M266" s="17" t="s">
        <v>1526</v>
      </c>
      <c r="N266" s="17" t="str">
        <f>PROPER('data cleaning'!$O266)</f>
        <v>Our Accessories</v>
      </c>
      <c r="O266" s="17" t="str">
        <f>TRIM('data cleaning'!$P266)</f>
        <v>Our Accessories</v>
      </c>
      <c r="P266" s="17" t="s">
        <v>1792</v>
      </c>
      <c r="Q266" s="17">
        <v>2728.76</v>
      </c>
      <c r="R266" s="17">
        <v>1</v>
      </c>
      <c r="S266" s="17">
        <v>0</v>
      </c>
      <c r="T266" s="18">
        <v>934.26</v>
      </c>
    </row>
    <row r="267" spans="1:20" ht="15.6" x14ac:dyDescent="0.3">
      <c r="A267" s="19" t="s">
        <v>278</v>
      </c>
      <c r="B267" s="20">
        <v>45250</v>
      </c>
      <c r="C267" s="21">
        <v>45253</v>
      </c>
      <c r="D267" s="22" t="str">
        <f>TRIM('data cleaning'!$E267)</f>
        <v>Marcus Smith</v>
      </c>
      <c r="E267" s="23" t="s">
        <v>1041</v>
      </c>
      <c r="F267" s="23" t="str">
        <f>TRIM('data cleaning'!$G267)</f>
        <v>Corporate</v>
      </c>
      <c r="G267" s="23" t="s">
        <v>1514</v>
      </c>
      <c r="H267" s="23" t="str">
        <f>TRIM('data cleaning'!$I267)</f>
        <v>West</v>
      </c>
      <c r="I267" s="23" t="s">
        <v>1518</v>
      </c>
      <c r="J267" s="23" t="str">
        <f>TRIM('data cleaning'!$K267)</f>
        <v>Technology</v>
      </c>
      <c r="K267" s="23" t="s">
        <v>1521</v>
      </c>
      <c r="L267" s="23" t="str">
        <f>TRIM('data cleaning'!$M267)</f>
        <v>Accessories</v>
      </c>
      <c r="M267" s="23" t="s">
        <v>1526</v>
      </c>
      <c r="N267" s="23" t="str">
        <f>PROPER('data cleaning'!$O267)</f>
        <v>Such Accessories</v>
      </c>
      <c r="O267" s="23" t="str">
        <f>TRIM('data cleaning'!$P267)</f>
        <v>Such Accessories</v>
      </c>
      <c r="P267" s="23" t="s">
        <v>1793</v>
      </c>
      <c r="Q267" s="23">
        <v>3856.41</v>
      </c>
      <c r="R267" s="23">
        <v>7</v>
      </c>
      <c r="S267" s="23">
        <v>0.1</v>
      </c>
      <c r="T267" s="24">
        <v>1334.59</v>
      </c>
    </row>
    <row r="268" spans="1:20" ht="15.6" x14ac:dyDescent="0.3">
      <c r="A268" s="13" t="s">
        <v>279</v>
      </c>
      <c r="B268" s="14">
        <v>46054</v>
      </c>
      <c r="C268" s="15">
        <v>46056</v>
      </c>
      <c r="D268" s="16" t="str">
        <f>TRIM('data cleaning'!$E268)</f>
        <v>Carol Wright</v>
      </c>
      <c r="E268" s="17" t="s">
        <v>1042</v>
      </c>
      <c r="F268" s="17" t="str">
        <f>TRIM('data cleaning'!$G268)</f>
        <v>Corporate</v>
      </c>
      <c r="G268" s="17" t="s">
        <v>1514</v>
      </c>
      <c r="H268" s="17" t="str">
        <f>TRIM('data cleaning'!$I268)</f>
        <v>North</v>
      </c>
      <c r="I268" s="17" t="s">
        <v>1516</v>
      </c>
      <c r="J268" s="17" t="str">
        <f>TRIM('data cleaning'!$K268)</f>
        <v>Technology</v>
      </c>
      <c r="K268" s="17" t="s">
        <v>1521</v>
      </c>
      <c r="L268" s="17" t="str">
        <f>TRIM('data cleaning'!$M268)</f>
        <v>Accessories</v>
      </c>
      <c r="M268" s="17" t="s">
        <v>1526</v>
      </c>
      <c r="N268" s="17" t="str">
        <f>PROPER('data cleaning'!$O268)</f>
        <v>Exist Accessories</v>
      </c>
      <c r="O268" s="17" t="str">
        <f>TRIM('data cleaning'!$P268)</f>
        <v>Exist Accessories</v>
      </c>
      <c r="P268" s="17" t="s">
        <v>1794</v>
      </c>
      <c r="Q268" s="17">
        <v>3429.52</v>
      </c>
      <c r="R268" s="17">
        <v>9</v>
      </c>
      <c r="S268" s="17">
        <v>0.05</v>
      </c>
      <c r="T268" s="18">
        <v>546.82000000000005</v>
      </c>
    </row>
    <row r="269" spans="1:20" ht="15.6" x14ac:dyDescent="0.3">
      <c r="A269" s="19" t="s">
        <v>280</v>
      </c>
      <c r="B269" s="20">
        <v>45555</v>
      </c>
      <c r="C269" s="21">
        <v>45562</v>
      </c>
      <c r="D269" s="22" t="str">
        <f>TRIM('data cleaning'!$E269)</f>
        <v>Jessica Hayes</v>
      </c>
      <c r="E269" s="23" t="s">
        <v>1043</v>
      </c>
      <c r="F269" s="23" t="str">
        <f>TRIM('data cleaning'!$G269)</f>
        <v>Corporate</v>
      </c>
      <c r="G269" s="23" t="s">
        <v>1514</v>
      </c>
      <c r="H269" s="23" t="str">
        <f>TRIM('data cleaning'!$I269)</f>
        <v>West</v>
      </c>
      <c r="I269" s="23" t="s">
        <v>1518</v>
      </c>
      <c r="J269" s="23" t="str">
        <f>TRIM('data cleaning'!$K269)</f>
        <v>Furniture</v>
      </c>
      <c r="K269" s="23" t="s">
        <v>1522</v>
      </c>
      <c r="L269" s="23" t="str">
        <f>TRIM('data cleaning'!$M269)</f>
        <v>Bookcases</v>
      </c>
      <c r="M269" s="23" t="s">
        <v>1527</v>
      </c>
      <c r="N269" s="23" t="str">
        <f>PROPER('data cleaning'!$O269)</f>
        <v>Toward Bookcases</v>
      </c>
      <c r="O269" s="23" t="str">
        <f>TRIM('data cleaning'!$P269)</f>
        <v>Toward Bookcases</v>
      </c>
      <c r="P269" s="23" t="s">
        <v>1795</v>
      </c>
      <c r="Q269" s="23">
        <v>2667.77</v>
      </c>
      <c r="R269" s="23">
        <v>4</v>
      </c>
      <c r="S269" s="23">
        <v>0</v>
      </c>
      <c r="T269" s="24">
        <v>575.97</v>
      </c>
    </row>
    <row r="270" spans="1:20" ht="15.6" x14ac:dyDescent="0.3">
      <c r="A270" s="13" t="s">
        <v>281</v>
      </c>
      <c r="B270" s="14">
        <v>45958</v>
      </c>
      <c r="C270" s="15">
        <v>45967</v>
      </c>
      <c r="D270" s="16" t="str">
        <f>TRIM('data cleaning'!$E270)</f>
        <v>Cynthia Winters</v>
      </c>
      <c r="E270" s="17" t="s">
        <v>1044</v>
      </c>
      <c r="F270" s="17" t="str">
        <f>TRIM('data cleaning'!$G270)</f>
        <v>Corporate</v>
      </c>
      <c r="G270" s="17" t="s">
        <v>1514</v>
      </c>
      <c r="H270" s="17" t="str">
        <f>TRIM('data cleaning'!$I270)</f>
        <v>South</v>
      </c>
      <c r="I270" s="17" t="s">
        <v>1517</v>
      </c>
      <c r="J270" s="17" t="str">
        <f>TRIM('data cleaning'!$K270)</f>
        <v>Office Supplies</v>
      </c>
      <c r="K270" s="17" t="s">
        <v>1520</v>
      </c>
      <c r="L270" s="17" t="str">
        <f>TRIM('data cleaning'!$M270)</f>
        <v>Storage</v>
      </c>
      <c r="M270" s="17" t="s">
        <v>1525</v>
      </c>
      <c r="N270" s="17" t="str">
        <f>PROPER('data cleaning'!$O270)</f>
        <v>Boy Storage</v>
      </c>
      <c r="O270" s="17" t="str">
        <f>TRIM('data cleaning'!$P270)</f>
        <v>Boy Storage</v>
      </c>
      <c r="P270" s="17" t="s">
        <v>1796</v>
      </c>
      <c r="Q270" s="17">
        <v>2149.4299999999998</v>
      </c>
      <c r="R270" s="17">
        <v>7</v>
      </c>
      <c r="S270" s="17">
        <v>0.05</v>
      </c>
      <c r="T270" s="18">
        <v>-137.28</v>
      </c>
    </row>
    <row r="271" spans="1:20" ht="15.6" x14ac:dyDescent="0.3">
      <c r="A271" s="19" t="s">
        <v>282</v>
      </c>
      <c r="B271" s="20">
        <v>45191</v>
      </c>
      <c r="C271" s="21">
        <v>45193</v>
      </c>
      <c r="D271" s="22" t="str">
        <f>TRIM('data cleaning'!$E271)</f>
        <v>Robert Benitez</v>
      </c>
      <c r="E271" s="23" t="s">
        <v>1045</v>
      </c>
      <c r="F271" s="23" t="str">
        <f>TRIM('data cleaning'!$G271)</f>
        <v>Consumer</v>
      </c>
      <c r="G271" s="23" t="s">
        <v>1513</v>
      </c>
      <c r="H271" s="23" t="str">
        <f>TRIM('data cleaning'!$I271)</f>
        <v>South</v>
      </c>
      <c r="I271" s="23" t="s">
        <v>1517</v>
      </c>
      <c r="J271" s="23" t="str">
        <f>TRIM('data cleaning'!$K271)</f>
        <v>Technology</v>
      </c>
      <c r="K271" s="23" t="s">
        <v>1521</v>
      </c>
      <c r="L271" s="23" t="str">
        <f>TRIM('data cleaning'!$M271)</f>
        <v>Phones</v>
      </c>
      <c r="M271" s="23" t="s">
        <v>1530</v>
      </c>
      <c r="N271" s="23" t="str">
        <f>PROPER('data cleaning'!$O271)</f>
        <v>Environmental Phones</v>
      </c>
      <c r="O271" s="23" t="str">
        <f>TRIM('data cleaning'!$P271)</f>
        <v>Environmental Phones</v>
      </c>
      <c r="P271" s="23" t="s">
        <v>1797</v>
      </c>
      <c r="Q271" s="23">
        <v>209.48</v>
      </c>
      <c r="R271" s="23">
        <v>7</v>
      </c>
      <c r="S271" s="23">
        <v>0.2</v>
      </c>
      <c r="T271" s="24">
        <v>46.36</v>
      </c>
    </row>
    <row r="272" spans="1:20" ht="15.6" x14ac:dyDescent="0.3">
      <c r="A272" s="13" t="s">
        <v>283</v>
      </c>
      <c r="B272" s="14">
        <v>45359</v>
      </c>
      <c r="C272" s="15">
        <v>45361</v>
      </c>
      <c r="D272" s="16" t="str">
        <f>TRIM('data cleaning'!$E272)</f>
        <v>Deborah Scott</v>
      </c>
      <c r="E272" s="17" t="s">
        <v>1046</v>
      </c>
      <c r="F272" s="17" t="str">
        <f>TRIM('data cleaning'!$G272)</f>
        <v>Consumer</v>
      </c>
      <c r="G272" s="17" t="s">
        <v>1513</v>
      </c>
      <c r="H272" s="17" t="str">
        <f>TRIM('data cleaning'!$I272)</f>
        <v>South</v>
      </c>
      <c r="I272" s="17" t="s">
        <v>1517</v>
      </c>
      <c r="J272" s="17" t="str">
        <f>TRIM('data cleaning'!$K272)</f>
        <v>Furniture</v>
      </c>
      <c r="K272" s="17" t="s">
        <v>1522</v>
      </c>
      <c r="L272" s="17" t="str">
        <f>TRIM('data cleaning'!$M272)</f>
        <v>Chairs</v>
      </c>
      <c r="M272" s="17" t="s">
        <v>1531</v>
      </c>
      <c r="N272" s="17" t="str">
        <f>PROPER('data cleaning'!$O272)</f>
        <v>Picture Chairs</v>
      </c>
      <c r="O272" s="17" t="str">
        <f>TRIM('data cleaning'!$P272)</f>
        <v>Picture Chairs</v>
      </c>
      <c r="P272" s="17" t="s">
        <v>1798</v>
      </c>
      <c r="Q272" s="17">
        <v>2990.02</v>
      </c>
      <c r="R272" s="17">
        <v>8</v>
      </c>
      <c r="S272" s="17">
        <v>0.2</v>
      </c>
      <c r="T272" s="18">
        <v>507.15</v>
      </c>
    </row>
    <row r="273" spans="1:20" ht="15.6" x14ac:dyDescent="0.3">
      <c r="A273" s="19" t="s">
        <v>284</v>
      </c>
      <c r="B273" s="20">
        <v>45239</v>
      </c>
      <c r="C273" s="21">
        <v>45246</v>
      </c>
      <c r="D273" s="22" t="str">
        <f>TRIM('data cleaning'!$E273)</f>
        <v>Eric Taylor</v>
      </c>
      <c r="E273" s="23" t="s">
        <v>1047</v>
      </c>
      <c r="F273" s="23" t="str">
        <f>TRIM('data cleaning'!$G273)</f>
        <v>Consumer</v>
      </c>
      <c r="G273" s="23" t="s">
        <v>1513</v>
      </c>
      <c r="H273" s="23" t="str">
        <f>TRIM('data cleaning'!$I273)</f>
        <v>South</v>
      </c>
      <c r="I273" s="23" t="s">
        <v>1517</v>
      </c>
      <c r="J273" s="23" t="str">
        <f>TRIM('data cleaning'!$K273)</f>
        <v>Office Supplies</v>
      </c>
      <c r="K273" s="23" t="s">
        <v>1520</v>
      </c>
      <c r="L273" s="23" t="str">
        <f>TRIM('data cleaning'!$M273)</f>
        <v>Binders</v>
      </c>
      <c r="M273" s="23" t="s">
        <v>1523</v>
      </c>
      <c r="N273" s="23" t="str">
        <f>PROPER('data cleaning'!$O273)</f>
        <v>Three Binders</v>
      </c>
      <c r="O273" s="23" t="str">
        <f>TRIM('data cleaning'!$P273)</f>
        <v>Three Binders</v>
      </c>
      <c r="P273" s="23" t="s">
        <v>1572</v>
      </c>
      <c r="Q273" s="23">
        <v>2222.87</v>
      </c>
      <c r="R273" s="23">
        <v>9</v>
      </c>
      <c r="S273" s="23">
        <v>0.05</v>
      </c>
      <c r="T273" s="24">
        <v>477.72</v>
      </c>
    </row>
    <row r="274" spans="1:20" ht="15.6" x14ac:dyDescent="0.3">
      <c r="A274" s="13" t="s">
        <v>285</v>
      </c>
      <c r="B274" s="14">
        <v>45214</v>
      </c>
      <c r="C274" s="15">
        <v>45218</v>
      </c>
      <c r="D274" s="16" t="str">
        <f>TRIM('data cleaning'!$E274)</f>
        <v>Stephen Nguyen</v>
      </c>
      <c r="E274" s="17" t="s">
        <v>1048</v>
      </c>
      <c r="F274" s="17" t="str">
        <f>TRIM('data cleaning'!$G274)</f>
        <v>Home Office</v>
      </c>
      <c r="G274" s="17" t="s">
        <v>1515</v>
      </c>
      <c r="H274" s="17" t="str">
        <f>TRIM('data cleaning'!$I274)</f>
        <v>East</v>
      </c>
      <c r="I274" s="17" t="s">
        <v>1519</v>
      </c>
      <c r="J274" s="17" t="str">
        <f>TRIM('data cleaning'!$K274)</f>
        <v>Office Supplies</v>
      </c>
      <c r="K274" s="17" t="s">
        <v>1520</v>
      </c>
      <c r="L274" s="17" t="str">
        <f>TRIM('data cleaning'!$M274)</f>
        <v>Paper</v>
      </c>
      <c r="M274" s="17" t="s">
        <v>1524</v>
      </c>
      <c r="N274" s="17" t="str">
        <f>PROPER('data cleaning'!$O274)</f>
        <v>Interesting Paper</v>
      </c>
      <c r="O274" s="17" t="str">
        <f>TRIM('data cleaning'!$P274)</f>
        <v>Interesting Paper</v>
      </c>
      <c r="P274" s="17" t="s">
        <v>1799</v>
      </c>
      <c r="Q274" s="17">
        <v>4088.14</v>
      </c>
      <c r="R274" s="17">
        <v>10</v>
      </c>
      <c r="S274" s="17">
        <v>0.1</v>
      </c>
      <c r="T274" s="18">
        <v>480.81</v>
      </c>
    </row>
    <row r="275" spans="1:20" ht="15.6" x14ac:dyDescent="0.3">
      <c r="A275" s="19" t="s">
        <v>286</v>
      </c>
      <c r="B275" s="20">
        <v>46031</v>
      </c>
      <c r="C275" s="21">
        <v>46034</v>
      </c>
      <c r="D275" s="22" t="str">
        <f>TRIM('data cleaning'!$E275)</f>
        <v>Jon Eaton Jr.</v>
      </c>
      <c r="E275" s="23" t="s">
        <v>1049</v>
      </c>
      <c r="F275" s="23" t="str">
        <f>TRIM('data cleaning'!$G275)</f>
        <v>Corporate</v>
      </c>
      <c r="G275" s="23" t="s">
        <v>1514</v>
      </c>
      <c r="H275" s="23" t="str">
        <f>TRIM('data cleaning'!$I275)</f>
        <v>North</v>
      </c>
      <c r="I275" s="23" t="s">
        <v>1516</v>
      </c>
      <c r="J275" s="23" t="str">
        <f>TRIM('data cleaning'!$K275)</f>
        <v>Furniture</v>
      </c>
      <c r="K275" s="23" t="s">
        <v>1522</v>
      </c>
      <c r="L275" s="23" t="str">
        <f>TRIM('data cleaning'!$M275)</f>
        <v>Tables</v>
      </c>
      <c r="M275" s="23" t="s">
        <v>1529</v>
      </c>
      <c r="N275" s="23" t="str">
        <f>PROPER('data cleaning'!$O275)</f>
        <v>Although Tables</v>
      </c>
      <c r="O275" s="23" t="str">
        <f>TRIM('data cleaning'!$P275)</f>
        <v>Although Tables</v>
      </c>
      <c r="P275" s="23" t="s">
        <v>1800</v>
      </c>
      <c r="Q275" s="23">
        <v>4929.1899999999996</v>
      </c>
      <c r="R275" s="23">
        <v>9</v>
      </c>
      <c r="S275" s="23">
        <v>0.05</v>
      </c>
      <c r="T275" s="24">
        <v>135.35</v>
      </c>
    </row>
    <row r="276" spans="1:20" ht="15.6" x14ac:dyDescent="0.3">
      <c r="A276" s="13" t="s">
        <v>287</v>
      </c>
      <c r="B276" s="14">
        <v>45523</v>
      </c>
      <c r="C276" s="15">
        <v>45526</v>
      </c>
      <c r="D276" s="16" t="str">
        <f>TRIM('data cleaning'!$E276)</f>
        <v>Christopher Riley</v>
      </c>
      <c r="E276" s="17" t="s">
        <v>1050</v>
      </c>
      <c r="F276" s="17" t="str">
        <f>TRIM('data cleaning'!$G276)</f>
        <v>Corporate</v>
      </c>
      <c r="G276" s="17" t="s">
        <v>1514</v>
      </c>
      <c r="H276" s="17" t="str">
        <f>TRIM('data cleaning'!$I276)</f>
        <v>West</v>
      </c>
      <c r="I276" s="17" t="s">
        <v>1518</v>
      </c>
      <c r="J276" s="17" t="str">
        <f>TRIM('data cleaning'!$K276)</f>
        <v>Office Supplies</v>
      </c>
      <c r="K276" s="17" t="s">
        <v>1520</v>
      </c>
      <c r="L276" s="17" t="str">
        <f>TRIM('data cleaning'!$M276)</f>
        <v>Storage</v>
      </c>
      <c r="M276" s="17" t="s">
        <v>1525</v>
      </c>
      <c r="N276" s="17" t="str">
        <f>PROPER('data cleaning'!$O276)</f>
        <v>Move Storage</v>
      </c>
      <c r="O276" s="17" t="str">
        <f>TRIM('data cleaning'!$P276)</f>
        <v>Move Storage</v>
      </c>
      <c r="P276" s="17" t="s">
        <v>1801</v>
      </c>
      <c r="Q276" s="17">
        <v>3148.67</v>
      </c>
      <c r="R276" s="17">
        <v>7</v>
      </c>
      <c r="S276" s="17">
        <v>0.2</v>
      </c>
      <c r="T276" s="18">
        <v>228.57</v>
      </c>
    </row>
    <row r="277" spans="1:20" ht="15.6" x14ac:dyDescent="0.3">
      <c r="A277" s="19" t="s">
        <v>288</v>
      </c>
      <c r="B277" s="20">
        <v>46075</v>
      </c>
      <c r="C277" s="21">
        <v>46082</v>
      </c>
      <c r="D277" s="22" t="str">
        <f>TRIM('data cleaning'!$E277)</f>
        <v>Laura Jimenez</v>
      </c>
      <c r="E277" s="23" t="s">
        <v>1051</v>
      </c>
      <c r="F277" s="23" t="str">
        <f>TRIM('data cleaning'!$G277)</f>
        <v>Home Office</v>
      </c>
      <c r="G277" s="23" t="s">
        <v>1515</v>
      </c>
      <c r="H277" s="23" t="str">
        <f>TRIM('data cleaning'!$I277)</f>
        <v>West</v>
      </c>
      <c r="I277" s="23" t="s">
        <v>1518</v>
      </c>
      <c r="J277" s="23" t="str">
        <f>TRIM('data cleaning'!$K277)</f>
        <v>Office Supplies</v>
      </c>
      <c r="K277" s="23" t="s">
        <v>1520</v>
      </c>
      <c r="L277" s="23" t="str">
        <f>TRIM('data cleaning'!$M277)</f>
        <v>Paper</v>
      </c>
      <c r="M277" s="23" t="s">
        <v>1524</v>
      </c>
      <c r="N277" s="23" t="str">
        <f>PROPER('data cleaning'!$O277)</f>
        <v>Must Paper</v>
      </c>
      <c r="O277" s="23" t="str">
        <f>TRIM('data cleaning'!$P277)</f>
        <v>Must Paper</v>
      </c>
      <c r="P277" s="23" t="s">
        <v>1802</v>
      </c>
      <c r="Q277" s="23">
        <v>2070.88</v>
      </c>
      <c r="R277" s="23">
        <v>5</v>
      </c>
      <c r="S277" s="23">
        <v>0.15</v>
      </c>
      <c r="T277" s="24">
        <v>-204.74</v>
      </c>
    </row>
    <row r="278" spans="1:20" ht="15.6" x14ac:dyDescent="0.3">
      <c r="A278" s="13" t="s">
        <v>289</v>
      </c>
      <c r="B278" s="14">
        <v>45468</v>
      </c>
      <c r="C278" s="15">
        <v>45473</v>
      </c>
      <c r="D278" s="16" t="str">
        <f>TRIM('data cleaning'!$E278)</f>
        <v>Kevin Randall</v>
      </c>
      <c r="E278" s="17" t="s">
        <v>1052</v>
      </c>
      <c r="F278" s="17" t="str">
        <f>TRIM('data cleaning'!$G278)</f>
        <v>Home Office</v>
      </c>
      <c r="G278" s="17" t="s">
        <v>1515</v>
      </c>
      <c r="H278" s="17" t="str">
        <f>TRIM('data cleaning'!$I278)</f>
        <v>West</v>
      </c>
      <c r="I278" s="17" t="s">
        <v>1518</v>
      </c>
      <c r="J278" s="17" t="str">
        <f>TRIM('data cleaning'!$K278)</f>
        <v>Furniture</v>
      </c>
      <c r="K278" s="17" t="s">
        <v>1522</v>
      </c>
      <c r="L278" s="17" t="str">
        <f>TRIM('data cleaning'!$M278)</f>
        <v>Chairs</v>
      </c>
      <c r="M278" s="17" t="s">
        <v>1531</v>
      </c>
      <c r="N278" s="17" t="str">
        <f>PROPER('data cleaning'!$O278)</f>
        <v>Magazine Chairs</v>
      </c>
      <c r="O278" s="17" t="str">
        <f>TRIM('data cleaning'!$P278)</f>
        <v>Magazine Chairs</v>
      </c>
      <c r="P278" s="17" t="s">
        <v>1803</v>
      </c>
      <c r="Q278" s="17">
        <v>4294.83</v>
      </c>
      <c r="R278" s="17">
        <v>3</v>
      </c>
      <c r="S278" s="17">
        <v>0.15</v>
      </c>
      <c r="T278" s="18">
        <v>1301.8</v>
      </c>
    </row>
    <row r="279" spans="1:20" ht="15.6" x14ac:dyDescent="0.3">
      <c r="A279" s="19" t="s">
        <v>290</v>
      </c>
      <c r="B279" s="20">
        <v>46016</v>
      </c>
      <c r="C279" s="21">
        <v>46025</v>
      </c>
      <c r="D279" s="22" t="str">
        <f>TRIM('data cleaning'!$E279)</f>
        <v>Tyler Cabrera</v>
      </c>
      <c r="E279" s="23" t="s">
        <v>1053</v>
      </c>
      <c r="F279" s="23" t="str">
        <f>TRIM('data cleaning'!$G279)</f>
        <v>Home Office</v>
      </c>
      <c r="G279" s="23" t="s">
        <v>1515</v>
      </c>
      <c r="H279" s="23" t="str">
        <f>TRIM('data cleaning'!$I279)</f>
        <v>North</v>
      </c>
      <c r="I279" s="23" t="s">
        <v>1516</v>
      </c>
      <c r="J279" s="23" t="str">
        <f>TRIM('data cleaning'!$K279)</f>
        <v>Technology</v>
      </c>
      <c r="K279" s="23" t="s">
        <v>1521</v>
      </c>
      <c r="L279" s="23" t="str">
        <f>TRIM('data cleaning'!$M279)</f>
        <v>Laptops</v>
      </c>
      <c r="M279" s="23" t="s">
        <v>1528</v>
      </c>
      <c r="N279" s="23" t="str">
        <f>PROPER('data cleaning'!$O279)</f>
        <v>Impact Laptops</v>
      </c>
      <c r="O279" s="23" t="str">
        <f>TRIM('data cleaning'!$P279)</f>
        <v>Impact Laptops</v>
      </c>
      <c r="P279" s="23" t="s">
        <v>1804</v>
      </c>
      <c r="Q279" s="23">
        <v>713.76</v>
      </c>
      <c r="R279" s="23">
        <v>4</v>
      </c>
      <c r="S279" s="23">
        <v>0.1</v>
      </c>
      <c r="T279" s="24">
        <v>-62.93</v>
      </c>
    </row>
    <row r="280" spans="1:20" ht="15.6" x14ac:dyDescent="0.3">
      <c r="A280" s="13" t="s">
        <v>291</v>
      </c>
      <c r="B280" s="14">
        <v>45765</v>
      </c>
      <c r="C280" s="15">
        <v>45767</v>
      </c>
      <c r="D280" s="16" t="str">
        <f>TRIM('data cleaning'!$E280)</f>
        <v>Terri Freeman</v>
      </c>
      <c r="E280" s="17" t="s">
        <v>1054</v>
      </c>
      <c r="F280" s="17" t="str">
        <f>TRIM('data cleaning'!$G280)</f>
        <v>Home Office</v>
      </c>
      <c r="G280" s="17" t="s">
        <v>1515</v>
      </c>
      <c r="H280" s="17" t="str">
        <f>TRIM('data cleaning'!$I280)</f>
        <v>North</v>
      </c>
      <c r="I280" s="17" t="s">
        <v>1516</v>
      </c>
      <c r="J280" s="17" t="str">
        <f>TRIM('data cleaning'!$K280)</f>
        <v>Technology</v>
      </c>
      <c r="K280" s="17" t="s">
        <v>1521</v>
      </c>
      <c r="L280" s="17" t="str">
        <f>TRIM('data cleaning'!$M280)</f>
        <v>Accessories</v>
      </c>
      <c r="M280" s="17" t="s">
        <v>1526</v>
      </c>
      <c r="N280" s="17" t="str">
        <f>PROPER('data cleaning'!$O280)</f>
        <v>Course Accessories</v>
      </c>
      <c r="O280" s="17" t="str">
        <f>TRIM('data cleaning'!$P280)</f>
        <v>Course Accessories</v>
      </c>
      <c r="P280" s="17" t="s">
        <v>1805</v>
      </c>
      <c r="Q280" s="17">
        <v>2701.4</v>
      </c>
      <c r="R280" s="17">
        <v>4</v>
      </c>
      <c r="S280" s="17">
        <v>0</v>
      </c>
      <c r="T280" s="18">
        <v>-141.41</v>
      </c>
    </row>
    <row r="281" spans="1:20" ht="15.6" x14ac:dyDescent="0.3">
      <c r="A281" s="19" t="s">
        <v>292</v>
      </c>
      <c r="B281" s="20">
        <v>45728</v>
      </c>
      <c r="C281" s="21">
        <v>45738</v>
      </c>
      <c r="D281" s="22" t="str">
        <f>TRIM('data cleaning'!$E281)</f>
        <v>Christine Hunter</v>
      </c>
      <c r="E281" s="23" t="s">
        <v>1055</v>
      </c>
      <c r="F281" s="23" t="str">
        <f>TRIM('data cleaning'!$G281)</f>
        <v>Corporate</v>
      </c>
      <c r="G281" s="23" t="s">
        <v>1514</v>
      </c>
      <c r="H281" s="23" t="str">
        <f>TRIM('data cleaning'!$I281)</f>
        <v>East</v>
      </c>
      <c r="I281" s="23" t="s">
        <v>1519</v>
      </c>
      <c r="J281" s="23" t="str">
        <f>TRIM('data cleaning'!$K281)</f>
        <v>Furniture</v>
      </c>
      <c r="K281" s="23" t="s">
        <v>1522</v>
      </c>
      <c r="L281" s="23" t="str">
        <f>TRIM('data cleaning'!$M281)</f>
        <v>Chairs</v>
      </c>
      <c r="M281" s="23" t="s">
        <v>1531</v>
      </c>
      <c r="N281" s="23" t="str">
        <f>PROPER('data cleaning'!$O281)</f>
        <v>General Chairs</v>
      </c>
      <c r="O281" s="23" t="str">
        <f>TRIM('data cleaning'!$P281)</f>
        <v>General Chairs</v>
      </c>
      <c r="P281" s="23" t="s">
        <v>1806</v>
      </c>
      <c r="Q281" s="23">
        <v>3635.31</v>
      </c>
      <c r="R281" s="23">
        <v>9</v>
      </c>
      <c r="S281" s="23">
        <v>0.05</v>
      </c>
      <c r="T281" s="24">
        <v>231.45</v>
      </c>
    </row>
    <row r="282" spans="1:20" ht="15.6" x14ac:dyDescent="0.3">
      <c r="A282" s="13" t="s">
        <v>293</v>
      </c>
      <c r="B282" s="14">
        <v>45804</v>
      </c>
      <c r="C282" s="15">
        <v>45808</v>
      </c>
      <c r="D282" s="16" t="str">
        <f>TRIM('data cleaning'!$E282)</f>
        <v>Susan Burton</v>
      </c>
      <c r="E282" s="17" t="s">
        <v>1056</v>
      </c>
      <c r="F282" s="17" t="str">
        <f>TRIM('data cleaning'!$G282)</f>
        <v>Corporate</v>
      </c>
      <c r="G282" s="17" t="s">
        <v>1514</v>
      </c>
      <c r="H282" s="17" t="str">
        <f>TRIM('data cleaning'!$I282)</f>
        <v>South</v>
      </c>
      <c r="I282" s="17" t="s">
        <v>1517</v>
      </c>
      <c r="J282" s="17" t="str">
        <f>TRIM('data cleaning'!$K282)</f>
        <v>Furniture</v>
      </c>
      <c r="K282" s="17" t="s">
        <v>1522</v>
      </c>
      <c r="L282" s="17" t="str">
        <f>TRIM('data cleaning'!$M282)</f>
        <v>Chairs</v>
      </c>
      <c r="M282" s="17" t="s">
        <v>1531</v>
      </c>
      <c r="N282" s="17" t="str">
        <f>PROPER('data cleaning'!$O282)</f>
        <v>Security Chairs</v>
      </c>
      <c r="O282" s="17" t="str">
        <f>TRIM('data cleaning'!$P282)</f>
        <v>Security Chairs</v>
      </c>
      <c r="P282" s="17" t="s">
        <v>1807</v>
      </c>
      <c r="Q282" s="17">
        <v>4812.28</v>
      </c>
      <c r="R282" s="17">
        <v>2</v>
      </c>
      <c r="S282" s="17"/>
      <c r="T282" s="18">
        <v>1683.17</v>
      </c>
    </row>
    <row r="283" spans="1:20" ht="15.6" x14ac:dyDescent="0.3">
      <c r="A283" s="19" t="s">
        <v>294</v>
      </c>
      <c r="B283" s="20">
        <v>45157</v>
      </c>
      <c r="C283" s="21">
        <v>45161</v>
      </c>
      <c r="D283" s="22" t="str">
        <f>TRIM('data cleaning'!$E283)</f>
        <v/>
      </c>
      <c r="E283" s="23"/>
      <c r="F283" s="23" t="str">
        <f>TRIM('data cleaning'!$G283)</f>
        <v>Corporate</v>
      </c>
      <c r="G283" s="23" t="s">
        <v>1514</v>
      </c>
      <c r="H283" s="23" t="str">
        <f>TRIM('data cleaning'!$I283)</f>
        <v>West</v>
      </c>
      <c r="I283" s="23" t="s">
        <v>1518</v>
      </c>
      <c r="J283" s="23" t="str">
        <f>TRIM('data cleaning'!$K283)</f>
        <v>Office Supplies</v>
      </c>
      <c r="K283" s="23" t="s">
        <v>1520</v>
      </c>
      <c r="L283" s="23" t="str">
        <f>TRIM('data cleaning'!$M283)</f>
        <v>Storage</v>
      </c>
      <c r="M283" s="23" t="s">
        <v>1525</v>
      </c>
      <c r="N283" s="23" t="str">
        <f>PROPER('data cleaning'!$O283)</f>
        <v>Trip Storage</v>
      </c>
      <c r="O283" s="23" t="str">
        <f>TRIM('data cleaning'!$P283)</f>
        <v>Trip Storage</v>
      </c>
      <c r="P283" s="23" t="s">
        <v>1808</v>
      </c>
      <c r="Q283" s="23">
        <v>2013.33</v>
      </c>
      <c r="R283" s="23">
        <v>4</v>
      </c>
      <c r="S283" s="23">
        <v>0.2</v>
      </c>
      <c r="T283" s="24">
        <v>-46.53</v>
      </c>
    </row>
    <row r="284" spans="1:20" ht="15.6" x14ac:dyDescent="0.3">
      <c r="A284" s="13" t="s">
        <v>295</v>
      </c>
      <c r="B284" s="14">
        <v>45176</v>
      </c>
      <c r="C284" s="15">
        <v>45182</v>
      </c>
      <c r="D284" s="16" t="str">
        <f>TRIM('data cleaning'!$E284)</f>
        <v>Christopher Silva</v>
      </c>
      <c r="E284" s="17" t="s">
        <v>1057</v>
      </c>
      <c r="F284" s="17" t="str">
        <f>TRIM('data cleaning'!$G284)</f>
        <v/>
      </c>
      <c r="G284" s="17"/>
      <c r="H284" s="17" t="str">
        <f>TRIM('data cleaning'!$I284)</f>
        <v>North</v>
      </c>
      <c r="I284" s="17" t="s">
        <v>1516</v>
      </c>
      <c r="J284" s="17" t="str">
        <f>TRIM('data cleaning'!$K284)</f>
        <v>Technology</v>
      </c>
      <c r="K284" s="17" t="s">
        <v>1521</v>
      </c>
      <c r="L284" s="17" t="str">
        <f>TRIM('data cleaning'!$M284)</f>
        <v>Laptops</v>
      </c>
      <c r="M284" s="17" t="s">
        <v>1528</v>
      </c>
      <c r="N284" s="17" t="str">
        <f>PROPER('data cleaning'!$O284)</f>
        <v>Yard Laptops</v>
      </c>
      <c r="O284" s="17" t="str">
        <f>TRIM('data cleaning'!$P284)</f>
        <v>Yard Laptops</v>
      </c>
      <c r="P284" s="17" t="s">
        <v>1809</v>
      </c>
      <c r="Q284" s="17">
        <v>1576.69</v>
      </c>
      <c r="R284" s="17">
        <v>6</v>
      </c>
      <c r="S284" s="17">
        <v>0.2</v>
      </c>
      <c r="T284" s="18">
        <v>450.22</v>
      </c>
    </row>
    <row r="285" spans="1:20" ht="15.6" x14ac:dyDescent="0.3">
      <c r="A285" s="19" t="s">
        <v>296</v>
      </c>
      <c r="B285" s="20">
        <v>45596</v>
      </c>
      <c r="C285" s="21">
        <v>45602</v>
      </c>
      <c r="D285" s="22" t="str">
        <f>TRIM('data cleaning'!$E285)</f>
        <v>Mrs. Elizabeth Fernandez MD</v>
      </c>
      <c r="E285" s="23" t="s">
        <v>1058</v>
      </c>
      <c r="F285" s="23" t="str">
        <f>TRIM('data cleaning'!$G285)</f>
        <v>Home Office</v>
      </c>
      <c r="G285" s="23" t="s">
        <v>1515</v>
      </c>
      <c r="H285" s="23" t="str">
        <f>TRIM('data cleaning'!$I285)</f>
        <v>South</v>
      </c>
      <c r="I285" s="23" t="s">
        <v>1517</v>
      </c>
      <c r="J285" s="23" t="str">
        <f>TRIM('data cleaning'!$K285)</f>
        <v>Office Supplies</v>
      </c>
      <c r="K285" s="23" t="s">
        <v>1520</v>
      </c>
      <c r="L285" s="23" t="str">
        <f>TRIM('data cleaning'!$M285)</f>
        <v>Paper</v>
      </c>
      <c r="M285" s="23" t="s">
        <v>1524</v>
      </c>
      <c r="N285" s="23" t="str">
        <f>PROPER('data cleaning'!$O285)</f>
        <v>Hear Paper</v>
      </c>
      <c r="O285" s="23" t="str">
        <f>TRIM('data cleaning'!$P285)</f>
        <v>Hear Paper</v>
      </c>
      <c r="P285" s="23" t="s">
        <v>1698</v>
      </c>
      <c r="Q285" s="23">
        <v>4575.9399999999996</v>
      </c>
      <c r="R285" s="23">
        <v>6</v>
      </c>
      <c r="S285" s="23">
        <v>0.1</v>
      </c>
      <c r="T285" s="24">
        <v>126.58</v>
      </c>
    </row>
    <row r="286" spans="1:20" ht="15.6" x14ac:dyDescent="0.3">
      <c r="A286" s="13" t="s">
        <v>297</v>
      </c>
      <c r="B286" s="14">
        <v>45271</v>
      </c>
      <c r="C286" s="15">
        <v>45272</v>
      </c>
      <c r="D286" s="16" t="str">
        <f>TRIM('data cleaning'!$E286)</f>
        <v>Monica Tucker</v>
      </c>
      <c r="E286" s="17" t="s">
        <v>1059</v>
      </c>
      <c r="F286" s="17" t="str">
        <f>TRIM('data cleaning'!$G286)</f>
        <v>Corporate</v>
      </c>
      <c r="G286" s="17" t="s">
        <v>1514</v>
      </c>
      <c r="H286" s="17" t="str">
        <f>TRIM('data cleaning'!$I286)</f>
        <v>South</v>
      </c>
      <c r="I286" s="17" t="s">
        <v>1517</v>
      </c>
      <c r="J286" s="17" t="str">
        <f>TRIM('data cleaning'!$K286)</f>
        <v>Office Supplies</v>
      </c>
      <c r="K286" s="17" t="s">
        <v>1520</v>
      </c>
      <c r="L286" s="17" t="str">
        <f>TRIM('data cleaning'!$M286)</f>
        <v>Binders</v>
      </c>
      <c r="M286" s="17" t="s">
        <v>1523</v>
      </c>
      <c r="N286" s="17" t="str">
        <f>PROPER('data cleaning'!$O286)</f>
        <v>North Binders</v>
      </c>
      <c r="O286" s="17" t="str">
        <f>TRIM('data cleaning'!$P286)</f>
        <v>North Binders</v>
      </c>
      <c r="P286" s="17" t="s">
        <v>1810</v>
      </c>
      <c r="Q286" s="17">
        <v>1340.83</v>
      </c>
      <c r="R286" s="17">
        <v>10</v>
      </c>
      <c r="S286" s="17">
        <v>0.2</v>
      </c>
      <c r="T286" s="18">
        <v>262.81</v>
      </c>
    </row>
    <row r="287" spans="1:20" ht="15.6" x14ac:dyDescent="0.3">
      <c r="A287" s="19" t="s">
        <v>298</v>
      </c>
      <c r="B287" s="20">
        <v>45834</v>
      </c>
      <c r="C287" s="21">
        <v>45838</v>
      </c>
      <c r="D287" s="22" t="str">
        <f>TRIM('data cleaning'!$E287)</f>
        <v>Kayla Austin DDS</v>
      </c>
      <c r="E287" s="23" t="s">
        <v>1060</v>
      </c>
      <c r="F287" s="23" t="str">
        <f>TRIM('data cleaning'!$G287)</f>
        <v>Home Office</v>
      </c>
      <c r="G287" s="23" t="s">
        <v>1515</v>
      </c>
      <c r="H287" s="23" t="str">
        <f>TRIM('data cleaning'!$I287)</f>
        <v>East</v>
      </c>
      <c r="I287" s="23" t="s">
        <v>1519</v>
      </c>
      <c r="J287" s="23" t="str">
        <f>TRIM('data cleaning'!$K287)</f>
        <v>Furniture</v>
      </c>
      <c r="K287" s="23" t="s">
        <v>1522</v>
      </c>
      <c r="L287" s="23" t="str">
        <f>TRIM('data cleaning'!$M287)</f>
        <v>Tables</v>
      </c>
      <c r="M287" s="23" t="s">
        <v>1529</v>
      </c>
      <c r="N287" s="23" t="str">
        <f>PROPER('data cleaning'!$O287)</f>
        <v>Field Tables</v>
      </c>
      <c r="O287" s="23" t="str">
        <f>TRIM('data cleaning'!$P287)</f>
        <v>Field Tables</v>
      </c>
      <c r="P287" s="23" t="s">
        <v>1811</v>
      </c>
      <c r="Q287" s="23">
        <v>1930.21</v>
      </c>
      <c r="R287" s="23">
        <v>4</v>
      </c>
      <c r="S287" s="23">
        <v>0.15</v>
      </c>
      <c r="T287" s="24">
        <v>198.53</v>
      </c>
    </row>
    <row r="288" spans="1:20" ht="15.6" x14ac:dyDescent="0.3">
      <c r="A288" s="13" t="s">
        <v>299</v>
      </c>
      <c r="B288" s="14">
        <v>45182</v>
      </c>
      <c r="C288" s="15">
        <v>45190</v>
      </c>
      <c r="D288" s="16" t="str">
        <f>TRIM('data cleaning'!$E288)</f>
        <v>Amanda Jones</v>
      </c>
      <c r="E288" s="17" t="s">
        <v>1061</v>
      </c>
      <c r="F288" s="17" t="str">
        <f>TRIM('data cleaning'!$G288)</f>
        <v>Home Office</v>
      </c>
      <c r="G288" s="17" t="s">
        <v>1515</v>
      </c>
      <c r="H288" s="17" t="str">
        <f>TRIM('data cleaning'!$I288)</f>
        <v>West</v>
      </c>
      <c r="I288" s="17" t="s">
        <v>1518</v>
      </c>
      <c r="J288" s="17" t="str">
        <f>TRIM('data cleaning'!$K288)</f>
        <v>Technology</v>
      </c>
      <c r="K288" s="17" t="s">
        <v>1521</v>
      </c>
      <c r="L288" s="17" t="str">
        <f>TRIM('data cleaning'!$M288)</f>
        <v>Accessories</v>
      </c>
      <c r="M288" s="17" t="s">
        <v>1526</v>
      </c>
      <c r="N288" s="17" t="str">
        <f>PROPER('data cleaning'!$O288)</f>
        <v>Skill Accessories</v>
      </c>
      <c r="O288" s="17" t="str">
        <f>TRIM('data cleaning'!$P288)</f>
        <v>Skill Accessories</v>
      </c>
      <c r="P288" s="17" t="s">
        <v>1812</v>
      </c>
      <c r="Q288" s="17">
        <v>2331.1</v>
      </c>
      <c r="R288" s="17">
        <v>6</v>
      </c>
      <c r="S288" s="17">
        <v>0.05</v>
      </c>
      <c r="T288" s="18">
        <v>-286.77999999999997</v>
      </c>
    </row>
    <row r="289" spans="1:20" ht="15.6" x14ac:dyDescent="0.3">
      <c r="A289" s="19" t="s">
        <v>300</v>
      </c>
      <c r="B289" s="20">
        <v>45088</v>
      </c>
      <c r="C289" s="21">
        <v>45089</v>
      </c>
      <c r="D289" s="22" t="str">
        <f>TRIM('data cleaning'!$E289)</f>
        <v>Nicholas Castro</v>
      </c>
      <c r="E289" s="23" t="s">
        <v>1062</v>
      </c>
      <c r="F289" s="23" t="str">
        <f>TRIM('data cleaning'!$G289)</f>
        <v>Consumer</v>
      </c>
      <c r="G289" s="23" t="s">
        <v>1513</v>
      </c>
      <c r="H289" s="23" t="str">
        <f>TRIM('data cleaning'!$I289)</f>
        <v>West</v>
      </c>
      <c r="I289" s="23" t="s">
        <v>1518</v>
      </c>
      <c r="J289" s="23" t="str">
        <f>TRIM('data cleaning'!$K289)</f>
        <v>Furniture</v>
      </c>
      <c r="K289" s="23" t="s">
        <v>1522</v>
      </c>
      <c r="L289" s="23" t="str">
        <f>TRIM('data cleaning'!$M289)</f>
        <v>Bookcases</v>
      </c>
      <c r="M289" s="23" t="s">
        <v>1527</v>
      </c>
      <c r="N289" s="23" t="str">
        <f>PROPER('data cleaning'!$O289)</f>
        <v>Travel Bookcases</v>
      </c>
      <c r="O289" s="23" t="str">
        <f>TRIM('data cleaning'!$P289)</f>
        <v>Travel Bookcases</v>
      </c>
      <c r="P289" s="23" t="s">
        <v>1813</v>
      </c>
      <c r="Q289" s="23">
        <v>2643.52</v>
      </c>
      <c r="R289" s="23">
        <v>2</v>
      </c>
      <c r="S289" s="23"/>
      <c r="T289" s="24">
        <v>-458.17</v>
      </c>
    </row>
    <row r="290" spans="1:20" ht="15.6" x14ac:dyDescent="0.3">
      <c r="A290" s="13" t="s">
        <v>301</v>
      </c>
      <c r="B290" s="14">
        <v>45458</v>
      </c>
      <c r="C290" s="15">
        <v>45462</v>
      </c>
      <c r="D290" s="16" t="str">
        <f>TRIM('data cleaning'!$E290)</f>
        <v>Alexandra Pitts</v>
      </c>
      <c r="E290" s="17" t="s">
        <v>1063</v>
      </c>
      <c r="F290" s="17" t="str">
        <f>TRIM('data cleaning'!$G290)</f>
        <v>Corporate</v>
      </c>
      <c r="G290" s="17" t="s">
        <v>1514</v>
      </c>
      <c r="H290" s="17" t="str">
        <f>TRIM('data cleaning'!$I290)</f>
        <v>East</v>
      </c>
      <c r="I290" s="17" t="s">
        <v>1519</v>
      </c>
      <c r="J290" s="17" t="str">
        <f>TRIM('data cleaning'!$K290)</f>
        <v>Furniture</v>
      </c>
      <c r="K290" s="17" t="s">
        <v>1522</v>
      </c>
      <c r="L290" s="17" t="str">
        <f>TRIM('data cleaning'!$M290)</f>
        <v>Bookcases</v>
      </c>
      <c r="M290" s="17" t="s">
        <v>1527</v>
      </c>
      <c r="N290" s="17" t="str">
        <f>PROPER('data cleaning'!$O290)</f>
        <v>Several Bookcases</v>
      </c>
      <c r="O290" s="17" t="str">
        <f>TRIM('data cleaning'!$P290)</f>
        <v>Several Bookcases</v>
      </c>
      <c r="P290" s="17" t="s">
        <v>1814</v>
      </c>
      <c r="Q290" s="17">
        <v>386.44</v>
      </c>
      <c r="R290" s="17">
        <v>3</v>
      </c>
      <c r="S290" s="17">
        <v>0</v>
      </c>
      <c r="T290" s="18">
        <v>-30.8</v>
      </c>
    </row>
    <row r="291" spans="1:20" ht="15.6" x14ac:dyDescent="0.3">
      <c r="A291" s="19" t="s">
        <v>302</v>
      </c>
      <c r="B291" s="20">
        <v>45396</v>
      </c>
      <c r="C291" s="21">
        <v>45406</v>
      </c>
      <c r="D291" s="22" t="str">
        <f>TRIM('data cleaning'!$E291)</f>
        <v>Randy Johnson</v>
      </c>
      <c r="E291" s="23" t="s">
        <v>1064</v>
      </c>
      <c r="F291" s="23" t="str">
        <f>TRIM('data cleaning'!$G291)</f>
        <v>Home Office</v>
      </c>
      <c r="G291" s="23" t="s">
        <v>1515</v>
      </c>
      <c r="H291" s="23" t="str">
        <f>TRIM('data cleaning'!$I291)</f>
        <v>West</v>
      </c>
      <c r="I291" s="23" t="s">
        <v>1518</v>
      </c>
      <c r="J291" s="23" t="str">
        <f>TRIM('data cleaning'!$K291)</f>
        <v>Furniture</v>
      </c>
      <c r="K291" s="23" t="s">
        <v>1522</v>
      </c>
      <c r="L291" s="23" t="str">
        <f>TRIM('data cleaning'!$M291)</f>
        <v>Bookcases</v>
      </c>
      <c r="M291" s="23" t="s">
        <v>1527</v>
      </c>
      <c r="N291" s="23" t="str">
        <f>PROPER('data cleaning'!$O291)</f>
        <v>Blue Bookcases</v>
      </c>
      <c r="O291" s="23" t="str">
        <f>TRIM('data cleaning'!$P291)</f>
        <v>Blue Bookcases</v>
      </c>
      <c r="P291" s="23" t="s">
        <v>1815</v>
      </c>
      <c r="Q291" s="23">
        <v>4568.12</v>
      </c>
      <c r="R291" s="23">
        <v>8</v>
      </c>
      <c r="S291" s="23">
        <v>0</v>
      </c>
      <c r="T291" s="24">
        <v>-897.01</v>
      </c>
    </row>
    <row r="292" spans="1:20" ht="15.6" x14ac:dyDescent="0.3">
      <c r="A292" s="13" t="s">
        <v>303</v>
      </c>
      <c r="B292" s="14">
        <v>45860</v>
      </c>
      <c r="C292" s="15">
        <v>45869</v>
      </c>
      <c r="D292" s="16" t="str">
        <f>TRIM('data cleaning'!$E292)</f>
        <v>Amber Strong</v>
      </c>
      <c r="E292" s="17" t="s">
        <v>1065</v>
      </c>
      <c r="F292" s="17" t="str">
        <f>TRIM('data cleaning'!$G292)</f>
        <v>Home Office</v>
      </c>
      <c r="G292" s="17" t="s">
        <v>1515</v>
      </c>
      <c r="H292" s="17" t="str">
        <f>TRIM('data cleaning'!$I292)</f>
        <v>West</v>
      </c>
      <c r="I292" s="17" t="s">
        <v>1518</v>
      </c>
      <c r="J292" s="17" t="str">
        <f>TRIM('data cleaning'!$K292)</f>
        <v>Furniture</v>
      </c>
      <c r="K292" s="17" t="s">
        <v>1522</v>
      </c>
      <c r="L292" s="17" t="str">
        <f>TRIM('data cleaning'!$M292)</f>
        <v>Chairs</v>
      </c>
      <c r="M292" s="17" t="s">
        <v>1531</v>
      </c>
      <c r="N292" s="17" t="str">
        <f>PROPER('data cleaning'!$O292)</f>
        <v>Late Chairs</v>
      </c>
      <c r="O292" s="17" t="str">
        <f>TRIM('data cleaning'!$P292)</f>
        <v>Late Chairs</v>
      </c>
      <c r="P292" s="17" t="s">
        <v>1816</v>
      </c>
      <c r="Q292" s="17">
        <v>3624.85</v>
      </c>
      <c r="R292" s="17">
        <v>9</v>
      </c>
      <c r="S292" s="17">
        <v>0.1</v>
      </c>
      <c r="T292" s="18">
        <v>-690.79</v>
      </c>
    </row>
    <row r="293" spans="1:20" ht="15.6" x14ac:dyDescent="0.3">
      <c r="A293" s="19" t="s">
        <v>304</v>
      </c>
      <c r="B293" s="20">
        <v>45634</v>
      </c>
      <c r="C293" s="21">
        <v>45636</v>
      </c>
      <c r="D293" s="22" t="str">
        <f>TRIM('data cleaning'!$E293)</f>
        <v>Mark Harris</v>
      </c>
      <c r="E293" s="23" t="s">
        <v>1066</v>
      </c>
      <c r="F293" s="23" t="str">
        <f>TRIM('data cleaning'!$G293)</f>
        <v>Corporate</v>
      </c>
      <c r="G293" s="23" t="s">
        <v>1514</v>
      </c>
      <c r="H293" s="23" t="str">
        <f>TRIM('data cleaning'!$I293)</f>
        <v>East</v>
      </c>
      <c r="I293" s="23" t="s">
        <v>1519</v>
      </c>
      <c r="J293" s="23" t="str">
        <f>TRIM('data cleaning'!$K293)</f>
        <v>Furniture</v>
      </c>
      <c r="K293" s="23" t="s">
        <v>1522</v>
      </c>
      <c r="L293" s="23" t="str">
        <f>TRIM('data cleaning'!$M293)</f>
        <v>Chairs</v>
      </c>
      <c r="M293" s="23" t="s">
        <v>1531</v>
      </c>
      <c r="N293" s="23" t="str">
        <f>PROPER('data cleaning'!$O293)</f>
        <v>Letter Chairs</v>
      </c>
      <c r="O293" s="23" t="str">
        <f>TRIM('data cleaning'!$P293)</f>
        <v>Letter Chairs</v>
      </c>
      <c r="P293" s="23" t="s">
        <v>1817</v>
      </c>
      <c r="Q293" s="23">
        <v>2645.71</v>
      </c>
      <c r="R293" s="23">
        <v>4</v>
      </c>
      <c r="S293" s="23">
        <v>0.05</v>
      </c>
      <c r="T293" s="24">
        <v>372.73</v>
      </c>
    </row>
    <row r="294" spans="1:20" ht="15.6" x14ac:dyDescent="0.3">
      <c r="A294" s="13" t="s">
        <v>305</v>
      </c>
      <c r="B294" s="14">
        <v>46089</v>
      </c>
      <c r="C294" s="15">
        <v>46091</v>
      </c>
      <c r="D294" s="16" t="str">
        <f>TRIM('data cleaning'!$E294)</f>
        <v>Jason Perez</v>
      </c>
      <c r="E294" s="17" t="s">
        <v>1067</v>
      </c>
      <c r="F294" s="17" t="str">
        <f>TRIM('data cleaning'!$G294)</f>
        <v>Home Office</v>
      </c>
      <c r="G294" s="17" t="s">
        <v>1515</v>
      </c>
      <c r="H294" s="17" t="str">
        <f>TRIM('data cleaning'!$I294)</f>
        <v>South</v>
      </c>
      <c r="I294" s="17" t="s">
        <v>1517</v>
      </c>
      <c r="J294" s="17" t="str">
        <f>TRIM('data cleaning'!$K294)</f>
        <v>Technology</v>
      </c>
      <c r="K294" s="17" t="s">
        <v>1521</v>
      </c>
      <c r="L294" s="17" t="str">
        <f>TRIM('data cleaning'!$M294)</f>
        <v>Accessories</v>
      </c>
      <c r="M294" s="17" t="s">
        <v>1526</v>
      </c>
      <c r="N294" s="17" t="str">
        <f>PROPER('data cleaning'!$O294)</f>
        <v>Technology Accessories</v>
      </c>
      <c r="O294" s="17" t="str">
        <f>TRIM('data cleaning'!$P294)</f>
        <v>Technology Accessories</v>
      </c>
      <c r="P294" s="17" t="s">
        <v>1818</v>
      </c>
      <c r="Q294" s="17">
        <v>1896.61</v>
      </c>
      <c r="R294" s="17">
        <v>7</v>
      </c>
      <c r="S294" s="17">
        <v>0.15</v>
      </c>
      <c r="T294" s="18">
        <v>210.05</v>
      </c>
    </row>
    <row r="295" spans="1:20" ht="15.6" x14ac:dyDescent="0.3">
      <c r="A295" s="19" t="s">
        <v>306</v>
      </c>
      <c r="B295" s="20" t="s">
        <v>770</v>
      </c>
      <c r="C295" s="21">
        <v>45587</v>
      </c>
      <c r="D295" s="22" t="str">
        <f>TRIM('data cleaning'!$E295)</f>
        <v>Roberto Wells</v>
      </c>
      <c r="E295" s="23" t="s">
        <v>1068</v>
      </c>
      <c r="F295" s="23" t="str">
        <f>TRIM('data cleaning'!$G295)</f>
        <v>Corporate</v>
      </c>
      <c r="G295" s="23" t="s">
        <v>1514</v>
      </c>
      <c r="H295" s="23" t="str">
        <f>TRIM('data cleaning'!$I295)</f>
        <v>West</v>
      </c>
      <c r="I295" s="23" t="s">
        <v>1518</v>
      </c>
      <c r="J295" s="23" t="str">
        <f>TRIM('data cleaning'!$K295)</f>
        <v>Technology</v>
      </c>
      <c r="K295" s="23" t="s">
        <v>1521</v>
      </c>
      <c r="L295" s="23" t="str">
        <f>TRIM('data cleaning'!$M295)</f>
        <v>Laptops</v>
      </c>
      <c r="M295" s="23" t="s">
        <v>1528</v>
      </c>
      <c r="N295" s="23" t="str">
        <f>PROPER('data cleaning'!$O295)</f>
        <v>President Laptops</v>
      </c>
      <c r="O295" s="23" t="str">
        <f>TRIM('data cleaning'!$P295)</f>
        <v>President Laptops</v>
      </c>
      <c r="P295" s="23" t="s">
        <v>1819</v>
      </c>
      <c r="Q295" s="23">
        <v>3285.99</v>
      </c>
      <c r="R295" s="23">
        <v>1</v>
      </c>
      <c r="S295" s="23">
        <v>0</v>
      </c>
      <c r="T295" s="24">
        <v>75.260000000000005</v>
      </c>
    </row>
    <row r="296" spans="1:20" ht="15.6" x14ac:dyDescent="0.3">
      <c r="A296" s="13" t="s">
        <v>307</v>
      </c>
      <c r="B296" s="14">
        <v>45491</v>
      </c>
      <c r="C296" s="15">
        <v>45492</v>
      </c>
      <c r="D296" s="16" t="str">
        <f>TRIM('data cleaning'!$E296)</f>
        <v>Christopher Garcia</v>
      </c>
      <c r="E296" s="17" t="s">
        <v>1069</v>
      </c>
      <c r="F296" s="17" t="str">
        <f>TRIM('data cleaning'!$G296)</f>
        <v>Home Office</v>
      </c>
      <c r="G296" s="17" t="s">
        <v>1515</v>
      </c>
      <c r="H296" s="17" t="str">
        <f>TRIM('data cleaning'!$I296)</f>
        <v>East</v>
      </c>
      <c r="I296" s="17" t="s">
        <v>1519</v>
      </c>
      <c r="J296" s="17" t="str">
        <f>TRIM('data cleaning'!$K296)</f>
        <v>Furniture</v>
      </c>
      <c r="K296" s="17" t="s">
        <v>1522</v>
      </c>
      <c r="L296" s="17" t="str">
        <f>TRIM('data cleaning'!$M296)</f>
        <v>Bookcases</v>
      </c>
      <c r="M296" s="17" t="s">
        <v>1527</v>
      </c>
      <c r="N296" s="17" t="str">
        <f>PROPER('data cleaning'!$O296)</f>
        <v>Across Bookcases</v>
      </c>
      <c r="O296" s="17" t="str">
        <f>TRIM('data cleaning'!$P296)</f>
        <v>Across Bookcases</v>
      </c>
      <c r="P296" s="17" t="s">
        <v>1820</v>
      </c>
      <c r="Q296" s="17">
        <v>3529.08</v>
      </c>
      <c r="R296" s="17">
        <v>2</v>
      </c>
      <c r="S296" s="17">
        <v>0.15</v>
      </c>
      <c r="T296" s="18">
        <v>934.96</v>
      </c>
    </row>
    <row r="297" spans="1:20" ht="15.6" x14ac:dyDescent="0.3">
      <c r="A297" s="19" t="s">
        <v>308</v>
      </c>
      <c r="B297" s="20">
        <v>45474</v>
      </c>
      <c r="C297" s="21">
        <v>45483</v>
      </c>
      <c r="D297" s="22" t="str">
        <f>TRIM('data cleaning'!$E297)</f>
        <v>Elizabeth Werner</v>
      </c>
      <c r="E297" s="23" t="s">
        <v>1070</v>
      </c>
      <c r="F297" s="23" t="str">
        <f>TRIM('data cleaning'!$G297)</f>
        <v>Home Office</v>
      </c>
      <c r="G297" s="23" t="s">
        <v>1515</v>
      </c>
      <c r="H297" s="23" t="str">
        <f>TRIM('data cleaning'!$I297)</f>
        <v>West</v>
      </c>
      <c r="I297" s="23" t="s">
        <v>1518</v>
      </c>
      <c r="J297" s="23" t="str">
        <f>TRIM('data cleaning'!$K297)</f>
        <v>Office Supplies</v>
      </c>
      <c r="K297" s="23" t="s">
        <v>1520</v>
      </c>
      <c r="L297" s="23" t="str">
        <f>TRIM('data cleaning'!$M297)</f>
        <v>Binders</v>
      </c>
      <c r="M297" s="23" t="s">
        <v>1523</v>
      </c>
      <c r="N297" s="23" t="str">
        <f>PROPER('data cleaning'!$O297)</f>
        <v>Move Binders</v>
      </c>
      <c r="O297" s="23" t="str">
        <f>TRIM('data cleaning'!$P297)</f>
        <v>Move Binders</v>
      </c>
      <c r="P297" s="23" t="s">
        <v>1821</v>
      </c>
      <c r="Q297" s="23">
        <v>4599.8</v>
      </c>
      <c r="R297" s="23">
        <v>4</v>
      </c>
      <c r="S297" s="23">
        <v>0.05</v>
      </c>
      <c r="T297" s="24">
        <v>1360.16</v>
      </c>
    </row>
    <row r="298" spans="1:20" ht="15.6" x14ac:dyDescent="0.3">
      <c r="A298" s="13" t="s">
        <v>309</v>
      </c>
      <c r="B298" s="14">
        <v>45636</v>
      </c>
      <c r="C298" s="15">
        <v>45638</v>
      </c>
      <c r="D298" s="16" t="str">
        <f>TRIM('data cleaning'!$E298)</f>
        <v>Ashley Davis</v>
      </c>
      <c r="E298" s="17" t="s">
        <v>1071</v>
      </c>
      <c r="F298" s="17" t="str">
        <f>TRIM('data cleaning'!$G298)</f>
        <v>Consumer</v>
      </c>
      <c r="G298" s="17" t="s">
        <v>1513</v>
      </c>
      <c r="H298" s="17" t="str">
        <f>TRIM('data cleaning'!$I298)</f>
        <v>South</v>
      </c>
      <c r="I298" s="17" t="s">
        <v>1517</v>
      </c>
      <c r="J298" s="17" t="str">
        <f>TRIM('data cleaning'!$K298)</f>
        <v>Technology</v>
      </c>
      <c r="K298" s="17" t="s">
        <v>1521</v>
      </c>
      <c r="L298" s="17" t="str">
        <f>TRIM('data cleaning'!$M298)</f>
        <v>Phones</v>
      </c>
      <c r="M298" s="17" t="s">
        <v>1530</v>
      </c>
      <c r="N298" s="17" t="str">
        <f>PROPER('data cleaning'!$O298)</f>
        <v>Black Phones</v>
      </c>
      <c r="O298" s="17" t="str">
        <f>TRIM('data cleaning'!$P298)</f>
        <v>Black Phones</v>
      </c>
      <c r="P298" s="17" t="s">
        <v>1822</v>
      </c>
      <c r="Q298" s="17">
        <v>3437.92</v>
      </c>
      <c r="R298" s="17">
        <v>5</v>
      </c>
      <c r="S298" s="17">
        <v>0.2</v>
      </c>
      <c r="T298" s="18">
        <v>377.93</v>
      </c>
    </row>
    <row r="299" spans="1:20" ht="15.6" x14ac:dyDescent="0.3">
      <c r="A299" s="19" t="s">
        <v>310</v>
      </c>
      <c r="B299" s="20">
        <v>45328</v>
      </c>
      <c r="C299" s="21">
        <v>45332</v>
      </c>
      <c r="D299" s="22" t="str">
        <f>TRIM('data cleaning'!$E299)</f>
        <v>Mary Barnes</v>
      </c>
      <c r="E299" s="23" t="s">
        <v>1072</v>
      </c>
      <c r="F299" s="23" t="str">
        <f>TRIM('data cleaning'!$G299)</f>
        <v>Home Office</v>
      </c>
      <c r="G299" s="23" t="s">
        <v>1515</v>
      </c>
      <c r="H299" s="23" t="str">
        <f>TRIM('data cleaning'!$I299)</f>
        <v>South</v>
      </c>
      <c r="I299" s="23" t="s">
        <v>1517</v>
      </c>
      <c r="J299" s="23" t="str">
        <f>TRIM('data cleaning'!$K299)</f>
        <v>Technology</v>
      </c>
      <c r="K299" s="23" t="s">
        <v>1521</v>
      </c>
      <c r="L299" s="23" t="str">
        <f>TRIM('data cleaning'!$M299)</f>
        <v>Phones</v>
      </c>
      <c r="M299" s="23" t="s">
        <v>1530</v>
      </c>
      <c r="N299" s="23" t="str">
        <f>PROPER('data cleaning'!$O299)</f>
        <v>Election Phones</v>
      </c>
      <c r="O299" s="23" t="str">
        <f>TRIM('data cleaning'!$P299)</f>
        <v>Election Phones</v>
      </c>
      <c r="P299" s="23" t="s">
        <v>1823</v>
      </c>
      <c r="Q299" s="23">
        <v>2955.83</v>
      </c>
      <c r="R299" s="23">
        <v>7</v>
      </c>
      <c r="S299" s="23">
        <v>0</v>
      </c>
      <c r="T299" s="24">
        <v>-104.63</v>
      </c>
    </row>
    <row r="300" spans="1:20" ht="15.6" x14ac:dyDescent="0.3">
      <c r="A300" s="13" t="s">
        <v>311</v>
      </c>
      <c r="B300" s="14">
        <v>46096</v>
      </c>
      <c r="C300" s="15">
        <v>46105</v>
      </c>
      <c r="D300" s="16" t="str">
        <f>TRIM('data cleaning'!$E300)</f>
        <v>Lori King</v>
      </c>
      <c r="E300" s="17" t="s">
        <v>1073</v>
      </c>
      <c r="F300" s="17" t="str">
        <f>TRIM('data cleaning'!$G300)</f>
        <v>Home Office</v>
      </c>
      <c r="G300" s="17" t="s">
        <v>1515</v>
      </c>
      <c r="H300" s="17" t="str">
        <f>TRIM('data cleaning'!$I300)</f>
        <v>East</v>
      </c>
      <c r="I300" s="17" t="s">
        <v>1519</v>
      </c>
      <c r="J300" s="17" t="str">
        <f>TRIM('data cleaning'!$K300)</f>
        <v>Office Supplies</v>
      </c>
      <c r="K300" s="17" t="s">
        <v>1520</v>
      </c>
      <c r="L300" s="17" t="str">
        <f>TRIM('data cleaning'!$M300)</f>
        <v>Paper</v>
      </c>
      <c r="M300" s="17" t="s">
        <v>1524</v>
      </c>
      <c r="N300" s="17" t="str">
        <f>PROPER('data cleaning'!$O300)</f>
        <v>Fall Paper</v>
      </c>
      <c r="O300" s="17" t="str">
        <f>TRIM('data cleaning'!$P300)</f>
        <v>Fall Paper</v>
      </c>
      <c r="P300" s="17" t="s">
        <v>1629</v>
      </c>
      <c r="Q300" s="17">
        <v>1692.06</v>
      </c>
      <c r="R300" s="17">
        <v>3</v>
      </c>
      <c r="S300" s="17"/>
      <c r="T300" s="18">
        <v>335.52</v>
      </c>
    </row>
    <row r="301" spans="1:20" ht="15.6" x14ac:dyDescent="0.3">
      <c r="A301" s="19" t="s">
        <v>312</v>
      </c>
      <c r="B301" s="20">
        <v>45715</v>
      </c>
      <c r="C301" s="21">
        <v>45722</v>
      </c>
      <c r="D301" s="22" t="str">
        <f>TRIM('data cleaning'!$E301)</f>
        <v/>
      </c>
      <c r="E301" s="23"/>
      <c r="F301" s="23" t="str">
        <f>TRIM('data cleaning'!$G301)</f>
        <v>Home Office</v>
      </c>
      <c r="G301" s="23" t="s">
        <v>1515</v>
      </c>
      <c r="H301" s="23" t="str">
        <f>TRIM('data cleaning'!$I301)</f>
        <v>West</v>
      </c>
      <c r="I301" s="23" t="s">
        <v>1518</v>
      </c>
      <c r="J301" s="23" t="str">
        <f>TRIM('data cleaning'!$K301)</f>
        <v>Furniture</v>
      </c>
      <c r="K301" s="23" t="s">
        <v>1522</v>
      </c>
      <c r="L301" s="23" t="str">
        <f>TRIM('data cleaning'!$M301)</f>
        <v>Chairs</v>
      </c>
      <c r="M301" s="23" t="s">
        <v>1531</v>
      </c>
      <c r="N301" s="23" t="str">
        <f>PROPER('data cleaning'!$O301)</f>
        <v>Character Chairs</v>
      </c>
      <c r="O301" s="23" t="str">
        <f>TRIM('data cleaning'!$P301)</f>
        <v>Character Chairs</v>
      </c>
      <c r="P301" s="23" t="s">
        <v>1824</v>
      </c>
      <c r="Q301" s="23">
        <v>1199.1099999999999</v>
      </c>
      <c r="R301" s="23">
        <v>2</v>
      </c>
      <c r="S301" s="23">
        <v>0.1</v>
      </c>
      <c r="T301" s="24">
        <v>159.29</v>
      </c>
    </row>
    <row r="302" spans="1:20" ht="15.6" x14ac:dyDescent="0.3">
      <c r="A302" s="13" t="s">
        <v>313</v>
      </c>
      <c r="B302" s="14">
        <v>45527</v>
      </c>
      <c r="C302" s="15">
        <v>45532</v>
      </c>
      <c r="D302" s="16" t="str">
        <f>TRIM('data cleaning'!$E302)</f>
        <v>Wanda Graham</v>
      </c>
      <c r="E302" s="17" t="s">
        <v>1074</v>
      </c>
      <c r="F302" s="17" t="str">
        <f>TRIM('data cleaning'!$G302)</f>
        <v>Home Office</v>
      </c>
      <c r="G302" s="17" t="s">
        <v>1515</v>
      </c>
      <c r="H302" s="17" t="str">
        <f>TRIM('data cleaning'!$I302)</f>
        <v>West</v>
      </c>
      <c r="I302" s="17" t="s">
        <v>1518</v>
      </c>
      <c r="J302" s="17" t="str">
        <f>TRIM('data cleaning'!$K302)</f>
        <v>Technology</v>
      </c>
      <c r="K302" s="17" t="s">
        <v>1521</v>
      </c>
      <c r="L302" s="17" t="str">
        <f>TRIM('data cleaning'!$M302)</f>
        <v>Phones</v>
      </c>
      <c r="M302" s="17" t="s">
        <v>1530</v>
      </c>
      <c r="N302" s="17" t="str">
        <f>PROPER('data cleaning'!$O302)</f>
        <v>Relationship Phones</v>
      </c>
      <c r="O302" s="17" t="str">
        <f>TRIM('data cleaning'!$P302)</f>
        <v>Relationship Phones</v>
      </c>
      <c r="P302" s="17" t="s">
        <v>1825</v>
      </c>
      <c r="Q302" s="17">
        <v>3928.56</v>
      </c>
      <c r="R302" s="17">
        <v>8</v>
      </c>
      <c r="S302" s="17">
        <v>0.15</v>
      </c>
      <c r="T302" s="18">
        <v>-292.77</v>
      </c>
    </row>
    <row r="303" spans="1:20" ht="15.6" x14ac:dyDescent="0.3">
      <c r="A303" s="19" t="s">
        <v>314</v>
      </c>
      <c r="B303" s="20">
        <v>46073</v>
      </c>
      <c r="C303" s="21">
        <v>46083</v>
      </c>
      <c r="D303" s="22" t="str">
        <f>TRIM('data cleaning'!$E303)</f>
        <v>Jessica Berger</v>
      </c>
      <c r="E303" s="23" t="s">
        <v>1075</v>
      </c>
      <c r="F303" s="23" t="str">
        <f>TRIM('data cleaning'!$G303)</f>
        <v>Consumer</v>
      </c>
      <c r="G303" s="23" t="s">
        <v>1513</v>
      </c>
      <c r="H303" s="23" t="str">
        <f>TRIM('data cleaning'!$I303)</f>
        <v>North</v>
      </c>
      <c r="I303" s="23" t="s">
        <v>1516</v>
      </c>
      <c r="J303" s="23" t="str">
        <f>TRIM('data cleaning'!$K303)</f>
        <v>Technology</v>
      </c>
      <c r="K303" s="23" t="s">
        <v>1521</v>
      </c>
      <c r="L303" s="23" t="str">
        <f>TRIM('data cleaning'!$M303)</f>
        <v>Phones</v>
      </c>
      <c r="M303" s="23" t="s">
        <v>1530</v>
      </c>
      <c r="N303" s="23" t="str">
        <f>PROPER('data cleaning'!$O303)</f>
        <v>Project Phones</v>
      </c>
      <c r="O303" s="23" t="str">
        <f>TRIM('data cleaning'!$P303)</f>
        <v>Project Phones</v>
      </c>
      <c r="P303" s="23" t="s">
        <v>1826</v>
      </c>
      <c r="Q303" s="23">
        <v>3320.33</v>
      </c>
      <c r="R303" s="23">
        <v>2</v>
      </c>
      <c r="S303" s="23">
        <v>0.2</v>
      </c>
      <c r="T303" s="24">
        <v>-124.65</v>
      </c>
    </row>
    <row r="304" spans="1:20" ht="15.6" x14ac:dyDescent="0.3">
      <c r="A304" s="13" t="s">
        <v>315</v>
      </c>
      <c r="B304" s="14">
        <v>46161</v>
      </c>
      <c r="C304" s="15">
        <v>46164</v>
      </c>
      <c r="D304" s="16" t="str">
        <f>TRIM('data cleaning'!$E304)</f>
        <v>Cassie Valdez</v>
      </c>
      <c r="E304" s="17" t="s">
        <v>1076</v>
      </c>
      <c r="F304" s="17" t="str">
        <f>TRIM('data cleaning'!$G304)</f>
        <v>Corporate</v>
      </c>
      <c r="G304" s="17" t="s">
        <v>1514</v>
      </c>
      <c r="H304" s="17" t="str">
        <f>TRIM('data cleaning'!$I304)</f>
        <v>North</v>
      </c>
      <c r="I304" s="17" t="s">
        <v>1516</v>
      </c>
      <c r="J304" s="17" t="str">
        <f>TRIM('data cleaning'!$K304)</f>
        <v>Furniture</v>
      </c>
      <c r="K304" s="17" t="s">
        <v>1522</v>
      </c>
      <c r="L304" s="17" t="str">
        <f>TRIM('data cleaning'!$M304)</f>
        <v>Tables</v>
      </c>
      <c r="M304" s="17" t="s">
        <v>1529</v>
      </c>
      <c r="N304" s="17" t="str">
        <f>PROPER('data cleaning'!$O304)</f>
        <v>Sure Tables</v>
      </c>
      <c r="O304" s="17" t="str">
        <f>TRIM('data cleaning'!$P304)</f>
        <v>Sure Tables</v>
      </c>
      <c r="P304" s="17" t="s">
        <v>1827</v>
      </c>
      <c r="Q304" s="17">
        <v>1931</v>
      </c>
      <c r="R304" s="17">
        <v>3</v>
      </c>
      <c r="S304" s="17"/>
      <c r="T304" s="18">
        <v>27.6</v>
      </c>
    </row>
    <row r="305" spans="1:20" ht="15.6" x14ac:dyDescent="0.3">
      <c r="A305" s="19" t="s">
        <v>316</v>
      </c>
      <c r="B305" s="20">
        <v>45289</v>
      </c>
      <c r="C305" s="21">
        <v>45294</v>
      </c>
      <c r="D305" s="22" t="str">
        <f>TRIM('data cleaning'!$E305)</f>
        <v>Michael Cordova</v>
      </c>
      <c r="E305" s="23" t="s">
        <v>1077</v>
      </c>
      <c r="F305" s="23" t="str">
        <f>TRIM('data cleaning'!$G305)</f>
        <v>Consumer</v>
      </c>
      <c r="G305" s="23" t="s">
        <v>1513</v>
      </c>
      <c r="H305" s="23" t="str">
        <f>TRIM('data cleaning'!$I305)</f>
        <v>West</v>
      </c>
      <c r="I305" s="23" t="s">
        <v>1518</v>
      </c>
      <c r="J305" s="23" t="str">
        <f>TRIM('data cleaning'!$K305)</f>
        <v>Furniture</v>
      </c>
      <c r="K305" s="23" t="s">
        <v>1522</v>
      </c>
      <c r="L305" s="23" t="str">
        <f>TRIM('data cleaning'!$M305)</f>
        <v>Chairs</v>
      </c>
      <c r="M305" s="23" t="s">
        <v>1531</v>
      </c>
      <c r="N305" s="23" t="str">
        <f>PROPER('data cleaning'!$O305)</f>
        <v>Reflect Chairs</v>
      </c>
      <c r="O305" s="23" t="str">
        <f>TRIM('data cleaning'!$P305)</f>
        <v>Reflect Chairs</v>
      </c>
      <c r="P305" s="23" t="s">
        <v>1828</v>
      </c>
      <c r="Q305" s="23">
        <v>2251.44</v>
      </c>
      <c r="R305" s="23">
        <v>5</v>
      </c>
      <c r="S305" s="23">
        <v>0</v>
      </c>
      <c r="T305" s="24">
        <v>-286.20999999999998</v>
      </c>
    </row>
    <row r="306" spans="1:20" ht="15.6" x14ac:dyDescent="0.3">
      <c r="A306" s="13" t="s">
        <v>317</v>
      </c>
      <c r="B306" s="14">
        <v>45930</v>
      </c>
      <c r="C306" s="15">
        <v>45939</v>
      </c>
      <c r="D306" s="16" t="str">
        <f>TRIM('data cleaning'!$E306)</f>
        <v>Mary Williams</v>
      </c>
      <c r="E306" s="17" t="s">
        <v>1078</v>
      </c>
      <c r="F306" s="17" t="str">
        <f>TRIM('data cleaning'!$G306)</f>
        <v>Home Office</v>
      </c>
      <c r="G306" s="17" t="s">
        <v>1515</v>
      </c>
      <c r="H306" s="17" t="str">
        <f>TRIM('data cleaning'!$I306)</f>
        <v>North</v>
      </c>
      <c r="I306" s="17" t="s">
        <v>1516</v>
      </c>
      <c r="J306" s="17" t="str">
        <f>TRIM('data cleaning'!$K306)</f>
        <v>Technology</v>
      </c>
      <c r="K306" s="17" t="s">
        <v>1521</v>
      </c>
      <c r="L306" s="17" t="str">
        <f>TRIM('data cleaning'!$M306)</f>
        <v>Laptops</v>
      </c>
      <c r="M306" s="17" t="s">
        <v>1528</v>
      </c>
      <c r="N306" s="17" t="str">
        <f>PROPER('data cleaning'!$O306)</f>
        <v>Near Laptops</v>
      </c>
      <c r="O306" s="17" t="str">
        <f>TRIM('data cleaning'!$P306)</f>
        <v>Near Laptops</v>
      </c>
      <c r="P306" s="17" t="s">
        <v>1829</v>
      </c>
      <c r="Q306" s="17">
        <v>2586.58</v>
      </c>
      <c r="R306" s="17">
        <v>2</v>
      </c>
      <c r="S306" s="17">
        <v>0</v>
      </c>
      <c r="T306" s="18">
        <v>-389.82</v>
      </c>
    </row>
    <row r="307" spans="1:20" ht="15.6" x14ac:dyDescent="0.3">
      <c r="A307" s="19" t="s">
        <v>318</v>
      </c>
      <c r="B307" s="20">
        <v>45374</v>
      </c>
      <c r="C307" s="21">
        <v>45380</v>
      </c>
      <c r="D307" s="22" t="str">
        <f>TRIM('data cleaning'!$E307)</f>
        <v>Cheryl Ramos</v>
      </c>
      <c r="E307" s="23" t="s">
        <v>1079</v>
      </c>
      <c r="F307" s="23" t="str">
        <f>TRIM('data cleaning'!$G307)</f>
        <v>Consumer</v>
      </c>
      <c r="G307" s="23" t="s">
        <v>1513</v>
      </c>
      <c r="H307" s="23" t="str">
        <f>TRIM('data cleaning'!$I307)</f>
        <v>South</v>
      </c>
      <c r="I307" s="23" t="s">
        <v>1517</v>
      </c>
      <c r="J307" s="23" t="str">
        <f>TRIM('data cleaning'!$K307)</f>
        <v>Office Supplies</v>
      </c>
      <c r="K307" s="23" t="s">
        <v>1520</v>
      </c>
      <c r="L307" s="23" t="str">
        <f>TRIM('data cleaning'!$M307)</f>
        <v>Storage</v>
      </c>
      <c r="M307" s="23" t="s">
        <v>1525</v>
      </c>
      <c r="N307" s="23" t="str">
        <f>PROPER('data cleaning'!$O307)</f>
        <v>Onto Storage</v>
      </c>
      <c r="O307" s="23" t="str">
        <f>TRIM('data cleaning'!$P307)</f>
        <v>Onto Storage</v>
      </c>
      <c r="P307" s="23" t="s">
        <v>1707</v>
      </c>
      <c r="Q307" s="23">
        <v>4325.3999999999996</v>
      </c>
      <c r="R307" s="23">
        <v>1</v>
      </c>
      <c r="S307" s="23">
        <v>0.1</v>
      </c>
      <c r="T307" s="24">
        <v>119.36</v>
      </c>
    </row>
    <row r="308" spans="1:20" ht="15.6" x14ac:dyDescent="0.3">
      <c r="A308" s="13" t="s">
        <v>319</v>
      </c>
      <c r="B308" s="14">
        <v>45481</v>
      </c>
      <c r="C308" s="15">
        <v>45484</v>
      </c>
      <c r="D308" s="16" t="str">
        <f>TRIM('data cleaning'!$E308)</f>
        <v/>
      </c>
      <c r="E308" s="17"/>
      <c r="F308" s="17" t="str">
        <f>TRIM('data cleaning'!$G308)</f>
        <v>Corporate</v>
      </c>
      <c r="G308" s="17" t="s">
        <v>1514</v>
      </c>
      <c r="H308" s="17" t="str">
        <f>TRIM('data cleaning'!$I308)</f>
        <v>West</v>
      </c>
      <c r="I308" s="17" t="s">
        <v>1518</v>
      </c>
      <c r="J308" s="17" t="str">
        <f>TRIM('data cleaning'!$K308)</f>
        <v>Office Supplies</v>
      </c>
      <c r="K308" s="17" t="s">
        <v>1520</v>
      </c>
      <c r="L308" s="17" t="str">
        <f>TRIM('data cleaning'!$M308)</f>
        <v>Storage</v>
      </c>
      <c r="M308" s="17" t="s">
        <v>1525</v>
      </c>
      <c r="N308" s="17" t="str">
        <f>PROPER('data cleaning'!$O308)</f>
        <v>Require Storage</v>
      </c>
      <c r="O308" s="17" t="str">
        <f>TRIM('data cleaning'!$P308)</f>
        <v>Require Storage</v>
      </c>
      <c r="P308" s="17" t="s">
        <v>1830</v>
      </c>
      <c r="Q308" s="17">
        <v>3442.31</v>
      </c>
      <c r="R308" s="17">
        <v>3</v>
      </c>
      <c r="S308" s="17">
        <v>0.05</v>
      </c>
      <c r="T308" s="18">
        <v>-179.33</v>
      </c>
    </row>
    <row r="309" spans="1:20" ht="15.6" x14ac:dyDescent="0.3">
      <c r="A309" s="19" t="s">
        <v>320</v>
      </c>
      <c r="B309" s="20">
        <v>45543</v>
      </c>
      <c r="C309" s="21">
        <v>45546</v>
      </c>
      <c r="D309" s="22" t="str">
        <f>TRIM('data cleaning'!$E309)</f>
        <v>Michael Jackson</v>
      </c>
      <c r="E309" s="23" t="s">
        <v>1080</v>
      </c>
      <c r="F309" s="23" t="str">
        <f>TRIM('data cleaning'!$G309)</f>
        <v>Consumer</v>
      </c>
      <c r="G309" s="23" t="s">
        <v>1513</v>
      </c>
      <c r="H309" s="23" t="str">
        <f>TRIM('data cleaning'!$I309)</f>
        <v>East</v>
      </c>
      <c r="I309" s="23" t="s">
        <v>1519</v>
      </c>
      <c r="J309" s="23" t="str">
        <f>TRIM('data cleaning'!$K309)</f>
        <v>Furniture</v>
      </c>
      <c r="K309" s="23" t="s">
        <v>1522</v>
      </c>
      <c r="L309" s="23" t="str">
        <f>TRIM('data cleaning'!$M309)</f>
        <v>Chairs</v>
      </c>
      <c r="M309" s="23" t="s">
        <v>1531</v>
      </c>
      <c r="N309" s="23" t="str">
        <f>PROPER('data cleaning'!$O309)</f>
        <v>Decade Chairs</v>
      </c>
      <c r="O309" s="23" t="str">
        <f>TRIM('data cleaning'!$P309)</f>
        <v>Decade Chairs</v>
      </c>
      <c r="P309" s="23" t="s">
        <v>1831</v>
      </c>
      <c r="Q309" s="23">
        <v>2201.65</v>
      </c>
      <c r="R309" s="23">
        <v>7</v>
      </c>
      <c r="S309" s="23">
        <v>0.1</v>
      </c>
      <c r="T309" s="24">
        <v>146.03</v>
      </c>
    </row>
    <row r="310" spans="1:20" ht="15.6" x14ac:dyDescent="0.3">
      <c r="A310" s="13" t="s">
        <v>321</v>
      </c>
      <c r="B310" s="14">
        <v>46002</v>
      </c>
      <c r="C310" s="15">
        <v>46010</v>
      </c>
      <c r="D310" s="16" t="str">
        <f>TRIM('data cleaning'!$E310)</f>
        <v>Veronica Andrews</v>
      </c>
      <c r="E310" s="17" t="s">
        <v>1081</v>
      </c>
      <c r="F310" s="17" t="str">
        <f>TRIM('data cleaning'!$G310)</f>
        <v>Corporate</v>
      </c>
      <c r="G310" s="17" t="s">
        <v>1514</v>
      </c>
      <c r="H310" s="17" t="str">
        <f>TRIM('data cleaning'!$I310)</f>
        <v>North</v>
      </c>
      <c r="I310" s="17" t="s">
        <v>1516</v>
      </c>
      <c r="J310" s="17" t="str">
        <f>TRIM('data cleaning'!$K310)</f>
        <v>Technology</v>
      </c>
      <c r="K310" s="17" t="s">
        <v>1521</v>
      </c>
      <c r="L310" s="17" t="str">
        <f>TRIM('data cleaning'!$M310)</f>
        <v>Phones</v>
      </c>
      <c r="M310" s="17" t="s">
        <v>1530</v>
      </c>
      <c r="N310" s="17" t="str">
        <f>PROPER('data cleaning'!$O310)</f>
        <v>Especially Phones</v>
      </c>
      <c r="O310" s="17" t="str">
        <f>TRIM('data cleaning'!$P310)</f>
        <v>Especially Phones</v>
      </c>
      <c r="P310" s="17" t="s">
        <v>1832</v>
      </c>
      <c r="Q310" s="17">
        <v>2989.34</v>
      </c>
      <c r="R310" s="17">
        <v>4</v>
      </c>
      <c r="S310" s="17">
        <v>0.15</v>
      </c>
      <c r="T310" s="18">
        <v>-421.99</v>
      </c>
    </row>
    <row r="311" spans="1:20" ht="15.6" x14ac:dyDescent="0.3">
      <c r="A311" s="19" t="s">
        <v>322</v>
      </c>
      <c r="B311" s="20">
        <v>45635</v>
      </c>
      <c r="C311" s="21">
        <v>45645</v>
      </c>
      <c r="D311" s="22" t="str">
        <f>TRIM('data cleaning'!$E311)</f>
        <v>Regina Delgado</v>
      </c>
      <c r="E311" s="23" t="s">
        <v>1082</v>
      </c>
      <c r="F311" s="23" t="str">
        <f>TRIM('data cleaning'!$G311)</f>
        <v>Home Office</v>
      </c>
      <c r="G311" s="23" t="s">
        <v>1515</v>
      </c>
      <c r="H311" s="23" t="str">
        <f>TRIM('data cleaning'!$I311)</f>
        <v/>
      </c>
      <c r="I311" s="23"/>
      <c r="J311" s="23" t="str">
        <f>TRIM('data cleaning'!$K311)</f>
        <v>Technology</v>
      </c>
      <c r="K311" s="23" t="s">
        <v>1521</v>
      </c>
      <c r="L311" s="23" t="str">
        <f>TRIM('data cleaning'!$M311)</f>
        <v>Accessories</v>
      </c>
      <c r="M311" s="23" t="s">
        <v>1526</v>
      </c>
      <c r="N311" s="23" t="str">
        <f>PROPER('data cleaning'!$O311)</f>
        <v>Region Accessories</v>
      </c>
      <c r="O311" s="23" t="str">
        <f>TRIM('data cleaning'!$P311)</f>
        <v>Region Accessories</v>
      </c>
      <c r="P311" s="23" t="s">
        <v>1833</v>
      </c>
      <c r="Q311" s="23">
        <v>1930.46</v>
      </c>
      <c r="R311" s="23">
        <v>6</v>
      </c>
      <c r="S311" s="23">
        <v>0.15</v>
      </c>
      <c r="T311" s="24">
        <v>-30.68</v>
      </c>
    </row>
    <row r="312" spans="1:20" ht="15.6" x14ac:dyDescent="0.3">
      <c r="A312" s="13" t="s">
        <v>323</v>
      </c>
      <c r="B312" s="14">
        <v>45951</v>
      </c>
      <c r="C312" s="15">
        <v>45961</v>
      </c>
      <c r="D312" s="16" t="str">
        <f>TRIM('data cleaning'!$E312)</f>
        <v>Tonya Mills</v>
      </c>
      <c r="E312" s="17" t="s">
        <v>1083</v>
      </c>
      <c r="F312" s="17" t="str">
        <f>TRIM('data cleaning'!$G312)</f>
        <v>Corporate</v>
      </c>
      <c r="G312" s="17" t="s">
        <v>1514</v>
      </c>
      <c r="H312" s="17" t="str">
        <f>TRIM('data cleaning'!$I312)</f>
        <v>East</v>
      </c>
      <c r="I312" s="17" t="s">
        <v>1519</v>
      </c>
      <c r="J312" s="17" t="str">
        <f>TRIM('data cleaning'!$K312)</f>
        <v>Technology</v>
      </c>
      <c r="K312" s="17" t="s">
        <v>1521</v>
      </c>
      <c r="L312" s="17" t="str">
        <f>TRIM('data cleaning'!$M312)</f>
        <v>Accessories</v>
      </c>
      <c r="M312" s="17" t="s">
        <v>1526</v>
      </c>
      <c r="N312" s="17" t="str">
        <f>PROPER('data cleaning'!$O312)</f>
        <v>Go Accessories</v>
      </c>
      <c r="O312" s="17" t="str">
        <f>TRIM('data cleaning'!$P312)</f>
        <v>Go Accessories</v>
      </c>
      <c r="P312" s="17" t="s">
        <v>1834</v>
      </c>
      <c r="Q312" s="17">
        <v>4739.03</v>
      </c>
      <c r="R312" s="17">
        <v>4</v>
      </c>
      <c r="S312" s="17">
        <v>0.15</v>
      </c>
      <c r="T312" s="18">
        <v>-128.9</v>
      </c>
    </row>
    <row r="313" spans="1:20" ht="15.6" x14ac:dyDescent="0.3">
      <c r="A313" s="19" t="s">
        <v>324</v>
      </c>
      <c r="B313" s="20">
        <v>45723</v>
      </c>
      <c r="C313" s="21">
        <v>45731</v>
      </c>
      <c r="D313" s="22" t="str">
        <f>TRIM('data cleaning'!$E313)</f>
        <v>Brandon Harris</v>
      </c>
      <c r="E313" s="23" t="s">
        <v>1084</v>
      </c>
      <c r="F313" s="23" t="str">
        <f>TRIM('data cleaning'!$G313)</f>
        <v>Corporate</v>
      </c>
      <c r="G313" s="23" t="s">
        <v>1514</v>
      </c>
      <c r="H313" s="23" t="str">
        <f>TRIM('data cleaning'!$I313)</f>
        <v>East</v>
      </c>
      <c r="I313" s="23" t="s">
        <v>1519</v>
      </c>
      <c r="J313" s="23" t="str">
        <f>TRIM('data cleaning'!$K313)</f>
        <v>Technology</v>
      </c>
      <c r="K313" s="23" t="s">
        <v>1521</v>
      </c>
      <c r="L313" s="23" t="str">
        <f>TRIM('data cleaning'!$M313)</f>
        <v>Laptops</v>
      </c>
      <c r="M313" s="23" t="s">
        <v>1528</v>
      </c>
      <c r="N313" s="23" t="str">
        <f>PROPER('data cleaning'!$O313)</f>
        <v>Everybody Laptops</v>
      </c>
      <c r="O313" s="23" t="str">
        <f>TRIM('data cleaning'!$P313)</f>
        <v>Everybody Laptops</v>
      </c>
      <c r="P313" s="23" t="s">
        <v>1835</v>
      </c>
      <c r="Q313" s="23">
        <v>4840.43</v>
      </c>
      <c r="R313" s="23">
        <v>4</v>
      </c>
      <c r="S313" s="23">
        <v>0.1</v>
      </c>
      <c r="T313" s="24">
        <v>33.06</v>
      </c>
    </row>
    <row r="314" spans="1:20" ht="15.6" x14ac:dyDescent="0.3">
      <c r="A314" s="13" t="s">
        <v>325</v>
      </c>
      <c r="B314" s="14">
        <v>46031</v>
      </c>
      <c r="C314" s="15">
        <v>46035</v>
      </c>
      <c r="D314" s="16" t="str">
        <f>TRIM('data cleaning'!$E314)</f>
        <v>Donald Green</v>
      </c>
      <c r="E314" s="17" t="s">
        <v>1085</v>
      </c>
      <c r="F314" s="17" t="str">
        <f>TRIM('data cleaning'!$G314)</f>
        <v>Home Office</v>
      </c>
      <c r="G314" s="17" t="s">
        <v>1515</v>
      </c>
      <c r="H314" s="17" t="str">
        <f>TRIM('data cleaning'!$I314)</f>
        <v>North</v>
      </c>
      <c r="I314" s="17" t="s">
        <v>1516</v>
      </c>
      <c r="J314" s="17" t="str">
        <f>TRIM('data cleaning'!$K314)</f>
        <v>Furniture</v>
      </c>
      <c r="K314" s="17" t="s">
        <v>1522</v>
      </c>
      <c r="L314" s="17" t="str">
        <f>TRIM('data cleaning'!$M314)</f>
        <v>Bookcases</v>
      </c>
      <c r="M314" s="17" t="s">
        <v>1527</v>
      </c>
      <c r="N314" s="17" t="str">
        <f>PROPER('data cleaning'!$O314)</f>
        <v>Treatment Bookcases</v>
      </c>
      <c r="O314" s="17" t="str">
        <f>TRIM('data cleaning'!$P314)</f>
        <v>Treatment Bookcases</v>
      </c>
      <c r="P314" s="17" t="s">
        <v>1836</v>
      </c>
      <c r="Q314" s="17">
        <v>2981.52</v>
      </c>
      <c r="R314" s="17">
        <v>9</v>
      </c>
      <c r="S314" s="17">
        <v>0.05</v>
      </c>
      <c r="T314" s="18">
        <v>521.59</v>
      </c>
    </row>
    <row r="315" spans="1:20" ht="15.6" x14ac:dyDescent="0.3">
      <c r="A315" s="19" t="s">
        <v>326</v>
      </c>
      <c r="B315" s="20">
        <v>46056</v>
      </c>
      <c r="C315" s="21">
        <v>46060</v>
      </c>
      <c r="D315" s="22" t="str">
        <f>TRIM('data cleaning'!$E315)</f>
        <v>Sean Ball</v>
      </c>
      <c r="E315" s="23" t="s">
        <v>1086</v>
      </c>
      <c r="F315" s="23" t="str">
        <f>TRIM('data cleaning'!$G315)</f>
        <v>Corporate</v>
      </c>
      <c r="G315" s="23" t="s">
        <v>1514</v>
      </c>
      <c r="H315" s="23" t="str">
        <f>TRIM('data cleaning'!$I315)</f>
        <v>West</v>
      </c>
      <c r="I315" s="23" t="s">
        <v>1518</v>
      </c>
      <c r="J315" s="23" t="str">
        <f>TRIM('data cleaning'!$K315)</f>
        <v>Office Supplies</v>
      </c>
      <c r="K315" s="23" t="s">
        <v>1520</v>
      </c>
      <c r="L315" s="23" t="str">
        <f>TRIM('data cleaning'!$M315)</f>
        <v>Paper</v>
      </c>
      <c r="M315" s="23" t="s">
        <v>1524</v>
      </c>
      <c r="N315" s="23" t="str">
        <f>PROPER('data cleaning'!$O315)</f>
        <v>Here Paper</v>
      </c>
      <c r="O315" s="23" t="str">
        <f>TRIM('data cleaning'!$P315)</f>
        <v>Here Paper</v>
      </c>
      <c r="P315" s="23" t="s">
        <v>1837</v>
      </c>
      <c r="Q315" s="23">
        <v>2220.35</v>
      </c>
      <c r="R315" s="23">
        <v>5</v>
      </c>
      <c r="S315" s="23"/>
      <c r="T315" s="24">
        <v>-359.61</v>
      </c>
    </row>
    <row r="316" spans="1:20" ht="15.6" x14ac:dyDescent="0.3">
      <c r="A316" s="13" t="s">
        <v>327</v>
      </c>
      <c r="B316" s="14">
        <v>45928</v>
      </c>
      <c r="C316" s="15">
        <v>45933</v>
      </c>
      <c r="D316" s="16" t="str">
        <f>TRIM('data cleaning'!$E316)</f>
        <v>Victor Arroyo</v>
      </c>
      <c r="E316" s="17" t="s">
        <v>1087</v>
      </c>
      <c r="F316" s="17" t="str">
        <f>TRIM('data cleaning'!$G316)</f>
        <v>Corporate</v>
      </c>
      <c r="G316" s="17" t="s">
        <v>1514</v>
      </c>
      <c r="H316" s="17" t="str">
        <f>TRIM('data cleaning'!$I316)</f>
        <v>North</v>
      </c>
      <c r="I316" s="17" t="s">
        <v>1516</v>
      </c>
      <c r="J316" s="17" t="str">
        <f>TRIM('data cleaning'!$K316)</f>
        <v>Furniture</v>
      </c>
      <c r="K316" s="17" t="s">
        <v>1522</v>
      </c>
      <c r="L316" s="17" t="str">
        <f>TRIM('data cleaning'!$M316)</f>
        <v>Bookcases</v>
      </c>
      <c r="M316" s="17" t="s">
        <v>1527</v>
      </c>
      <c r="N316" s="17" t="str">
        <f>PROPER('data cleaning'!$O316)</f>
        <v>Either Bookcases</v>
      </c>
      <c r="O316" s="17" t="str">
        <f>TRIM('data cleaning'!$P316)</f>
        <v>Either Bookcases</v>
      </c>
      <c r="P316" s="17" t="s">
        <v>1838</v>
      </c>
      <c r="Q316" s="17">
        <v>1248</v>
      </c>
      <c r="R316" s="17">
        <v>3</v>
      </c>
      <c r="S316" s="17"/>
      <c r="T316" s="18">
        <v>40.840000000000003</v>
      </c>
    </row>
    <row r="317" spans="1:20" ht="15.6" x14ac:dyDescent="0.3">
      <c r="A317" s="19" t="s">
        <v>328</v>
      </c>
      <c r="B317" s="20">
        <v>45529</v>
      </c>
      <c r="C317" s="21">
        <v>45537</v>
      </c>
      <c r="D317" s="22" t="str">
        <f>TRIM('data cleaning'!$E317)</f>
        <v>Amy Carlson</v>
      </c>
      <c r="E317" s="23" t="s">
        <v>1088</v>
      </c>
      <c r="F317" s="23" t="str">
        <f>TRIM('data cleaning'!$G317)</f>
        <v>Home Office</v>
      </c>
      <c r="G317" s="23" t="s">
        <v>1515</v>
      </c>
      <c r="H317" s="23" t="str">
        <f>TRIM('data cleaning'!$I317)</f>
        <v>West</v>
      </c>
      <c r="I317" s="23" t="s">
        <v>1518</v>
      </c>
      <c r="J317" s="23" t="str">
        <f>TRIM('data cleaning'!$K317)</f>
        <v>Technology</v>
      </c>
      <c r="K317" s="23" t="s">
        <v>1521</v>
      </c>
      <c r="L317" s="23" t="str">
        <f>TRIM('data cleaning'!$M317)</f>
        <v>Laptops</v>
      </c>
      <c r="M317" s="23" t="s">
        <v>1528</v>
      </c>
      <c r="N317" s="23" t="str">
        <f>PROPER('data cleaning'!$O317)</f>
        <v>Growth Laptops</v>
      </c>
      <c r="O317" s="23" t="str">
        <f>TRIM('data cleaning'!$P317)</f>
        <v>Growth Laptops</v>
      </c>
      <c r="P317" s="23" t="s">
        <v>1839</v>
      </c>
      <c r="Q317" s="23">
        <v>2932.11</v>
      </c>
      <c r="R317" s="23">
        <v>9</v>
      </c>
      <c r="S317" s="23">
        <v>0.2</v>
      </c>
      <c r="T317" s="24">
        <v>902.86</v>
      </c>
    </row>
    <row r="318" spans="1:20" ht="15.6" x14ac:dyDescent="0.3">
      <c r="A318" s="13" t="s">
        <v>329</v>
      </c>
      <c r="B318" s="14">
        <v>45842</v>
      </c>
      <c r="C318" s="15">
        <v>45848</v>
      </c>
      <c r="D318" s="16" t="str">
        <f>TRIM('data cleaning'!$E318)</f>
        <v>Samantha Sparks</v>
      </c>
      <c r="E318" s="17" t="s">
        <v>1089</v>
      </c>
      <c r="F318" s="17" t="str">
        <f>TRIM('data cleaning'!$G318)</f>
        <v>Consumer</v>
      </c>
      <c r="G318" s="17" t="s">
        <v>1513</v>
      </c>
      <c r="H318" s="17" t="str">
        <f>TRIM('data cleaning'!$I318)</f>
        <v>North</v>
      </c>
      <c r="I318" s="17" t="s">
        <v>1516</v>
      </c>
      <c r="J318" s="17" t="str">
        <f>TRIM('data cleaning'!$K318)</f>
        <v>Office Supplies</v>
      </c>
      <c r="K318" s="17" t="s">
        <v>1520</v>
      </c>
      <c r="L318" s="17" t="str">
        <f>TRIM('data cleaning'!$M318)</f>
        <v>Binders</v>
      </c>
      <c r="M318" s="17" t="s">
        <v>1523</v>
      </c>
      <c r="N318" s="17" t="str">
        <f>PROPER('data cleaning'!$O318)</f>
        <v>Pass Binders</v>
      </c>
      <c r="O318" s="17" t="str">
        <f>TRIM('data cleaning'!$P318)</f>
        <v>Pass Binders</v>
      </c>
      <c r="P318" s="17" t="s">
        <v>1840</v>
      </c>
      <c r="Q318" s="17">
        <v>3523.09</v>
      </c>
      <c r="R318" s="17">
        <v>9</v>
      </c>
      <c r="S318" s="17">
        <v>0.2</v>
      </c>
      <c r="T318" s="18">
        <v>531.98</v>
      </c>
    </row>
    <row r="319" spans="1:20" ht="15.6" x14ac:dyDescent="0.3">
      <c r="A319" s="19" t="s">
        <v>330</v>
      </c>
      <c r="B319" s="20">
        <v>45619</v>
      </c>
      <c r="C319" s="21">
        <v>45625</v>
      </c>
      <c r="D319" s="22" t="str">
        <f>TRIM('data cleaning'!$E319)</f>
        <v>Randall West</v>
      </c>
      <c r="E319" s="23" t="s">
        <v>1090</v>
      </c>
      <c r="F319" s="23" t="str">
        <f>TRIM('data cleaning'!$G319)</f>
        <v>Home Office</v>
      </c>
      <c r="G319" s="23" t="s">
        <v>1515</v>
      </c>
      <c r="H319" s="23" t="str">
        <f>TRIM('data cleaning'!$I319)</f>
        <v>West</v>
      </c>
      <c r="I319" s="23" t="s">
        <v>1518</v>
      </c>
      <c r="J319" s="23" t="str">
        <f>TRIM('data cleaning'!$K319)</f>
        <v>Furniture</v>
      </c>
      <c r="K319" s="23" t="s">
        <v>1522</v>
      </c>
      <c r="L319" s="23" t="str">
        <f>TRIM('data cleaning'!$M319)</f>
        <v>Bookcases</v>
      </c>
      <c r="M319" s="23" t="s">
        <v>1527</v>
      </c>
      <c r="N319" s="23" t="str">
        <f>PROPER('data cleaning'!$O319)</f>
        <v>Include Bookcases</v>
      </c>
      <c r="O319" s="23" t="str">
        <f>TRIM('data cleaning'!$P319)</f>
        <v>Include Bookcases</v>
      </c>
      <c r="P319" s="23" t="s">
        <v>1841</v>
      </c>
      <c r="Q319" s="23">
        <v>873.38</v>
      </c>
      <c r="R319" s="23">
        <v>10</v>
      </c>
      <c r="S319" s="23">
        <v>0</v>
      </c>
      <c r="T319" s="24">
        <v>95.87</v>
      </c>
    </row>
    <row r="320" spans="1:20" ht="15.6" x14ac:dyDescent="0.3">
      <c r="A320" s="13" t="s">
        <v>331</v>
      </c>
      <c r="B320" s="14">
        <v>45990</v>
      </c>
      <c r="C320" s="15">
        <v>45992</v>
      </c>
      <c r="D320" s="16" t="str">
        <f>TRIM('data cleaning'!$E320)</f>
        <v>Randy Whitney</v>
      </c>
      <c r="E320" s="17" t="s">
        <v>1091</v>
      </c>
      <c r="F320" s="17" t="str">
        <f>TRIM('data cleaning'!$G320)</f>
        <v>Home Office</v>
      </c>
      <c r="G320" s="17" t="s">
        <v>1515</v>
      </c>
      <c r="H320" s="17" t="str">
        <f>TRIM('data cleaning'!$I320)</f>
        <v>South</v>
      </c>
      <c r="I320" s="17" t="s">
        <v>1517</v>
      </c>
      <c r="J320" s="17" t="str">
        <f>TRIM('data cleaning'!$K320)</f>
        <v>Technology</v>
      </c>
      <c r="K320" s="17" t="s">
        <v>1521</v>
      </c>
      <c r="L320" s="17" t="str">
        <f>TRIM('data cleaning'!$M320)</f>
        <v>Accessories</v>
      </c>
      <c r="M320" s="17" t="s">
        <v>1526</v>
      </c>
      <c r="N320" s="17" t="str">
        <f>PROPER('data cleaning'!$O320)</f>
        <v>Main Accessories</v>
      </c>
      <c r="O320" s="17" t="str">
        <f>TRIM('data cleaning'!$P320)</f>
        <v>Main Accessories</v>
      </c>
      <c r="P320" s="17" t="s">
        <v>1842</v>
      </c>
      <c r="Q320" s="17">
        <v>102.21</v>
      </c>
      <c r="R320" s="17">
        <v>5</v>
      </c>
      <c r="S320" s="17">
        <v>0.05</v>
      </c>
      <c r="T320" s="18">
        <v>8.27</v>
      </c>
    </row>
    <row r="321" spans="1:20" ht="15.6" x14ac:dyDescent="0.3">
      <c r="A321" s="19" t="s">
        <v>332</v>
      </c>
      <c r="B321" s="20">
        <v>45890</v>
      </c>
      <c r="C321" s="21">
        <v>45897</v>
      </c>
      <c r="D321" s="22" t="str">
        <f>TRIM('data cleaning'!$E321)</f>
        <v>Patricia Love</v>
      </c>
      <c r="E321" s="23" t="s">
        <v>1092</v>
      </c>
      <c r="F321" s="23" t="str">
        <f>TRIM('data cleaning'!$G321)</f>
        <v>Corporate</v>
      </c>
      <c r="G321" s="23" t="s">
        <v>1514</v>
      </c>
      <c r="H321" s="23" t="str">
        <f>TRIM('data cleaning'!$I321)</f>
        <v>North</v>
      </c>
      <c r="I321" s="23" t="s">
        <v>1516</v>
      </c>
      <c r="J321" s="23" t="str">
        <f>TRIM('data cleaning'!$K321)</f>
        <v>Technology</v>
      </c>
      <c r="K321" s="23" t="s">
        <v>1521</v>
      </c>
      <c r="L321" s="23" t="str">
        <f>TRIM('data cleaning'!$M321)</f>
        <v>Accessories</v>
      </c>
      <c r="M321" s="23" t="s">
        <v>1526</v>
      </c>
      <c r="N321" s="23" t="str">
        <f>PROPER('data cleaning'!$O321)</f>
        <v>Whatever Accessories</v>
      </c>
      <c r="O321" s="23" t="str">
        <f>TRIM('data cleaning'!$P321)</f>
        <v>Whatever Accessories</v>
      </c>
      <c r="P321" s="23" t="s">
        <v>1843</v>
      </c>
      <c r="Q321" s="23">
        <v>2342.16</v>
      </c>
      <c r="R321" s="23">
        <v>10</v>
      </c>
      <c r="S321" s="23"/>
      <c r="T321" s="24">
        <v>176.26</v>
      </c>
    </row>
    <row r="322" spans="1:20" ht="15.6" x14ac:dyDescent="0.3">
      <c r="A322" s="13" t="s">
        <v>333</v>
      </c>
      <c r="B322" s="14">
        <v>46104</v>
      </c>
      <c r="C322" s="15">
        <v>46109</v>
      </c>
      <c r="D322" s="16" t="str">
        <f>TRIM('data cleaning'!$E322)</f>
        <v>Eugene Hernandez</v>
      </c>
      <c r="E322" s="17" t="s">
        <v>1093</v>
      </c>
      <c r="F322" s="17" t="str">
        <f>TRIM('data cleaning'!$G322)</f>
        <v>Home Office</v>
      </c>
      <c r="G322" s="17" t="s">
        <v>1515</v>
      </c>
      <c r="H322" s="17" t="str">
        <f>TRIM('data cleaning'!$I322)</f>
        <v>South</v>
      </c>
      <c r="I322" s="17" t="s">
        <v>1517</v>
      </c>
      <c r="J322" s="17" t="str">
        <f>TRIM('data cleaning'!$K322)</f>
        <v>Technology</v>
      </c>
      <c r="K322" s="17" t="s">
        <v>1521</v>
      </c>
      <c r="L322" s="17" t="str">
        <f>TRIM('data cleaning'!$M322)</f>
        <v>Phones</v>
      </c>
      <c r="M322" s="17" t="s">
        <v>1530</v>
      </c>
      <c r="N322" s="17" t="str">
        <f>PROPER('data cleaning'!$O322)</f>
        <v>Bag Phones</v>
      </c>
      <c r="O322" s="17" t="str">
        <f>TRIM('data cleaning'!$P322)</f>
        <v>Bag Phones</v>
      </c>
      <c r="P322" s="17" t="s">
        <v>1844</v>
      </c>
      <c r="Q322" s="17">
        <v>2109.08</v>
      </c>
      <c r="R322" s="17">
        <v>2</v>
      </c>
      <c r="S322" s="17">
        <v>0</v>
      </c>
      <c r="T322" s="18">
        <v>542.51</v>
      </c>
    </row>
    <row r="323" spans="1:20" ht="15.6" x14ac:dyDescent="0.3">
      <c r="A323" s="19" t="s">
        <v>334</v>
      </c>
      <c r="B323" s="20">
        <v>45425</v>
      </c>
      <c r="C323" s="21">
        <v>45431</v>
      </c>
      <c r="D323" s="22" t="str">
        <f>TRIM('data cleaning'!$E323)</f>
        <v>Kara Ortiz</v>
      </c>
      <c r="E323" s="23" t="s">
        <v>1094</v>
      </c>
      <c r="F323" s="23" t="str">
        <f>TRIM('data cleaning'!$G323)</f>
        <v>Corporate</v>
      </c>
      <c r="G323" s="23" t="s">
        <v>1514</v>
      </c>
      <c r="H323" s="23" t="str">
        <f>TRIM('data cleaning'!$I323)</f>
        <v>North</v>
      </c>
      <c r="I323" s="23" t="s">
        <v>1516</v>
      </c>
      <c r="J323" s="23" t="str">
        <f>TRIM('data cleaning'!$K323)</f>
        <v>Technology</v>
      </c>
      <c r="K323" s="23" t="s">
        <v>1521</v>
      </c>
      <c r="L323" s="23" t="str">
        <f>TRIM('data cleaning'!$M323)</f>
        <v>Accessories</v>
      </c>
      <c r="M323" s="23" t="s">
        <v>1526</v>
      </c>
      <c r="N323" s="23" t="str">
        <f>PROPER('data cleaning'!$O323)</f>
        <v>Step Accessories</v>
      </c>
      <c r="O323" s="23" t="str">
        <f>TRIM('data cleaning'!$P323)</f>
        <v>Step Accessories</v>
      </c>
      <c r="P323" s="23" t="s">
        <v>1845</v>
      </c>
      <c r="Q323" s="23">
        <v>2303.9</v>
      </c>
      <c r="R323" s="23">
        <v>4</v>
      </c>
      <c r="S323" s="23">
        <v>0.2</v>
      </c>
      <c r="T323" s="24">
        <v>151.16</v>
      </c>
    </row>
    <row r="324" spans="1:20" ht="15.6" x14ac:dyDescent="0.3">
      <c r="A324" s="13" t="s">
        <v>335</v>
      </c>
      <c r="B324" s="14">
        <v>45461</v>
      </c>
      <c r="C324" s="15">
        <v>45469</v>
      </c>
      <c r="D324" s="16" t="str">
        <f>TRIM('data cleaning'!$E324)</f>
        <v>Nicholas James</v>
      </c>
      <c r="E324" s="17" t="s">
        <v>1095</v>
      </c>
      <c r="F324" s="17" t="str">
        <f>TRIM('data cleaning'!$G324)</f>
        <v>Consumer</v>
      </c>
      <c r="G324" s="17" t="s">
        <v>1513</v>
      </c>
      <c r="H324" s="17" t="str">
        <f>TRIM('data cleaning'!$I324)</f>
        <v>North</v>
      </c>
      <c r="I324" s="17" t="s">
        <v>1516</v>
      </c>
      <c r="J324" s="17" t="str">
        <f>TRIM('data cleaning'!$K324)</f>
        <v>Technology</v>
      </c>
      <c r="K324" s="17" t="s">
        <v>1521</v>
      </c>
      <c r="L324" s="17" t="str">
        <f>TRIM('data cleaning'!$M324)</f>
        <v>Laptops</v>
      </c>
      <c r="M324" s="17" t="s">
        <v>1528</v>
      </c>
      <c r="N324" s="17" t="str">
        <f>PROPER('data cleaning'!$O324)</f>
        <v>Rather Laptops</v>
      </c>
      <c r="O324" s="17" t="str">
        <f>TRIM('data cleaning'!$P324)</f>
        <v>Rather Laptops</v>
      </c>
      <c r="P324" s="17" t="s">
        <v>1846</v>
      </c>
      <c r="Q324" s="17">
        <v>1628.6</v>
      </c>
      <c r="R324" s="17">
        <v>5</v>
      </c>
      <c r="S324" s="17">
        <v>0</v>
      </c>
      <c r="T324" s="18">
        <v>399.99</v>
      </c>
    </row>
    <row r="325" spans="1:20" ht="15.6" x14ac:dyDescent="0.3">
      <c r="A325" s="19" t="s">
        <v>336</v>
      </c>
      <c r="B325" s="20">
        <v>45507</v>
      </c>
      <c r="C325" s="21">
        <v>45509</v>
      </c>
      <c r="D325" s="22" t="str">
        <f>TRIM('data cleaning'!$E325)</f>
        <v>Geoffrey Frank</v>
      </c>
      <c r="E325" s="23" t="s">
        <v>1096</v>
      </c>
      <c r="F325" s="23" t="str">
        <f>TRIM('data cleaning'!$G325)</f>
        <v>Consumer</v>
      </c>
      <c r="G325" s="23" t="s">
        <v>1513</v>
      </c>
      <c r="H325" s="23" t="str">
        <f>TRIM('data cleaning'!$I325)</f>
        <v>South</v>
      </c>
      <c r="I325" s="23" t="s">
        <v>1517</v>
      </c>
      <c r="J325" s="23" t="str">
        <f>TRIM('data cleaning'!$K325)</f>
        <v>Technology</v>
      </c>
      <c r="K325" s="23" t="s">
        <v>1521</v>
      </c>
      <c r="L325" s="23" t="str">
        <f>TRIM('data cleaning'!$M325)</f>
        <v>Laptops</v>
      </c>
      <c r="M325" s="23" t="s">
        <v>1528</v>
      </c>
      <c r="N325" s="23" t="str">
        <f>PROPER('data cleaning'!$O325)</f>
        <v>Will Laptops</v>
      </c>
      <c r="O325" s="23" t="str">
        <f>TRIM('data cleaning'!$P325)</f>
        <v>Will Laptops</v>
      </c>
      <c r="P325" s="23" t="s">
        <v>1847</v>
      </c>
      <c r="Q325" s="23">
        <v>3401.84</v>
      </c>
      <c r="R325" s="23">
        <v>3</v>
      </c>
      <c r="S325" s="23"/>
      <c r="T325" s="24">
        <v>-224</v>
      </c>
    </row>
    <row r="326" spans="1:20" ht="15.6" x14ac:dyDescent="0.3">
      <c r="A326" s="13" t="s">
        <v>337</v>
      </c>
      <c r="B326" s="14">
        <v>45623</v>
      </c>
      <c r="C326" s="15">
        <v>45630</v>
      </c>
      <c r="D326" s="16" t="str">
        <f>TRIM('data cleaning'!$E326)</f>
        <v>Kimberly Flowers</v>
      </c>
      <c r="E326" s="17" t="s">
        <v>1097</v>
      </c>
      <c r="F326" s="17" t="str">
        <f>TRIM('data cleaning'!$G326)</f>
        <v>Consumer</v>
      </c>
      <c r="G326" s="17" t="s">
        <v>1513</v>
      </c>
      <c r="H326" s="17" t="str">
        <f>TRIM('data cleaning'!$I326)</f>
        <v>West</v>
      </c>
      <c r="I326" s="17" t="s">
        <v>1518</v>
      </c>
      <c r="J326" s="17" t="str">
        <f>TRIM('data cleaning'!$K326)</f>
        <v>Technology</v>
      </c>
      <c r="K326" s="17" t="s">
        <v>1521</v>
      </c>
      <c r="L326" s="17" t="str">
        <f>TRIM('data cleaning'!$M326)</f>
        <v>Laptops</v>
      </c>
      <c r="M326" s="17" t="s">
        <v>1528</v>
      </c>
      <c r="N326" s="17" t="str">
        <f>PROPER('data cleaning'!$O326)</f>
        <v>Already Laptops</v>
      </c>
      <c r="O326" s="17" t="str">
        <f>TRIM('data cleaning'!$P326)</f>
        <v>Already Laptops</v>
      </c>
      <c r="P326" s="17" t="s">
        <v>1848</v>
      </c>
      <c r="Q326" s="17">
        <v>4794.3900000000003</v>
      </c>
      <c r="R326" s="17">
        <v>4</v>
      </c>
      <c r="S326" s="17">
        <v>0.15</v>
      </c>
      <c r="T326" s="18">
        <v>701.75</v>
      </c>
    </row>
    <row r="327" spans="1:20" ht="15.6" x14ac:dyDescent="0.3">
      <c r="A327" s="19" t="s">
        <v>338</v>
      </c>
      <c r="B327" s="20">
        <v>46070</v>
      </c>
      <c r="C327" s="21">
        <v>46080</v>
      </c>
      <c r="D327" s="22" t="str">
        <f>TRIM('data cleaning'!$E327)</f>
        <v>Diamond Foster</v>
      </c>
      <c r="E327" s="23" t="s">
        <v>1098</v>
      </c>
      <c r="F327" s="23" t="str">
        <f>TRIM('data cleaning'!$G327)</f>
        <v>Consumer</v>
      </c>
      <c r="G327" s="23" t="s">
        <v>1513</v>
      </c>
      <c r="H327" s="23" t="str">
        <f>TRIM('data cleaning'!$I327)</f>
        <v>South</v>
      </c>
      <c r="I327" s="23" t="s">
        <v>1517</v>
      </c>
      <c r="J327" s="23" t="str">
        <f>TRIM('data cleaning'!$K327)</f>
        <v>Technology</v>
      </c>
      <c r="K327" s="23" t="s">
        <v>1521</v>
      </c>
      <c r="L327" s="23" t="str">
        <f>TRIM('data cleaning'!$M327)</f>
        <v>Phones</v>
      </c>
      <c r="M327" s="23" t="s">
        <v>1530</v>
      </c>
      <c r="N327" s="23" t="str">
        <f>PROPER('data cleaning'!$O327)</f>
        <v>Economic Phones</v>
      </c>
      <c r="O327" s="23" t="str">
        <f>TRIM('data cleaning'!$P327)</f>
        <v>Economic Phones</v>
      </c>
      <c r="P327" s="23" t="s">
        <v>1849</v>
      </c>
      <c r="Q327" s="23">
        <v>4421.33</v>
      </c>
      <c r="R327" s="23">
        <v>8</v>
      </c>
      <c r="S327" s="23">
        <v>0.2</v>
      </c>
      <c r="T327" s="24">
        <v>160.29</v>
      </c>
    </row>
    <row r="328" spans="1:20" ht="15.6" x14ac:dyDescent="0.3">
      <c r="A328" s="13" t="s">
        <v>339</v>
      </c>
      <c r="B328" s="14">
        <v>45073</v>
      </c>
      <c r="C328" s="15">
        <v>45075</v>
      </c>
      <c r="D328" s="16" t="str">
        <f>TRIM('data cleaning'!$E328)</f>
        <v>Michael Li</v>
      </c>
      <c r="E328" s="17" t="s">
        <v>1099</v>
      </c>
      <c r="F328" s="17" t="str">
        <f>TRIM('data cleaning'!$G328)</f>
        <v>Consumer</v>
      </c>
      <c r="G328" s="17" t="s">
        <v>1513</v>
      </c>
      <c r="H328" s="17" t="str">
        <f>TRIM('data cleaning'!$I328)</f>
        <v>West</v>
      </c>
      <c r="I328" s="17" t="s">
        <v>1518</v>
      </c>
      <c r="J328" s="17" t="str">
        <f>TRIM('data cleaning'!$K328)</f>
        <v>Furniture</v>
      </c>
      <c r="K328" s="17" t="s">
        <v>1522</v>
      </c>
      <c r="L328" s="17" t="str">
        <f>TRIM('data cleaning'!$M328)</f>
        <v>Tables</v>
      </c>
      <c r="M328" s="17" t="s">
        <v>1529</v>
      </c>
      <c r="N328" s="17" t="str">
        <f>PROPER('data cleaning'!$O328)</f>
        <v>While Tables</v>
      </c>
      <c r="O328" s="17" t="str">
        <f>TRIM('data cleaning'!$P328)</f>
        <v>While Tables</v>
      </c>
      <c r="P328" s="17" t="s">
        <v>1850</v>
      </c>
      <c r="Q328" s="17">
        <v>2907.87</v>
      </c>
      <c r="R328" s="17">
        <v>9</v>
      </c>
      <c r="S328" s="17">
        <v>0.05</v>
      </c>
      <c r="T328" s="18">
        <v>3.45</v>
      </c>
    </row>
    <row r="329" spans="1:20" ht="15.6" x14ac:dyDescent="0.3">
      <c r="A329" s="19" t="s">
        <v>340</v>
      </c>
      <c r="B329" s="20">
        <v>45245</v>
      </c>
      <c r="C329" s="21">
        <v>45253</v>
      </c>
      <c r="D329" s="22" t="str">
        <f>TRIM('data cleaning'!$E329)</f>
        <v>Christopher Jones</v>
      </c>
      <c r="E329" s="23" t="s">
        <v>1100</v>
      </c>
      <c r="F329" s="23" t="str">
        <f>TRIM('data cleaning'!$G329)</f>
        <v>Corporate</v>
      </c>
      <c r="G329" s="23" t="s">
        <v>1514</v>
      </c>
      <c r="H329" s="23" t="str">
        <f>TRIM('data cleaning'!$I329)</f>
        <v>North</v>
      </c>
      <c r="I329" s="23" t="s">
        <v>1516</v>
      </c>
      <c r="J329" s="23" t="str">
        <f>TRIM('data cleaning'!$K329)</f>
        <v>Furniture</v>
      </c>
      <c r="K329" s="23" t="s">
        <v>1522</v>
      </c>
      <c r="L329" s="23" t="str">
        <f>TRIM('data cleaning'!$M329)</f>
        <v>Tables</v>
      </c>
      <c r="M329" s="23" t="s">
        <v>1529</v>
      </c>
      <c r="N329" s="23" t="str">
        <f>PROPER('data cleaning'!$O329)</f>
        <v>Marriage Tables</v>
      </c>
      <c r="O329" s="23" t="str">
        <f>TRIM('data cleaning'!$P329)</f>
        <v>Marriage Tables</v>
      </c>
      <c r="P329" s="23" t="s">
        <v>1851</v>
      </c>
      <c r="Q329" s="23">
        <v>2662.19</v>
      </c>
      <c r="R329" s="23">
        <v>6</v>
      </c>
      <c r="S329" s="23">
        <v>0.2</v>
      </c>
      <c r="T329" s="24">
        <v>36.61</v>
      </c>
    </row>
    <row r="330" spans="1:20" ht="15.6" x14ac:dyDescent="0.3">
      <c r="A330" s="13" t="s">
        <v>341</v>
      </c>
      <c r="B330" s="14">
        <v>45764</v>
      </c>
      <c r="C330" s="15">
        <v>45772</v>
      </c>
      <c r="D330" s="16" t="str">
        <f>TRIM('data cleaning'!$E330)</f>
        <v>Karen Thomas</v>
      </c>
      <c r="E330" s="17" t="s">
        <v>1101</v>
      </c>
      <c r="F330" s="17" t="str">
        <f>TRIM('data cleaning'!$G330)</f>
        <v>Home Office</v>
      </c>
      <c r="G330" s="17" t="s">
        <v>1515</v>
      </c>
      <c r="H330" s="17" t="str">
        <f>TRIM('data cleaning'!$I330)</f>
        <v>South</v>
      </c>
      <c r="I330" s="17" t="s">
        <v>1517</v>
      </c>
      <c r="J330" s="17" t="str">
        <f>TRIM('data cleaning'!$K330)</f>
        <v>Technology</v>
      </c>
      <c r="K330" s="17" t="s">
        <v>1521</v>
      </c>
      <c r="L330" s="17" t="str">
        <f>TRIM('data cleaning'!$M330)</f>
        <v>Accessories</v>
      </c>
      <c r="M330" s="17" t="s">
        <v>1526</v>
      </c>
      <c r="N330" s="17" t="str">
        <f>PROPER('data cleaning'!$O330)</f>
        <v>Evening Accessories</v>
      </c>
      <c r="O330" s="17" t="str">
        <f>TRIM('data cleaning'!$P330)</f>
        <v>Evening Accessories</v>
      </c>
      <c r="P330" s="17" t="s">
        <v>1852</v>
      </c>
      <c r="Q330" s="17">
        <v>3105.95</v>
      </c>
      <c r="R330" s="17">
        <v>5</v>
      </c>
      <c r="S330" s="17">
        <v>0.2</v>
      </c>
      <c r="T330" s="18">
        <v>386.98</v>
      </c>
    </row>
    <row r="331" spans="1:20" ht="15.6" x14ac:dyDescent="0.3">
      <c r="A331" s="19" t="s">
        <v>342</v>
      </c>
      <c r="B331" s="20">
        <v>45952</v>
      </c>
      <c r="C331" s="21">
        <v>45956</v>
      </c>
      <c r="D331" s="22" t="str">
        <f>TRIM('data cleaning'!$E331)</f>
        <v>Melody Freeman</v>
      </c>
      <c r="E331" s="23" t="s">
        <v>1102</v>
      </c>
      <c r="F331" s="23" t="str">
        <f>TRIM('data cleaning'!$G331)</f>
        <v>Home Office</v>
      </c>
      <c r="G331" s="23" t="s">
        <v>1515</v>
      </c>
      <c r="H331" s="23" t="str">
        <f>TRIM('data cleaning'!$I331)</f>
        <v>West</v>
      </c>
      <c r="I331" s="23" t="s">
        <v>1518</v>
      </c>
      <c r="J331" s="23" t="str">
        <f>TRIM('data cleaning'!$K331)</f>
        <v>Technology</v>
      </c>
      <c r="K331" s="23" t="s">
        <v>1521</v>
      </c>
      <c r="L331" s="23" t="str">
        <f>TRIM('data cleaning'!$M331)</f>
        <v>Phones</v>
      </c>
      <c r="M331" s="23" t="s">
        <v>1530</v>
      </c>
      <c r="N331" s="23" t="str">
        <f>PROPER('data cleaning'!$O331)</f>
        <v>Watch Phones</v>
      </c>
      <c r="O331" s="23" t="str">
        <f>TRIM('data cleaning'!$P331)</f>
        <v>Watch Phones</v>
      </c>
      <c r="P331" s="23" t="s">
        <v>1853</v>
      </c>
      <c r="Q331" s="23">
        <v>1561.63</v>
      </c>
      <c r="R331" s="23">
        <v>3</v>
      </c>
      <c r="S331" s="23">
        <v>0.1</v>
      </c>
      <c r="T331" s="24">
        <v>283.26</v>
      </c>
    </row>
    <row r="332" spans="1:20" ht="15.6" x14ac:dyDescent="0.3">
      <c r="A332" s="13" t="s">
        <v>343</v>
      </c>
      <c r="B332" s="14">
        <v>45677</v>
      </c>
      <c r="C332" s="15">
        <v>45680</v>
      </c>
      <c r="D332" s="16" t="str">
        <f>TRIM('data cleaning'!$E332)</f>
        <v>Mrs. Crystal Floyd MD</v>
      </c>
      <c r="E332" s="17" t="s">
        <v>1103</v>
      </c>
      <c r="F332" s="17" t="str">
        <f>TRIM('data cleaning'!$G332)</f>
        <v>Home Office</v>
      </c>
      <c r="G332" s="17" t="s">
        <v>1515</v>
      </c>
      <c r="H332" s="17" t="str">
        <f>TRIM('data cleaning'!$I332)</f>
        <v>South</v>
      </c>
      <c r="I332" s="17" t="s">
        <v>1517</v>
      </c>
      <c r="J332" s="17" t="str">
        <f>TRIM('data cleaning'!$K332)</f>
        <v>Technology</v>
      </c>
      <c r="K332" s="17" t="s">
        <v>1521</v>
      </c>
      <c r="L332" s="17" t="str">
        <f>TRIM('data cleaning'!$M332)</f>
        <v>Laptops</v>
      </c>
      <c r="M332" s="17" t="s">
        <v>1528</v>
      </c>
      <c r="N332" s="17" t="str">
        <f>PROPER('data cleaning'!$O332)</f>
        <v>Product Laptops</v>
      </c>
      <c r="O332" s="17" t="str">
        <f>TRIM('data cleaning'!$P332)</f>
        <v>Product Laptops</v>
      </c>
      <c r="P332" s="17" t="s">
        <v>1854</v>
      </c>
      <c r="Q332" s="17">
        <v>2895.29</v>
      </c>
      <c r="R332" s="17">
        <v>7</v>
      </c>
      <c r="S332" s="17">
        <v>0.05</v>
      </c>
      <c r="T332" s="18">
        <v>195.92</v>
      </c>
    </row>
    <row r="333" spans="1:20" ht="15.6" x14ac:dyDescent="0.3">
      <c r="A333" s="19" t="s">
        <v>344</v>
      </c>
      <c r="B333" s="20">
        <v>45184</v>
      </c>
      <c r="C333" s="21">
        <v>45192</v>
      </c>
      <c r="D333" s="22" t="str">
        <f>TRIM('data cleaning'!$E333)</f>
        <v>Danielle Morgan</v>
      </c>
      <c r="E333" s="23" t="s">
        <v>1104</v>
      </c>
      <c r="F333" s="23" t="str">
        <f>TRIM('data cleaning'!$G333)</f>
        <v>Home Office</v>
      </c>
      <c r="G333" s="23" t="s">
        <v>1515</v>
      </c>
      <c r="H333" s="23" t="str">
        <f>TRIM('data cleaning'!$I333)</f>
        <v>North</v>
      </c>
      <c r="I333" s="23" t="s">
        <v>1516</v>
      </c>
      <c r="J333" s="23" t="str">
        <f>TRIM('data cleaning'!$K333)</f>
        <v>Office Supplies</v>
      </c>
      <c r="K333" s="23" t="s">
        <v>1520</v>
      </c>
      <c r="L333" s="23" t="str">
        <f>TRIM('data cleaning'!$M333)</f>
        <v>Binders</v>
      </c>
      <c r="M333" s="23" t="s">
        <v>1523</v>
      </c>
      <c r="N333" s="23" t="str">
        <f>PROPER('data cleaning'!$O333)</f>
        <v>Difference Binders</v>
      </c>
      <c r="O333" s="23" t="str">
        <f>TRIM('data cleaning'!$P333)</f>
        <v>Difference Binders</v>
      </c>
      <c r="P333" s="23" t="s">
        <v>1855</v>
      </c>
      <c r="Q333" s="23">
        <v>1479.73</v>
      </c>
      <c r="R333" s="23">
        <v>3</v>
      </c>
      <c r="S333" s="23">
        <v>0.1</v>
      </c>
      <c r="T333" s="24">
        <v>389.3</v>
      </c>
    </row>
    <row r="334" spans="1:20" ht="15.6" x14ac:dyDescent="0.3">
      <c r="A334" s="13" t="s">
        <v>345</v>
      </c>
      <c r="B334" s="14">
        <v>46129</v>
      </c>
      <c r="C334" s="15">
        <v>46137</v>
      </c>
      <c r="D334" s="16" t="str">
        <f>TRIM('data cleaning'!$E334)</f>
        <v>Ryan Gonzalez</v>
      </c>
      <c r="E334" s="17" t="s">
        <v>1105</v>
      </c>
      <c r="F334" s="17" t="str">
        <f>TRIM('data cleaning'!$G334)</f>
        <v>Corporate</v>
      </c>
      <c r="G334" s="17" t="s">
        <v>1514</v>
      </c>
      <c r="H334" s="17" t="str">
        <f>TRIM('data cleaning'!$I334)</f>
        <v>West</v>
      </c>
      <c r="I334" s="17" t="s">
        <v>1518</v>
      </c>
      <c r="J334" s="17" t="str">
        <f>TRIM('data cleaning'!$K334)</f>
        <v>Technology</v>
      </c>
      <c r="K334" s="17" t="s">
        <v>1521</v>
      </c>
      <c r="L334" s="17" t="str">
        <f>TRIM('data cleaning'!$M334)</f>
        <v>Phones</v>
      </c>
      <c r="M334" s="17" t="s">
        <v>1530</v>
      </c>
      <c r="N334" s="17" t="str">
        <f>PROPER('data cleaning'!$O334)</f>
        <v>Often Phones</v>
      </c>
      <c r="O334" s="17" t="str">
        <f>TRIM('data cleaning'!$P334)</f>
        <v>Often Phones</v>
      </c>
      <c r="P334" s="17" t="s">
        <v>1856</v>
      </c>
      <c r="Q334" s="17">
        <v>725.85</v>
      </c>
      <c r="R334" s="17">
        <v>7</v>
      </c>
      <c r="S334" s="17">
        <v>0.2</v>
      </c>
      <c r="T334" s="18">
        <v>56.61</v>
      </c>
    </row>
    <row r="335" spans="1:20" ht="15.6" x14ac:dyDescent="0.3">
      <c r="A335" s="19" t="s">
        <v>346</v>
      </c>
      <c r="B335" s="20">
        <v>46020</v>
      </c>
      <c r="C335" s="21">
        <v>46027</v>
      </c>
      <c r="D335" s="22" t="str">
        <f>TRIM('data cleaning'!$E335)</f>
        <v>Robert Thomas</v>
      </c>
      <c r="E335" s="23" t="s">
        <v>1106</v>
      </c>
      <c r="F335" s="23" t="str">
        <f>TRIM('data cleaning'!$G335)</f>
        <v>Home Office</v>
      </c>
      <c r="G335" s="23" t="s">
        <v>1515</v>
      </c>
      <c r="H335" s="23" t="str">
        <f>TRIM('data cleaning'!$I335)</f>
        <v>North</v>
      </c>
      <c r="I335" s="23" t="s">
        <v>1516</v>
      </c>
      <c r="J335" s="23" t="str">
        <f>TRIM('data cleaning'!$K335)</f>
        <v>Office Supplies</v>
      </c>
      <c r="K335" s="23" t="s">
        <v>1520</v>
      </c>
      <c r="L335" s="23" t="str">
        <f>TRIM('data cleaning'!$M335)</f>
        <v>Paper</v>
      </c>
      <c r="M335" s="23" t="s">
        <v>1524</v>
      </c>
      <c r="N335" s="23" t="str">
        <f>PROPER('data cleaning'!$O335)</f>
        <v>Civil Paper</v>
      </c>
      <c r="O335" s="23" t="str">
        <f>TRIM('data cleaning'!$P335)</f>
        <v>Civil Paper</v>
      </c>
      <c r="P335" s="23" t="s">
        <v>1857</v>
      </c>
      <c r="Q335" s="23">
        <v>3565.2</v>
      </c>
      <c r="R335" s="23">
        <v>8</v>
      </c>
      <c r="S335" s="23">
        <v>0.15</v>
      </c>
      <c r="T335" s="24">
        <v>-385.08</v>
      </c>
    </row>
    <row r="336" spans="1:20" ht="15.6" x14ac:dyDescent="0.3">
      <c r="A336" s="13" t="s">
        <v>347</v>
      </c>
      <c r="B336" s="14">
        <v>45868</v>
      </c>
      <c r="C336" s="15">
        <v>45869</v>
      </c>
      <c r="D336" s="16" t="str">
        <f>TRIM('data cleaning'!$E336)</f>
        <v>Shannon Compton</v>
      </c>
      <c r="E336" s="17" t="s">
        <v>1107</v>
      </c>
      <c r="F336" s="17" t="str">
        <f>TRIM('data cleaning'!$G336)</f>
        <v>Corporate</v>
      </c>
      <c r="G336" s="17" t="s">
        <v>1514</v>
      </c>
      <c r="H336" s="17" t="str">
        <f>TRIM('data cleaning'!$I336)</f>
        <v>West</v>
      </c>
      <c r="I336" s="17" t="s">
        <v>1518</v>
      </c>
      <c r="J336" s="17" t="str">
        <f>TRIM('data cleaning'!$K336)</f>
        <v>Furniture</v>
      </c>
      <c r="K336" s="17" t="s">
        <v>1522</v>
      </c>
      <c r="L336" s="17" t="str">
        <f>TRIM('data cleaning'!$M336)</f>
        <v>Tables</v>
      </c>
      <c r="M336" s="17" t="s">
        <v>1529</v>
      </c>
      <c r="N336" s="17" t="str">
        <f>PROPER('data cleaning'!$O336)</f>
        <v>Available Tables</v>
      </c>
      <c r="O336" s="17" t="str">
        <f>TRIM('data cleaning'!$P336)</f>
        <v>Available Tables</v>
      </c>
      <c r="P336" s="17" t="s">
        <v>1858</v>
      </c>
      <c r="Q336" s="17">
        <v>1410.52</v>
      </c>
      <c r="R336" s="17">
        <v>9</v>
      </c>
      <c r="S336" s="17">
        <v>0.1</v>
      </c>
      <c r="T336" s="18">
        <v>-151.61000000000001</v>
      </c>
    </row>
    <row r="337" spans="1:20" ht="15.6" x14ac:dyDescent="0.3">
      <c r="A337" s="19" t="s">
        <v>348</v>
      </c>
      <c r="B337" s="20">
        <v>45386</v>
      </c>
      <c r="C337" s="21">
        <v>45388</v>
      </c>
      <c r="D337" s="22" t="str">
        <f>TRIM('data cleaning'!$E337)</f>
        <v>Benjamin Walker</v>
      </c>
      <c r="E337" s="23" t="s">
        <v>1108</v>
      </c>
      <c r="F337" s="23" t="str">
        <f>TRIM('data cleaning'!$G337)</f>
        <v>Corporate</v>
      </c>
      <c r="G337" s="23" t="s">
        <v>1514</v>
      </c>
      <c r="H337" s="23" t="str">
        <f>TRIM('data cleaning'!$I337)</f>
        <v>North</v>
      </c>
      <c r="I337" s="23" t="s">
        <v>1516</v>
      </c>
      <c r="J337" s="23" t="str">
        <f>TRIM('data cleaning'!$K337)</f>
        <v>Office Supplies</v>
      </c>
      <c r="K337" s="23" t="s">
        <v>1520</v>
      </c>
      <c r="L337" s="23" t="str">
        <f>TRIM('data cleaning'!$M337)</f>
        <v>Storage</v>
      </c>
      <c r="M337" s="23" t="s">
        <v>1525</v>
      </c>
      <c r="N337" s="23" t="str">
        <f>PROPER('data cleaning'!$O337)</f>
        <v>Interview Storage</v>
      </c>
      <c r="O337" s="23" t="str">
        <f>TRIM('data cleaning'!$P337)</f>
        <v>Interview Storage</v>
      </c>
      <c r="P337" s="23" t="s">
        <v>1859</v>
      </c>
      <c r="Q337" s="23">
        <v>2884.93</v>
      </c>
      <c r="R337" s="23">
        <v>5</v>
      </c>
      <c r="S337" s="23">
        <v>0.2</v>
      </c>
      <c r="T337" s="24">
        <v>729.33</v>
      </c>
    </row>
    <row r="338" spans="1:20" ht="15.6" x14ac:dyDescent="0.3">
      <c r="A338" s="13" t="s">
        <v>349</v>
      </c>
      <c r="B338" s="14">
        <v>45335</v>
      </c>
      <c r="C338" s="15">
        <v>45344</v>
      </c>
      <c r="D338" s="16" t="str">
        <f>TRIM('data cleaning'!$E338)</f>
        <v/>
      </c>
      <c r="E338" s="17"/>
      <c r="F338" s="17" t="str">
        <f>TRIM('data cleaning'!$G338)</f>
        <v>Home Office</v>
      </c>
      <c r="G338" s="17" t="s">
        <v>1515</v>
      </c>
      <c r="H338" s="17" t="str">
        <f>TRIM('data cleaning'!$I338)</f>
        <v>South</v>
      </c>
      <c r="I338" s="17" t="s">
        <v>1517</v>
      </c>
      <c r="J338" s="17" t="str">
        <f>TRIM('data cleaning'!$K338)</f>
        <v>Office Supplies</v>
      </c>
      <c r="K338" s="17" t="s">
        <v>1520</v>
      </c>
      <c r="L338" s="17" t="str">
        <f>TRIM('data cleaning'!$M338)</f>
        <v>Paper</v>
      </c>
      <c r="M338" s="17" t="s">
        <v>1524</v>
      </c>
      <c r="N338" s="17" t="str">
        <f>PROPER('data cleaning'!$O338)</f>
        <v>Term Paper</v>
      </c>
      <c r="O338" s="17" t="str">
        <f>TRIM('data cleaning'!$P338)</f>
        <v>Term Paper</v>
      </c>
      <c r="P338" s="17" t="s">
        <v>1860</v>
      </c>
      <c r="Q338" s="17">
        <v>1131.78</v>
      </c>
      <c r="R338" s="17">
        <v>7</v>
      </c>
      <c r="S338" s="17">
        <v>0</v>
      </c>
      <c r="T338" s="18">
        <v>231.78</v>
      </c>
    </row>
    <row r="339" spans="1:20" ht="15.6" x14ac:dyDescent="0.3">
      <c r="A339" s="19" t="s">
        <v>350</v>
      </c>
      <c r="B339" s="20">
        <v>45597</v>
      </c>
      <c r="C339" s="21">
        <v>45605</v>
      </c>
      <c r="D339" s="22" t="str">
        <f>TRIM('data cleaning'!$E339)</f>
        <v>Susan Watson</v>
      </c>
      <c r="E339" s="23" t="s">
        <v>1109</v>
      </c>
      <c r="F339" s="23" t="str">
        <f>TRIM('data cleaning'!$G339)</f>
        <v>Consumer</v>
      </c>
      <c r="G339" s="23" t="s">
        <v>1513</v>
      </c>
      <c r="H339" s="23" t="str">
        <f>TRIM('data cleaning'!$I339)</f>
        <v>South</v>
      </c>
      <c r="I339" s="23" t="s">
        <v>1517</v>
      </c>
      <c r="J339" s="23" t="str">
        <f>TRIM('data cleaning'!$K339)</f>
        <v>Technology</v>
      </c>
      <c r="K339" s="23" t="s">
        <v>1521</v>
      </c>
      <c r="L339" s="23" t="str">
        <f>TRIM('data cleaning'!$M339)</f>
        <v>Phones</v>
      </c>
      <c r="M339" s="23" t="s">
        <v>1530</v>
      </c>
      <c r="N339" s="23" t="str">
        <f>PROPER('data cleaning'!$O339)</f>
        <v>Language Phones</v>
      </c>
      <c r="O339" s="23" t="str">
        <f>TRIM('data cleaning'!$P339)</f>
        <v>Language Phones</v>
      </c>
      <c r="P339" s="23" t="s">
        <v>1861</v>
      </c>
      <c r="Q339" s="23">
        <v>1350.94</v>
      </c>
      <c r="R339" s="23">
        <v>2</v>
      </c>
      <c r="S339" s="23">
        <v>0.15</v>
      </c>
      <c r="T339" s="24">
        <v>372.74</v>
      </c>
    </row>
    <row r="340" spans="1:20" ht="15.6" x14ac:dyDescent="0.3">
      <c r="A340" s="13" t="s">
        <v>351</v>
      </c>
      <c r="B340" s="14">
        <v>45741</v>
      </c>
      <c r="C340" s="15">
        <v>45751</v>
      </c>
      <c r="D340" s="16" t="str">
        <f>TRIM('data cleaning'!$E340)</f>
        <v>Yolanda Guerra</v>
      </c>
      <c r="E340" s="17" t="s">
        <v>1110</v>
      </c>
      <c r="F340" s="17" t="str">
        <f>TRIM('data cleaning'!$G340)</f>
        <v>Home Office</v>
      </c>
      <c r="G340" s="17" t="s">
        <v>1515</v>
      </c>
      <c r="H340" s="17" t="str">
        <f>TRIM('data cleaning'!$I340)</f>
        <v>South</v>
      </c>
      <c r="I340" s="17" t="s">
        <v>1517</v>
      </c>
      <c r="J340" s="17" t="str">
        <f>TRIM('data cleaning'!$K340)</f>
        <v>Furniture</v>
      </c>
      <c r="K340" s="17" t="s">
        <v>1522</v>
      </c>
      <c r="L340" s="17" t="str">
        <f>TRIM('data cleaning'!$M340)</f>
        <v>Bookcases</v>
      </c>
      <c r="M340" s="17" t="s">
        <v>1527</v>
      </c>
      <c r="N340" s="17" t="str">
        <f>PROPER('data cleaning'!$O340)</f>
        <v>Both Bookcases</v>
      </c>
      <c r="O340" s="17" t="str">
        <f>TRIM('data cleaning'!$P340)</f>
        <v>Both Bookcases</v>
      </c>
      <c r="P340" s="17" t="s">
        <v>1862</v>
      </c>
      <c r="Q340" s="17">
        <v>3461.21</v>
      </c>
      <c r="R340" s="17">
        <v>10</v>
      </c>
      <c r="S340" s="17"/>
      <c r="T340" s="18">
        <v>122.84</v>
      </c>
    </row>
    <row r="341" spans="1:20" ht="15.6" x14ac:dyDescent="0.3">
      <c r="A341" s="19" t="s">
        <v>352</v>
      </c>
      <c r="B341" s="20">
        <v>46145</v>
      </c>
      <c r="C341" s="21">
        <v>46146</v>
      </c>
      <c r="D341" s="22" t="str">
        <f>TRIM('data cleaning'!$E341)</f>
        <v>Matthew Ryan</v>
      </c>
      <c r="E341" s="23" t="s">
        <v>1111</v>
      </c>
      <c r="F341" s="23" t="str">
        <f>TRIM('data cleaning'!$G341)</f>
        <v>Consumer</v>
      </c>
      <c r="G341" s="23" t="s">
        <v>1513</v>
      </c>
      <c r="H341" s="23" t="str">
        <f>TRIM('data cleaning'!$I341)</f>
        <v>East</v>
      </c>
      <c r="I341" s="23" t="s">
        <v>1519</v>
      </c>
      <c r="J341" s="23" t="str">
        <f>TRIM('data cleaning'!$K341)</f>
        <v>Furniture</v>
      </c>
      <c r="K341" s="23" t="s">
        <v>1522</v>
      </c>
      <c r="L341" s="23" t="str">
        <f>TRIM('data cleaning'!$M341)</f>
        <v>Chairs</v>
      </c>
      <c r="M341" s="23" t="s">
        <v>1531</v>
      </c>
      <c r="N341" s="23" t="str">
        <f>PROPER('data cleaning'!$O341)</f>
        <v>Amount Chairs</v>
      </c>
      <c r="O341" s="23" t="str">
        <f>TRIM('data cleaning'!$P341)</f>
        <v>Amount Chairs</v>
      </c>
      <c r="P341" s="23" t="s">
        <v>1863</v>
      </c>
      <c r="Q341" s="23">
        <v>2871.87</v>
      </c>
      <c r="R341" s="23">
        <v>9</v>
      </c>
      <c r="S341" s="23">
        <v>0.1</v>
      </c>
      <c r="T341" s="24">
        <v>368.38</v>
      </c>
    </row>
    <row r="342" spans="1:20" ht="15.6" x14ac:dyDescent="0.3">
      <c r="A342" s="13" t="s">
        <v>353</v>
      </c>
      <c r="B342" s="14">
        <v>45663</v>
      </c>
      <c r="C342" s="15">
        <v>45668</v>
      </c>
      <c r="D342" s="16" t="str">
        <f>TRIM('data cleaning'!$E342)</f>
        <v>Charles Gonzalez</v>
      </c>
      <c r="E342" s="17" t="s">
        <v>1112</v>
      </c>
      <c r="F342" s="17" t="str">
        <f>TRIM('data cleaning'!$G342)</f>
        <v>Consumer</v>
      </c>
      <c r="G342" s="17" t="s">
        <v>1513</v>
      </c>
      <c r="H342" s="17" t="str">
        <f>TRIM('data cleaning'!$I342)</f>
        <v>West</v>
      </c>
      <c r="I342" s="17" t="s">
        <v>1518</v>
      </c>
      <c r="J342" s="17" t="str">
        <f>TRIM('data cleaning'!$K342)</f>
        <v>Office Supplies</v>
      </c>
      <c r="K342" s="17" t="s">
        <v>1520</v>
      </c>
      <c r="L342" s="17" t="str">
        <f>TRIM('data cleaning'!$M342)</f>
        <v>Paper</v>
      </c>
      <c r="M342" s="17" t="s">
        <v>1524</v>
      </c>
      <c r="N342" s="17" t="str">
        <f>PROPER('data cleaning'!$O342)</f>
        <v>Quite Paper</v>
      </c>
      <c r="O342" s="17" t="str">
        <f>TRIM('data cleaning'!$P342)</f>
        <v>Quite Paper</v>
      </c>
      <c r="P342" s="17" t="s">
        <v>1864</v>
      </c>
      <c r="Q342" s="17">
        <v>2885.04</v>
      </c>
      <c r="R342" s="17">
        <v>9</v>
      </c>
      <c r="S342" s="17"/>
      <c r="T342" s="18">
        <v>716.5</v>
      </c>
    </row>
    <row r="343" spans="1:20" ht="15.6" x14ac:dyDescent="0.3">
      <c r="A343" s="19" t="s">
        <v>354</v>
      </c>
      <c r="B343" s="20">
        <v>45381</v>
      </c>
      <c r="C343" s="21">
        <v>45384</v>
      </c>
      <c r="D343" s="22" t="str">
        <f>TRIM('data cleaning'!$E343)</f>
        <v>James Clark</v>
      </c>
      <c r="E343" s="23" t="s">
        <v>1113</v>
      </c>
      <c r="F343" s="23" t="str">
        <f>TRIM('data cleaning'!$G343)</f>
        <v>Corporate</v>
      </c>
      <c r="G343" s="23" t="s">
        <v>1514</v>
      </c>
      <c r="H343" s="23" t="str">
        <f>TRIM('data cleaning'!$I343)</f>
        <v>South</v>
      </c>
      <c r="I343" s="23" t="s">
        <v>1517</v>
      </c>
      <c r="J343" s="23" t="str">
        <f>TRIM('data cleaning'!$K343)</f>
        <v>Furniture</v>
      </c>
      <c r="K343" s="23" t="s">
        <v>1522</v>
      </c>
      <c r="L343" s="23" t="str">
        <f>TRIM('data cleaning'!$M343)</f>
        <v>Tables</v>
      </c>
      <c r="M343" s="23" t="s">
        <v>1529</v>
      </c>
      <c r="N343" s="23" t="str">
        <f>PROPER('data cleaning'!$O343)</f>
        <v>Low Tables</v>
      </c>
      <c r="O343" s="23" t="str">
        <f>TRIM('data cleaning'!$P343)</f>
        <v>Low Tables</v>
      </c>
      <c r="P343" s="23" t="s">
        <v>1865</v>
      </c>
      <c r="Q343" s="23">
        <v>3522.06</v>
      </c>
      <c r="R343" s="23">
        <v>3</v>
      </c>
      <c r="S343" s="23">
        <v>0.05</v>
      </c>
      <c r="T343" s="24">
        <v>-421.12</v>
      </c>
    </row>
    <row r="344" spans="1:20" ht="15.6" x14ac:dyDescent="0.3">
      <c r="A344" s="13" t="s">
        <v>355</v>
      </c>
      <c r="B344" s="14">
        <v>45513</v>
      </c>
      <c r="C344" s="15">
        <v>45521</v>
      </c>
      <c r="D344" s="16" t="str">
        <f>TRIM('data cleaning'!$E344)</f>
        <v>Christie Collier</v>
      </c>
      <c r="E344" s="17" t="s">
        <v>1114</v>
      </c>
      <c r="F344" s="17" t="str">
        <f>TRIM('data cleaning'!$G344)</f>
        <v>Corporate</v>
      </c>
      <c r="G344" s="17" t="s">
        <v>1514</v>
      </c>
      <c r="H344" s="17" t="str">
        <f>TRIM('data cleaning'!$I344)</f>
        <v>North</v>
      </c>
      <c r="I344" s="17" t="s">
        <v>1516</v>
      </c>
      <c r="J344" s="17" t="str">
        <f>TRIM('data cleaning'!$K344)</f>
        <v>Office Supplies</v>
      </c>
      <c r="K344" s="17" t="s">
        <v>1520</v>
      </c>
      <c r="L344" s="17" t="str">
        <f>TRIM('data cleaning'!$M344)</f>
        <v>Paper</v>
      </c>
      <c r="M344" s="17" t="s">
        <v>1524</v>
      </c>
      <c r="N344" s="17" t="str">
        <f>PROPER('data cleaning'!$O344)</f>
        <v>Simply Paper</v>
      </c>
      <c r="O344" s="17" t="str">
        <f>TRIM('data cleaning'!$P344)</f>
        <v>Simply Paper</v>
      </c>
      <c r="P344" s="17" t="s">
        <v>1866</v>
      </c>
      <c r="Q344" s="17">
        <v>753.75</v>
      </c>
      <c r="R344" s="17">
        <v>5</v>
      </c>
      <c r="S344" s="17"/>
      <c r="T344" s="18">
        <v>20.97</v>
      </c>
    </row>
    <row r="345" spans="1:20" ht="15.6" x14ac:dyDescent="0.3">
      <c r="A345" s="19" t="s">
        <v>356</v>
      </c>
      <c r="B345" s="20">
        <v>45100</v>
      </c>
      <c r="C345" s="21">
        <v>45107</v>
      </c>
      <c r="D345" s="22" t="str">
        <f>TRIM('data cleaning'!$E345)</f>
        <v>Karen Snyder</v>
      </c>
      <c r="E345" s="23" t="s">
        <v>1115</v>
      </c>
      <c r="F345" s="23" t="str">
        <f>TRIM('data cleaning'!$G345)</f>
        <v>Corporate</v>
      </c>
      <c r="G345" s="23" t="s">
        <v>1514</v>
      </c>
      <c r="H345" s="23" t="str">
        <f>TRIM('data cleaning'!$I345)</f>
        <v>West</v>
      </c>
      <c r="I345" s="23" t="s">
        <v>1518</v>
      </c>
      <c r="J345" s="23" t="str">
        <f>TRIM('data cleaning'!$K345)</f>
        <v>Office Supplies</v>
      </c>
      <c r="K345" s="23" t="s">
        <v>1520</v>
      </c>
      <c r="L345" s="23" t="str">
        <f>TRIM('data cleaning'!$M345)</f>
        <v>Binders</v>
      </c>
      <c r="M345" s="23" t="s">
        <v>1523</v>
      </c>
      <c r="N345" s="23" t="str">
        <f>PROPER('data cleaning'!$O345)</f>
        <v>Close Binders</v>
      </c>
      <c r="O345" s="23" t="str">
        <f>TRIM('data cleaning'!$P345)</f>
        <v>Close Binders</v>
      </c>
      <c r="P345" s="23" t="s">
        <v>1867</v>
      </c>
      <c r="Q345" s="23">
        <v>2602.29</v>
      </c>
      <c r="R345" s="23">
        <v>5</v>
      </c>
      <c r="S345" s="23"/>
      <c r="T345" s="24">
        <v>819.68</v>
      </c>
    </row>
    <row r="346" spans="1:20" ht="15.6" x14ac:dyDescent="0.3">
      <c r="A346" s="13" t="s">
        <v>357</v>
      </c>
      <c r="B346" s="14">
        <v>45785</v>
      </c>
      <c r="C346" s="15">
        <v>45795</v>
      </c>
      <c r="D346" s="16" t="str">
        <f>TRIM('data cleaning'!$E346)</f>
        <v>Kathryn Potts</v>
      </c>
      <c r="E346" s="17" t="s">
        <v>1116</v>
      </c>
      <c r="F346" s="17" t="str">
        <f>TRIM('data cleaning'!$G346)</f>
        <v>Home Office</v>
      </c>
      <c r="G346" s="17" t="s">
        <v>1515</v>
      </c>
      <c r="H346" s="17" t="str">
        <f>TRIM('data cleaning'!$I346)</f>
        <v>East</v>
      </c>
      <c r="I346" s="17" t="s">
        <v>1519</v>
      </c>
      <c r="J346" s="17" t="str">
        <f>TRIM('data cleaning'!$K346)</f>
        <v>Technology</v>
      </c>
      <c r="K346" s="17" t="s">
        <v>1521</v>
      </c>
      <c r="L346" s="17" t="str">
        <f>TRIM('data cleaning'!$M346)</f>
        <v>Accessories</v>
      </c>
      <c r="M346" s="17" t="s">
        <v>1526</v>
      </c>
      <c r="N346" s="17" t="str">
        <f>PROPER('data cleaning'!$O346)</f>
        <v>Several Accessories</v>
      </c>
      <c r="O346" s="17" t="str">
        <f>TRIM('data cleaning'!$P346)</f>
        <v>Several Accessories</v>
      </c>
      <c r="P346" s="17" t="s">
        <v>1868</v>
      </c>
      <c r="Q346" s="17">
        <v>62.24</v>
      </c>
      <c r="R346" s="17">
        <v>2</v>
      </c>
      <c r="S346" s="17"/>
      <c r="T346" s="18">
        <v>20.83</v>
      </c>
    </row>
    <row r="347" spans="1:20" ht="15.6" x14ac:dyDescent="0.3">
      <c r="A347" s="19" t="s">
        <v>358</v>
      </c>
      <c r="B347" s="20">
        <v>45107</v>
      </c>
      <c r="C347" s="21">
        <v>45114</v>
      </c>
      <c r="D347" s="22" t="str">
        <f>TRIM('data cleaning'!$E347)</f>
        <v>Amber Wilson</v>
      </c>
      <c r="E347" s="23" t="s">
        <v>1117</v>
      </c>
      <c r="F347" s="23" t="str">
        <f>TRIM('data cleaning'!$G347)</f>
        <v>Corporate</v>
      </c>
      <c r="G347" s="23" t="s">
        <v>1514</v>
      </c>
      <c r="H347" s="23" t="str">
        <f>TRIM('data cleaning'!$I347)</f>
        <v>East</v>
      </c>
      <c r="I347" s="23" t="s">
        <v>1519</v>
      </c>
      <c r="J347" s="23" t="str">
        <f>TRIM('data cleaning'!$K347)</f>
        <v>Furniture</v>
      </c>
      <c r="K347" s="23" t="s">
        <v>1522</v>
      </c>
      <c r="L347" s="23" t="str">
        <f>TRIM('data cleaning'!$M347)</f>
        <v>Bookcases</v>
      </c>
      <c r="M347" s="23" t="s">
        <v>1527</v>
      </c>
      <c r="N347" s="23" t="str">
        <f>PROPER('data cleaning'!$O347)</f>
        <v>Third Bookcases</v>
      </c>
      <c r="O347" s="23" t="str">
        <f>TRIM('data cleaning'!$P347)</f>
        <v>Third Bookcases</v>
      </c>
      <c r="P347" s="23" t="s">
        <v>1869</v>
      </c>
      <c r="Q347" s="23">
        <v>1128.26</v>
      </c>
      <c r="R347" s="23">
        <v>7</v>
      </c>
      <c r="S347" s="23">
        <v>0.05</v>
      </c>
      <c r="T347" s="24">
        <v>81.34</v>
      </c>
    </row>
    <row r="348" spans="1:20" ht="15.6" x14ac:dyDescent="0.3">
      <c r="A348" s="13" t="s">
        <v>359</v>
      </c>
      <c r="B348" s="14">
        <v>45992</v>
      </c>
      <c r="C348" s="15">
        <v>46002</v>
      </c>
      <c r="D348" s="16" t="str">
        <f>TRIM('data cleaning'!$E348)</f>
        <v>Mackenzie Jimenez</v>
      </c>
      <c r="E348" s="17" t="s">
        <v>1118</v>
      </c>
      <c r="F348" s="17" t="str">
        <f>TRIM('data cleaning'!$G348)</f>
        <v>Consumer</v>
      </c>
      <c r="G348" s="17" t="s">
        <v>1513</v>
      </c>
      <c r="H348" s="17" t="str">
        <f>TRIM('data cleaning'!$I348)</f>
        <v>North</v>
      </c>
      <c r="I348" s="17" t="s">
        <v>1516</v>
      </c>
      <c r="J348" s="17" t="str">
        <f>TRIM('data cleaning'!$K348)</f>
        <v>Technology</v>
      </c>
      <c r="K348" s="17" t="s">
        <v>1521</v>
      </c>
      <c r="L348" s="17" t="str">
        <f>TRIM('data cleaning'!$M348)</f>
        <v>Laptops</v>
      </c>
      <c r="M348" s="17" t="s">
        <v>1528</v>
      </c>
      <c r="N348" s="17" t="str">
        <f>PROPER('data cleaning'!$O348)</f>
        <v>Majority Laptops</v>
      </c>
      <c r="O348" s="17" t="str">
        <f>TRIM('data cleaning'!$P348)</f>
        <v>Majority Laptops</v>
      </c>
      <c r="P348" s="17" t="s">
        <v>1870</v>
      </c>
      <c r="Q348" s="17">
        <v>696.44</v>
      </c>
      <c r="R348" s="17">
        <v>8</v>
      </c>
      <c r="S348" s="17">
        <v>0.1</v>
      </c>
      <c r="T348" s="18">
        <v>203.21</v>
      </c>
    </row>
    <row r="349" spans="1:20" ht="15.6" x14ac:dyDescent="0.3">
      <c r="A349" s="19" t="s">
        <v>360</v>
      </c>
      <c r="B349" s="20">
        <v>46163</v>
      </c>
      <c r="C349" s="21">
        <v>46171</v>
      </c>
      <c r="D349" s="22" t="str">
        <f>TRIM('data cleaning'!$E349)</f>
        <v>Kristen Smith</v>
      </c>
      <c r="E349" s="23" t="s">
        <v>1119</v>
      </c>
      <c r="F349" s="23" t="str">
        <f>TRIM('data cleaning'!$G349)</f>
        <v>Corporate</v>
      </c>
      <c r="G349" s="23" t="s">
        <v>1514</v>
      </c>
      <c r="H349" s="23" t="str">
        <f>TRIM('data cleaning'!$I349)</f>
        <v>South</v>
      </c>
      <c r="I349" s="23" t="s">
        <v>1517</v>
      </c>
      <c r="J349" s="23" t="str">
        <f>TRIM('data cleaning'!$K349)</f>
        <v>Furniture</v>
      </c>
      <c r="K349" s="23" t="s">
        <v>1522</v>
      </c>
      <c r="L349" s="23" t="str">
        <f>TRIM('data cleaning'!$M349)</f>
        <v>Bookcases</v>
      </c>
      <c r="M349" s="23" t="s">
        <v>1527</v>
      </c>
      <c r="N349" s="23" t="str">
        <f>PROPER('data cleaning'!$O349)</f>
        <v>In Bookcases</v>
      </c>
      <c r="O349" s="23" t="str">
        <f>TRIM('data cleaning'!$P349)</f>
        <v>In Bookcases</v>
      </c>
      <c r="P349" s="23" t="s">
        <v>1871</v>
      </c>
      <c r="Q349" s="23">
        <v>130.59</v>
      </c>
      <c r="R349" s="23">
        <v>3</v>
      </c>
      <c r="S349" s="23">
        <v>0.15</v>
      </c>
      <c r="T349" s="24">
        <v>6.67</v>
      </c>
    </row>
    <row r="350" spans="1:20" ht="15.6" x14ac:dyDescent="0.3">
      <c r="A350" s="13" t="s">
        <v>361</v>
      </c>
      <c r="B350" s="14">
        <v>45397</v>
      </c>
      <c r="C350" s="15">
        <v>45402</v>
      </c>
      <c r="D350" s="16" t="str">
        <f>TRIM('data cleaning'!$E350)</f>
        <v>April Jackson</v>
      </c>
      <c r="E350" s="17" t="s">
        <v>1120</v>
      </c>
      <c r="F350" s="17" t="str">
        <f>TRIM('data cleaning'!$G350)</f>
        <v>Corporate</v>
      </c>
      <c r="G350" s="17" t="s">
        <v>1514</v>
      </c>
      <c r="H350" s="17" t="str">
        <f>TRIM('data cleaning'!$I350)</f>
        <v>North</v>
      </c>
      <c r="I350" s="17" t="s">
        <v>1516</v>
      </c>
      <c r="J350" s="17" t="str">
        <f>TRIM('data cleaning'!$K350)</f>
        <v>Office Supplies</v>
      </c>
      <c r="K350" s="17" t="s">
        <v>1520</v>
      </c>
      <c r="L350" s="17" t="str">
        <f>TRIM('data cleaning'!$M350)</f>
        <v>Binders</v>
      </c>
      <c r="M350" s="17" t="s">
        <v>1523</v>
      </c>
      <c r="N350" s="17" t="str">
        <f>PROPER('data cleaning'!$O350)</f>
        <v>Message Binders</v>
      </c>
      <c r="O350" s="17" t="str">
        <f>TRIM('data cleaning'!$P350)</f>
        <v>Message Binders</v>
      </c>
      <c r="P350" s="17" t="s">
        <v>1872</v>
      </c>
      <c r="Q350" s="17">
        <v>836.94</v>
      </c>
      <c r="R350" s="17">
        <v>5</v>
      </c>
      <c r="S350" s="17">
        <v>0</v>
      </c>
      <c r="T350" s="18">
        <v>133.93</v>
      </c>
    </row>
    <row r="351" spans="1:20" ht="15.6" x14ac:dyDescent="0.3">
      <c r="A351" s="19" t="s">
        <v>362</v>
      </c>
      <c r="B351" s="20">
        <v>45820</v>
      </c>
      <c r="C351" s="21">
        <v>45823</v>
      </c>
      <c r="D351" s="22" t="str">
        <f>TRIM('data cleaning'!$E351)</f>
        <v>Jerry Fischer</v>
      </c>
      <c r="E351" s="23" t="s">
        <v>1121</v>
      </c>
      <c r="F351" s="23" t="str">
        <f>TRIM('data cleaning'!$G351)</f>
        <v>Consumer</v>
      </c>
      <c r="G351" s="23" t="s">
        <v>1513</v>
      </c>
      <c r="H351" s="23" t="str">
        <f>TRIM('data cleaning'!$I351)</f>
        <v>West</v>
      </c>
      <c r="I351" s="23" t="s">
        <v>1518</v>
      </c>
      <c r="J351" s="23" t="str">
        <f>TRIM('data cleaning'!$K351)</f>
        <v>Technology</v>
      </c>
      <c r="K351" s="23" t="s">
        <v>1521</v>
      </c>
      <c r="L351" s="23" t="str">
        <f>TRIM('data cleaning'!$M351)</f>
        <v>Laptops</v>
      </c>
      <c r="M351" s="23" t="s">
        <v>1528</v>
      </c>
      <c r="N351" s="23" t="str">
        <f>PROPER('data cleaning'!$O351)</f>
        <v>Anyone Laptops</v>
      </c>
      <c r="O351" s="23" t="str">
        <f>TRIM('data cleaning'!$P351)</f>
        <v>Anyone Laptops</v>
      </c>
      <c r="P351" s="23" t="s">
        <v>1873</v>
      </c>
      <c r="Q351" s="23">
        <v>306.35000000000002</v>
      </c>
      <c r="R351" s="23">
        <v>5</v>
      </c>
      <c r="S351" s="23"/>
      <c r="T351" s="24">
        <v>56.58</v>
      </c>
    </row>
    <row r="352" spans="1:20" ht="15.6" x14ac:dyDescent="0.3">
      <c r="A352" s="13" t="s">
        <v>363</v>
      </c>
      <c r="B352" s="14">
        <v>45516</v>
      </c>
      <c r="C352" s="15">
        <v>45518</v>
      </c>
      <c r="D352" s="16" t="str">
        <f>TRIM('data cleaning'!$E352)</f>
        <v>Timothy Daniels</v>
      </c>
      <c r="E352" s="17" t="s">
        <v>1122</v>
      </c>
      <c r="F352" s="17" t="str">
        <f>TRIM('data cleaning'!$G352)</f>
        <v>Consumer</v>
      </c>
      <c r="G352" s="17" t="s">
        <v>1513</v>
      </c>
      <c r="H352" s="17" t="str">
        <f>TRIM('data cleaning'!$I352)</f>
        <v>West</v>
      </c>
      <c r="I352" s="17" t="s">
        <v>1518</v>
      </c>
      <c r="J352" s="17" t="str">
        <f>TRIM('data cleaning'!$K352)</f>
        <v>Office Supplies</v>
      </c>
      <c r="K352" s="17" t="s">
        <v>1520</v>
      </c>
      <c r="L352" s="17" t="str">
        <f>TRIM('data cleaning'!$M352)</f>
        <v>Binders</v>
      </c>
      <c r="M352" s="17" t="s">
        <v>1523</v>
      </c>
      <c r="N352" s="17" t="str">
        <f>PROPER('data cleaning'!$O352)</f>
        <v>Seek Binders</v>
      </c>
      <c r="O352" s="17" t="str">
        <f>TRIM('data cleaning'!$P352)</f>
        <v>Seek Binders</v>
      </c>
      <c r="P352" s="17" t="s">
        <v>1874</v>
      </c>
      <c r="Q352" s="17">
        <v>55.38</v>
      </c>
      <c r="R352" s="17">
        <v>8</v>
      </c>
      <c r="S352" s="17">
        <v>0</v>
      </c>
      <c r="T352" s="18">
        <v>-7.03</v>
      </c>
    </row>
    <row r="353" spans="1:20" ht="15.6" x14ac:dyDescent="0.3">
      <c r="A353" s="19" t="s">
        <v>364</v>
      </c>
      <c r="B353" s="20">
        <v>45529</v>
      </c>
      <c r="C353" s="21">
        <v>45535</v>
      </c>
      <c r="D353" s="22" t="str">
        <f>TRIM('data cleaning'!$E353)</f>
        <v>Ryan Williams</v>
      </c>
      <c r="E353" s="23" t="s">
        <v>1123</v>
      </c>
      <c r="F353" s="23" t="str">
        <f>TRIM('data cleaning'!$G353)</f>
        <v>Consumer</v>
      </c>
      <c r="G353" s="23" t="s">
        <v>1513</v>
      </c>
      <c r="H353" s="23" t="str">
        <f>TRIM('data cleaning'!$I353)</f>
        <v>South</v>
      </c>
      <c r="I353" s="23" t="s">
        <v>1517</v>
      </c>
      <c r="J353" s="23" t="str">
        <f>TRIM('data cleaning'!$K353)</f>
        <v>Furniture</v>
      </c>
      <c r="K353" s="23" t="s">
        <v>1522</v>
      </c>
      <c r="L353" s="23" t="str">
        <f>TRIM('data cleaning'!$M353)</f>
        <v>Chairs</v>
      </c>
      <c r="M353" s="23" t="s">
        <v>1531</v>
      </c>
      <c r="N353" s="23" t="str">
        <f>PROPER('data cleaning'!$O353)</f>
        <v>Whose Chairs</v>
      </c>
      <c r="O353" s="23" t="str">
        <f>TRIM('data cleaning'!$P353)</f>
        <v>Whose Chairs</v>
      </c>
      <c r="P353" s="23" t="s">
        <v>1875</v>
      </c>
      <c r="Q353" s="23">
        <v>4094.69</v>
      </c>
      <c r="R353" s="23">
        <v>7</v>
      </c>
      <c r="S353" s="23"/>
      <c r="T353" s="24">
        <v>-521.27</v>
      </c>
    </row>
    <row r="354" spans="1:20" ht="15.6" x14ac:dyDescent="0.3">
      <c r="A354" s="13" t="s">
        <v>365</v>
      </c>
      <c r="B354" s="14">
        <v>45943</v>
      </c>
      <c r="C354" s="15">
        <v>45945</v>
      </c>
      <c r="D354" s="16" t="str">
        <f>TRIM('data cleaning'!$E354)</f>
        <v>Alicia King</v>
      </c>
      <c r="E354" s="17" t="s">
        <v>1124</v>
      </c>
      <c r="F354" s="17" t="str">
        <f>TRIM('data cleaning'!$G354)</f>
        <v>Consumer</v>
      </c>
      <c r="G354" s="17" t="s">
        <v>1513</v>
      </c>
      <c r="H354" s="17" t="str">
        <f>TRIM('data cleaning'!$I354)</f>
        <v>South</v>
      </c>
      <c r="I354" s="17" t="s">
        <v>1517</v>
      </c>
      <c r="J354" s="17" t="str">
        <f>TRIM('data cleaning'!$K354)</f>
        <v>Technology</v>
      </c>
      <c r="K354" s="17" t="s">
        <v>1521</v>
      </c>
      <c r="L354" s="17" t="str">
        <f>TRIM('data cleaning'!$M354)</f>
        <v>Phones</v>
      </c>
      <c r="M354" s="17" t="s">
        <v>1530</v>
      </c>
      <c r="N354" s="17" t="str">
        <f>PROPER('data cleaning'!$O354)</f>
        <v>Lay Phones</v>
      </c>
      <c r="O354" s="17" t="str">
        <f>TRIM('data cleaning'!$P354)</f>
        <v>Lay Phones</v>
      </c>
      <c r="P354" s="17" t="s">
        <v>1876</v>
      </c>
      <c r="Q354" s="17">
        <v>560.85</v>
      </c>
      <c r="R354" s="17">
        <v>6</v>
      </c>
      <c r="S354" s="17">
        <v>0.1</v>
      </c>
      <c r="T354" s="18">
        <v>-69.87</v>
      </c>
    </row>
    <row r="355" spans="1:20" ht="15.6" x14ac:dyDescent="0.3">
      <c r="A355" s="19" t="s">
        <v>366</v>
      </c>
      <c r="B355" s="20">
        <v>45192</v>
      </c>
      <c r="C355" s="21">
        <v>45202</v>
      </c>
      <c r="D355" s="22" t="str">
        <f>TRIM('data cleaning'!$E355)</f>
        <v>Christopher Kim</v>
      </c>
      <c r="E355" s="23" t="s">
        <v>1125</v>
      </c>
      <c r="F355" s="23" t="str">
        <f>TRIM('data cleaning'!$G355)</f>
        <v>Consumer</v>
      </c>
      <c r="G355" s="23" t="s">
        <v>1513</v>
      </c>
      <c r="H355" s="23" t="str">
        <f>TRIM('data cleaning'!$I355)</f>
        <v/>
      </c>
      <c r="I355" s="23"/>
      <c r="J355" s="23" t="str">
        <f>TRIM('data cleaning'!$K355)</f>
        <v>Furniture</v>
      </c>
      <c r="K355" s="23" t="s">
        <v>1522</v>
      </c>
      <c r="L355" s="23" t="str">
        <f>TRIM('data cleaning'!$M355)</f>
        <v>Bookcases</v>
      </c>
      <c r="M355" s="23" t="s">
        <v>1527</v>
      </c>
      <c r="N355" s="23" t="str">
        <f>PROPER('data cleaning'!$O355)</f>
        <v>Agency Bookcases</v>
      </c>
      <c r="O355" s="23" t="str">
        <f>TRIM('data cleaning'!$P355)</f>
        <v>Agency Bookcases</v>
      </c>
      <c r="P355" s="23" t="s">
        <v>1877</v>
      </c>
      <c r="Q355" s="23">
        <v>91.95</v>
      </c>
      <c r="R355" s="23">
        <v>3</v>
      </c>
      <c r="S355" s="23">
        <v>0.15</v>
      </c>
      <c r="T355" s="24">
        <v>-0.63</v>
      </c>
    </row>
    <row r="356" spans="1:20" ht="15.6" x14ac:dyDescent="0.3">
      <c r="A356" s="13" t="s">
        <v>367</v>
      </c>
      <c r="B356" s="14">
        <v>45935</v>
      </c>
      <c r="C356" s="15">
        <v>45943</v>
      </c>
      <c r="D356" s="16" t="str">
        <f>TRIM('data cleaning'!$E356)</f>
        <v>Cynthia Hernandez</v>
      </c>
      <c r="E356" s="17" t="s">
        <v>1126</v>
      </c>
      <c r="F356" s="17" t="str">
        <f>TRIM('data cleaning'!$G356)</f>
        <v>Consumer</v>
      </c>
      <c r="G356" s="17" t="s">
        <v>1513</v>
      </c>
      <c r="H356" s="17" t="str">
        <f>TRIM('data cleaning'!$I356)</f>
        <v>West</v>
      </c>
      <c r="I356" s="17" t="s">
        <v>1518</v>
      </c>
      <c r="J356" s="17" t="str">
        <f>TRIM('data cleaning'!$K356)</f>
        <v>Technology</v>
      </c>
      <c r="K356" s="17" t="s">
        <v>1521</v>
      </c>
      <c r="L356" s="17" t="str">
        <f>TRIM('data cleaning'!$M356)</f>
        <v>Laptops</v>
      </c>
      <c r="M356" s="17" t="s">
        <v>1528</v>
      </c>
      <c r="N356" s="17" t="str">
        <f>PROPER('data cleaning'!$O356)</f>
        <v>Community Laptops</v>
      </c>
      <c r="O356" s="17" t="str">
        <f>TRIM('data cleaning'!$P356)</f>
        <v>Community Laptops</v>
      </c>
      <c r="P356" s="17" t="s">
        <v>1878</v>
      </c>
      <c r="Q356" s="17">
        <v>4306.8100000000004</v>
      </c>
      <c r="R356" s="17">
        <v>2</v>
      </c>
      <c r="S356" s="17">
        <v>0</v>
      </c>
      <c r="T356" s="18">
        <v>-529.71</v>
      </c>
    </row>
    <row r="357" spans="1:20" ht="15.6" x14ac:dyDescent="0.3">
      <c r="A357" s="19" t="s">
        <v>368</v>
      </c>
      <c r="B357" s="20">
        <v>46097</v>
      </c>
      <c r="C357" s="21">
        <v>46103</v>
      </c>
      <c r="D357" s="22" t="str">
        <f>TRIM('data cleaning'!$E357)</f>
        <v>Zachary Bishop</v>
      </c>
      <c r="E357" s="23" t="s">
        <v>1127</v>
      </c>
      <c r="F357" s="23" t="str">
        <f>TRIM('data cleaning'!$G357)</f>
        <v>Consumer</v>
      </c>
      <c r="G357" s="23" t="s">
        <v>1513</v>
      </c>
      <c r="H357" s="23" t="str">
        <f>TRIM('data cleaning'!$I357)</f>
        <v>East</v>
      </c>
      <c r="I357" s="23" t="s">
        <v>1519</v>
      </c>
      <c r="J357" s="23" t="str">
        <f>TRIM('data cleaning'!$K357)</f>
        <v>Technology</v>
      </c>
      <c r="K357" s="23" t="s">
        <v>1521</v>
      </c>
      <c r="L357" s="23" t="str">
        <f>TRIM('data cleaning'!$M357)</f>
        <v>Accessories</v>
      </c>
      <c r="M357" s="23" t="s">
        <v>1526</v>
      </c>
      <c r="N357" s="23" t="str">
        <f>PROPER('data cleaning'!$O357)</f>
        <v>Continue Accessories</v>
      </c>
      <c r="O357" s="23" t="str">
        <f>TRIM('data cleaning'!$P357)</f>
        <v>Continue Accessories</v>
      </c>
      <c r="P357" s="23" t="s">
        <v>1879</v>
      </c>
      <c r="Q357" s="23">
        <v>3965.83</v>
      </c>
      <c r="R357" s="23">
        <v>4</v>
      </c>
      <c r="S357" s="23">
        <v>0.1</v>
      </c>
      <c r="T357" s="24">
        <v>612.88</v>
      </c>
    </row>
    <row r="358" spans="1:20" ht="15.6" x14ac:dyDescent="0.3">
      <c r="A358" s="13" t="s">
        <v>369</v>
      </c>
      <c r="B358" s="14">
        <v>45773</v>
      </c>
      <c r="C358" s="15">
        <v>45778</v>
      </c>
      <c r="D358" s="16" t="str">
        <f>TRIM('data cleaning'!$E358)</f>
        <v>Rhonda Woods</v>
      </c>
      <c r="E358" s="17" t="s">
        <v>1128</v>
      </c>
      <c r="F358" s="17" t="str">
        <f>TRIM('data cleaning'!$G358)</f>
        <v>Corporate</v>
      </c>
      <c r="G358" s="17" t="s">
        <v>1514</v>
      </c>
      <c r="H358" s="17" t="str">
        <f>TRIM('data cleaning'!$I358)</f>
        <v>East</v>
      </c>
      <c r="I358" s="17" t="s">
        <v>1519</v>
      </c>
      <c r="J358" s="17" t="str">
        <f>TRIM('data cleaning'!$K358)</f>
        <v>Office Supplies</v>
      </c>
      <c r="K358" s="17" t="s">
        <v>1520</v>
      </c>
      <c r="L358" s="17" t="str">
        <f>TRIM('data cleaning'!$M358)</f>
        <v>Binders</v>
      </c>
      <c r="M358" s="17" t="s">
        <v>1523</v>
      </c>
      <c r="N358" s="17" t="str">
        <f>PROPER('data cleaning'!$O358)</f>
        <v>Watch Binders</v>
      </c>
      <c r="O358" s="17" t="str">
        <f>TRIM('data cleaning'!$P358)</f>
        <v>Watch Binders</v>
      </c>
      <c r="P358" s="17" t="s">
        <v>1880</v>
      </c>
      <c r="Q358" s="17">
        <v>1066.96</v>
      </c>
      <c r="R358" s="17">
        <v>10</v>
      </c>
      <c r="S358" s="17">
        <v>0.2</v>
      </c>
      <c r="T358" s="18">
        <v>-102.69</v>
      </c>
    </row>
    <row r="359" spans="1:20" ht="15.6" x14ac:dyDescent="0.3">
      <c r="A359" s="19" t="s">
        <v>370</v>
      </c>
      <c r="B359" s="20">
        <v>45168</v>
      </c>
      <c r="C359" s="21">
        <v>45172</v>
      </c>
      <c r="D359" s="22" t="str">
        <f>TRIM('data cleaning'!$E359)</f>
        <v/>
      </c>
      <c r="E359" s="23"/>
      <c r="F359" s="23" t="str">
        <f>TRIM('data cleaning'!$G359)</f>
        <v>Home Office</v>
      </c>
      <c r="G359" s="23" t="s">
        <v>1515</v>
      </c>
      <c r="H359" s="23" t="str">
        <f>TRIM('data cleaning'!$I359)</f>
        <v>North</v>
      </c>
      <c r="I359" s="23" t="s">
        <v>1516</v>
      </c>
      <c r="J359" s="23" t="str">
        <f>TRIM('data cleaning'!$K359)</f>
        <v>Office Supplies</v>
      </c>
      <c r="K359" s="23" t="s">
        <v>1520</v>
      </c>
      <c r="L359" s="23" t="str">
        <f>TRIM('data cleaning'!$M359)</f>
        <v>Binders</v>
      </c>
      <c r="M359" s="23" t="s">
        <v>1523</v>
      </c>
      <c r="N359" s="23" t="str">
        <f>PROPER('data cleaning'!$O359)</f>
        <v>Thing Binders</v>
      </c>
      <c r="O359" s="23" t="str">
        <f>TRIM('data cleaning'!$P359)</f>
        <v>Thing Binders</v>
      </c>
      <c r="P359" s="23" t="s">
        <v>1881</v>
      </c>
      <c r="Q359" s="23">
        <v>2499.69</v>
      </c>
      <c r="R359" s="23">
        <v>2</v>
      </c>
      <c r="S359" s="23">
        <v>0.05</v>
      </c>
      <c r="T359" s="24">
        <v>186.9</v>
      </c>
    </row>
    <row r="360" spans="1:20" ht="15.6" x14ac:dyDescent="0.3">
      <c r="A360" s="13" t="s">
        <v>371</v>
      </c>
      <c r="B360" s="14">
        <v>45191</v>
      </c>
      <c r="C360" s="15">
        <v>45197</v>
      </c>
      <c r="D360" s="16" t="str">
        <f>TRIM('data cleaning'!$E360)</f>
        <v>Joshua Costa</v>
      </c>
      <c r="E360" s="17" t="s">
        <v>1129</v>
      </c>
      <c r="F360" s="17" t="str">
        <f>TRIM('data cleaning'!$G360)</f>
        <v>Home Office</v>
      </c>
      <c r="G360" s="17" t="s">
        <v>1515</v>
      </c>
      <c r="H360" s="17" t="str">
        <f>TRIM('data cleaning'!$I360)</f>
        <v>West</v>
      </c>
      <c r="I360" s="17" t="s">
        <v>1518</v>
      </c>
      <c r="J360" s="17" t="str">
        <f>TRIM('data cleaning'!$K360)</f>
        <v>Office Supplies</v>
      </c>
      <c r="K360" s="17" t="s">
        <v>1520</v>
      </c>
      <c r="L360" s="17" t="str">
        <f>TRIM('data cleaning'!$M360)</f>
        <v>Binders</v>
      </c>
      <c r="M360" s="17" t="s">
        <v>1523</v>
      </c>
      <c r="N360" s="17" t="str">
        <f>PROPER('data cleaning'!$O360)</f>
        <v>End Binders</v>
      </c>
      <c r="O360" s="17" t="str">
        <f>TRIM('data cleaning'!$P360)</f>
        <v>End Binders</v>
      </c>
      <c r="P360" s="17" t="s">
        <v>1882</v>
      </c>
      <c r="Q360" s="17">
        <v>4672.93</v>
      </c>
      <c r="R360" s="17">
        <v>3</v>
      </c>
      <c r="S360" s="17">
        <v>0.15</v>
      </c>
      <c r="T360" s="18">
        <v>1277.8</v>
      </c>
    </row>
    <row r="361" spans="1:20" ht="15.6" x14ac:dyDescent="0.3">
      <c r="A361" s="19" t="s">
        <v>372</v>
      </c>
      <c r="B361" s="20">
        <v>45366</v>
      </c>
      <c r="C361" s="21">
        <v>45369</v>
      </c>
      <c r="D361" s="22" t="str">
        <f>TRIM('data cleaning'!$E361)</f>
        <v>Eric Higgins</v>
      </c>
      <c r="E361" s="23" t="s">
        <v>1130</v>
      </c>
      <c r="F361" s="23" t="str">
        <f>TRIM('data cleaning'!$G361)</f>
        <v>Consumer</v>
      </c>
      <c r="G361" s="23" t="s">
        <v>1513</v>
      </c>
      <c r="H361" s="23" t="str">
        <f>TRIM('data cleaning'!$I361)</f>
        <v>East</v>
      </c>
      <c r="I361" s="23" t="s">
        <v>1519</v>
      </c>
      <c r="J361" s="23" t="str">
        <f>TRIM('data cleaning'!$K361)</f>
        <v>Technology</v>
      </c>
      <c r="K361" s="23" t="s">
        <v>1521</v>
      </c>
      <c r="L361" s="23" t="str">
        <f>TRIM('data cleaning'!$M361)</f>
        <v>Laptops</v>
      </c>
      <c r="M361" s="23" t="s">
        <v>1528</v>
      </c>
      <c r="N361" s="23" t="str">
        <f>PROPER('data cleaning'!$O361)</f>
        <v>Rather Laptops</v>
      </c>
      <c r="O361" s="23" t="str">
        <f>TRIM('data cleaning'!$P361)</f>
        <v>Rather Laptops</v>
      </c>
      <c r="P361" s="23" t="s">
        <v>1846</v>
      </c>
      <c r="Q361" s="23">
        <v>3825.49</v>
      </c>
      <c r="R361" s="23">
        <v>2</v>
      </c>
      <c r="S361" s="23">
        <v>0</v>
      </c>
      <c r="T361" s="24">
        <v>470.73</v>
      </c>
    </row>
    <row r="362" spans="1:20" ht="15.6" x14ac:dyDescent="0.3">
      <c r="A362" s="13" t="s">
        <v>373</v>
      </c>
      <c r="B362" s="14">
        <v>45724</v>
      </c>
      <c r="C362" s="15">
        <v>45725</v>
      </c>
      <c r="D362" s="16" t="str">
        <f>TRIM('data cleaning'!$E362)</f>
        <v>Robert Porter</v>
      </c>
      <c r="E362" s="17" t="s">
        <v>1131</v>
      </c>
      <c r="F362" s="17" t="str">
        <f>TRIM('data cleaning'!$G362)</f>
        <v>Home Office</v>
      </c>
      <c r="G362" s="17" t="s">
        <v>1515</v>
      </c>
      <c r="H362" s="17" t="str">
        <f>TRIM('data cleaning'!$I362)</f>
        <v/>
      </c>
      <c r="I362" s="17"/>
      <c r="J362" s="17" t="str">
        <f>TRIM('data cleaning'!$K362)</f>
        <v>Furniture</v>
      </c>
      <c r="K362" s="17" t="s">
        <v>1522</v>
      </c>
      <c r="L362" s="17" t="str">
        <f>TRIM('data cleaning'!$M362)</f>
        <v>Chairs</v>
      </c>
      <c r="M362" s="17" t="s">
        <v>1531</v>
      </c>
      <c r="N362" s="17" t="str">
        <f>PROPER('data cleaning'!$O362)</f>
        <v>Word Chairs</v>
      </c>
      <c r="O362" s="17" t="str">
        <f>TRIM('data cleaning'!$P362)</f>
        <v>Word Chairs</v>
      </c>
      <c r="P362" s="17" t="s">
        <v>1883</v>
      </c>
      <c r="Q362" s="17">
        <v>4745.97</v>
      </c>
      <c r="R362" s="17">
        <v>7</v>
      </c>
      <c r="S362" s="17">
        <v>0.2</v>
      </c>
      <c r="T362" s="18">
        <v>-201.38</v>
      </c>
    </row>
    <row r="363" spans="1:20" ht="15.6" x14ac:dyDescent="0.3">
      <c r="A363" s="19" t="s">
        <v>374</v>
      </c>
      <c r="B363" s="20">
        <v>46009</v>
      </c>
      <c r="C363" s="21">
        <v>46016</v>
      </c>
      <c r="D363" s="22" t="str">
        <f>TRIM('data cleaning'!$E363)</f>
        <v>Belinda Wells</v>
      </c>
      <c r="E363" s="23" t="s">
        <v>1132</v>
      </c>
      <c r="F363" s="23" t="str">
        <f>TRIM('data cleaning'!$G363)</f>
        <v>Corporate</v>
      </c>
      <c r="G363" s="23" t="s">
        <v>1514</v>
      </c>
      <c r="H363" s="23" t="str">
        <f>TRIM('data cleaning'!$I363)</f>
        <v>North</v>
      </c>
      <c r="I363" s="23" t="s">
        <v>1516</v>
      </c>
      <c r="J363" s="23" t="str">
        <f>TRIM('data cleaning'!$K363)</f>
        <v>Technology</v>
      </c>
      <c r="K363" s="23" t="s">
        <v>1521</v>
      </c>
      <c r="L363" s="23" t="str">
        <f>TRIM('data cleaning'!$M363)</f>
        <v>Laptops</v>
      </c>
      <c r="M363" s="23" t="s">
        <v>1528</v>
      </c>
      <c r="N363" s="23" t="str">
        <f>PROPER('data cleaning'!$O363)</f>
        <v>Black Laptops</v>
      </c>
      <c r="O363" s="23" t="str">
        <f>TRIM('data cleaning'!$P363)</f>
        <v>Black Laptops</v>
      </c>
      <c r="P363" s="23" t="s">
        <v>1884</v>
      </c>
      <c r="Q363" s="23">
        <v>458.02</v>
      </c>
      <c r="R363" s="23">
        <v>9</v>
      </c>
      <c r="S363" s="23">
        <v>0.2</v>
      </c>
      <c r="T363" s="24">
        <v>63.59</v>
      </c>
    </row>
    <row r="364" spans="1:20" ht="15.6" x14ac:dyDescent="0.3">
      <c r="A364" s="13" t="s">
        <v>375</v>
      </c>
      <c r="B364" s="14" t="s">
        <v>771</v>
      </c>
      <c r="C364" s="15">
        <v>46000</v>
      </c>
      <c r="D364" s="16" t="str">
        <f>TRIM('data cleaning'!$E364)</f>
        <v>Jeremiah Bond</v>
      </c>
      <c r="E364" s="17" t="s">
        <v>1133</v>
      </c>
      <c r="F364" s="17" t="str">
        <f>TRIM('data cleaning'!$G364)</f>
        <v>Home Office</v>
      </c>
      <c r="G364" s="17" t="s">
        <v>1515</v>
      </c>
      <c r="H364" s="17" t="str">
        <f>TRIM('data cleaning'!$I364)</f>
        <v>North</v>
      </c>
      <c r="I364" s="17" t="s">
        <v>1516</v>
      </c>
      <c r="J364" s="17" t="str">
        <f>TRIM('data cleaning'!$K364)</f>
        <v>Technology</v>
      </c>
      <c r="K364" s="17" t="s">
        <v>1521</v>
      </c>
      <c r="L364" s="17" t="str">
        <f>TRIM('data cleaning'!$M364)</f>
        <v>Phones</v>
      </c>
      <c r="M364" s="17" t="s">
        <v>1530</v>
      </c>
      <c r="N364" s="17" t="str">
        <f>PROPER('data cleaning'!$O364)</f>
        <v>Already Phones</v>
      </c>
      <c r="O364" s="17" t="str">
        <f>TRIM('data cleaning'!$P364)</f>
        <v>Already Phones</v>
      </c>
      <c r="P364" s="17" t="s">
        <v>1885</v>
      </c>
      <c r="Q364" s="17">
        <v>4608.58</v>
      </c>
      <c r="R364" s="17">
        <v>3</v>
      </c>
      <c r="S364" s="17">
        <v>0.2</v>
      </c>
      <c r="T364" s="18">
        <v>-93.5</v>
      </c>
    </row>
    <row r="365" spans="1:20" ht="15.6" x14ac:dyDescent="0.3">
      <c r="A365" s="19" t="s">
        <v>376</v>
      </c>
      <c r="B365" s="20">
        <v>45869</v>
      </c>
      <c r="C365" s="21">
        <v>45876</v>
      </c>
      <c r="D365" s="22" t="str">
        <f>TRIM('data cleaning'!$E365)</f>
        <v>Marie Mendoza</v>
      </c>
      <c r="E365" s="23" t="s">
        <v>1134</v>
      </c>
      <c r="F365" s="23" t="str">
        <f>TRIM('data cleaning'!$G365)</f>
        <v>Corporate</v>
      </c>
      <c r="G365" s="23" t="s">
        <v>1514</v>
      </c>
      <c r="H365" s="23" t="str">
        <f>TRIM('data cleaning'!$I365)</f>
        <v>North</v>
      </c>
      <c r="I365" s="23" t="s">
        <v>1516</v>
      </c>
      <c r="J365" s="23" t="str">
        <f>TRIM('data cleaning'!$K365)</f>
        <v>Technology</v>
      </c>
      <c r="K365" s="23" t="s">
        <v>1521</v>
      </c>
      <c r="L365" s="23" t="str">
        <f>TRIM('data cleaning'!$M365)</f>
        <v>Laptops</v>
      </c>
      <c r="M365" s="23" t="s">
        <v>1528</v>
      </c>
      <c r="N365" s="23" t="str">
        <f>PROPER('data cleaning'!$O365)</f>
        <v>Lot Laptops</v>
      </c>
      <c r="O365" s="23" t="str">
        <f>TRIM('data cleaning'!$P365)</f>
        <v>Lot Laptops</v>
      </c>
      <c r="P365" s="23" t="s">
        <v>1886</v>
      </c>
      <c r="Q365" s="23">
        <v>3663.29</v>
      </c>
      <c r="R365" s="23">
        <v>4</v>
      </c>
      <c r="S365" s="23">
        <v>0</v>
      </c>
      <c r="T365" s="24">
        <v>-240.08</v>
      </c>
    </row>
    <row r="366" spans="1:20" ht="15.6" x14ac:dyDescent="0.3">
      <c r="A366" s="13" t="s">
        <v>377</v>
      </c>
      <c r="B366" s="14">
        <v>45321</v>
      </c>
      <c r="C366" s="15">
        <v>45331</v>
      </c>
      <c r="D366" s="16" t="str">
        <f>TRIM('data cleaning'!$E366)</f>
        <v>Savannah Jackson</v>
      </c>
      <c r="E366" s="17" t="s">
        <v>1135</v>
      </c>
      <c r="F366" s="17" t="str">
        <f>TRIM('data cleaning'!$G366)</f>
        <v>Consumer</v>
      </c>
      <c r="G366" s="17" t="s">
        <v>1513</v>
      </c>
      <c r="H366" s="17" t="str">
        <f>TRIM('data cleaning'!$I366)</f>
        <v>North</v>
      </c>
      <c r="I366" s="17" t="s">
        <v>1516</v>
      </c>
      <c r="J366" s="17" t="str">
        <f>TRIM('data cleaning'!$K366)</f>
        <v>Technology</v>
      </c>
      <c r="K366" s="17" t="s">
        <v>1521</v>
      </c>
      <c r="L366" s="17" t="str">
        <f>TRIM('data cleaning'!$M366)</f>
        <v>Laptops</v>
      </c>
      <c r="M366" s="17" t="s">
        <v>1528</v>
      </c>
      <c r="N366" s="17" t="str">
        <f>PROPER('data cleaning'!$O366)</f>
        <v>Challenge Laptops</v>
      </c>
      <c r="O366" s="17" t="str">
        <f>TRIM('data cleaning'!$P366)</f>
        <v>Challenge Laptops</v>
      </c>
      <c r="P366" s="17" t="s">
        <v>1887</v>
      </c>
      <c r="Q366" s="17">
        <v>322.39</v>
      </c>
      <c r="R366" s="17">
        <v>3</v>
      </c>
      <c r="S366" s="17">
        <v>0</v>
      </c>
      <c r="T366" s="18">
        <v>-62.23</v>
      </c>
    </row>
    <row r="367" spans="1:20" ht="15.6" x14ac:dyDescent="0.3">
      <c r="A367" s="19" t="s">
        <v>378</v>
      </c>
      <c r="B367" s="20">
        <v>45769</v>
      </c>
      <c r="C367" s="21">
        <v>45775</v>
      </c>
      <c r="D367" s="22" t="str">
        <f>TRIM('data cleaning'!$E367)</f>
        <v>Elizabeth Walker</v>
      </c>
      <c r="E367" s="23" t="s">
        <v>1136</v>
      </c>
      <c r="F367" s="23" t="str">
        <f>TRIM('data cleaning'!$G367)</f>
        <v>Home Office</v>
      </c>
      <c r="G367" s="23" t="s">
        <v>1515</v>
      </c>
      <c r="H367" s="23" t="str">
        <f>TRIM('data cleaning'!$I367)</f>
        <v>East</v>
      </c>
      <c r="I367" s="23" t="s">
        <v>1519</v>
      </c>
      <c r="J367" s="23" t="str">
        <f>TRIM('data cleaning'!$K367)</f>
        <v>Furniture</v>
      </c>
      <c r="K367" s="23" t="s">
        <v>1522</v>
      </c>
      <c r="L367" s="23" t="str">
        <f>TRIM('data cleaning'!$M367)</f>
        <v>Tables</v>
      </c>
      <c r="M367" s="23" t="s">
        <v>1529</v>
      </c>
      <c r="N367" s="23" t="str">
        <f>PROPER('data cleaning'!$O367)</f>
        <v>Lay Tables</v>
      </c>
      <c r="O367" s="23" t="str">
        <f>TRIM('data cleaning'!$P367)</f>
        <v>Lay Tables</v>
      </c>
      <c r="P367" s="23" t="s">
        <v>1888</v>
      </c>
      <c r="Q367" s="23">
        <v>2638.88</v>
      </c>
      <c r="R367" s="23">
        <v>5</v>
      </c>
      <c r="S367" s="23">
        <v>0.05</v>
      </c>
      <c r="T367" s="24">
        <v>11.95</v>
      </c>
    </row>
    <row r="368" spans="1:20" ht="15.6" x14ac:dyDescent="0.3">
      <c r="A368" s="13" t="s">
        <v>379</v>
      </c>
      <c r="B368" s="14">
        <v>45722</v>
      </c>
      <c r="C368" s="15">
        <v>45723</v>
      </c>
      <c r="D368" s="16" t="str">
        <f>TRIM('data cleaning'!$E368)</f>
        <v>Melissa Taylor</v>
      </c>
      <c r="E368" s="17" t="s">
        <v>1137</v>
      </c>
      <c r="F368" s="17" t="str">
        <f>TRIM('data cleaning'!$G368)</f>
        <v>Corporate</v>
      </c>
      <c r="G368" s="17" t="s">
        <v>1514</v>
      </c>
      <c r="H368" s="17" t="str">
        <f>TRIM('data cleaning'!$I368)</f>
        <v>North</v>
      </c>
      <c r="I368" s="17" t="s">
        <v>1516</v>
      </c>
      <c r="J368" s="17" t="str">
        <f>TRIM('data cleaning'!$K368)</f>
        <v>Office Supplies</v>
      </c>
      <c r="K368" s="17" t="s">
        <v>1520</v>
      </c>
      <c r="L368" s="17" t="str">
        <f>TRIM('data cleaning'!$M368)</f>
        <v>Binders</v>
      </c>
      <c r="M368" s="17" t="s">
        <v>1523</v>
      </c>
      <c r="N368" s="17" t="str">
        <f>PROPER('data cleaning'!$O368)</f>
        <v>Affect Binders</v>
      </c>
      <c r="O368" s="17" t="str">
        <f>TRIM('data cleaning'!$P368)</f>
        <v>Affect Binders</v>
      </c>
      <c r="P368" s="17" t="s">
        <v>1889</v>
      </c>
      <c r="Q368" s="17">
        <v>1708.3</v>
      </c>
      <c r="R368" s="17">
        <v>7</v>
      </c>
      <c r="S368" s="17">
        <v>0.1</v>
      </c>
      <c r="T368" s="18">
        <v>150.54</v>
      </c>
    </row>
    <row r="369" spans="1:20" ht="15.6" x14ac:dyDescent="0.3">
      <c r="A369" s="19" t="s">
        <v>380</v>
      </c>
      <c r="B369" s="20">
        <v>45586</v>
      </c>
      <c r="C369" s="21">
        <v>45595</v>
      </c>
      <c r="D369" s="22" t="str">
        <f>TRIM('data cleaning'!$E369)</f>
        <v>Samuel Wang</v>
      </c>
      <c r="E369" s="23" t="s">
        <v>1138</v>
      </c>
      <c r="F369" s="23" t="str">
        <f>TRIM('data cleaning'!$G369)</f>
        <v>Consumer</v>
      </c>
      <c r="G369" s="23" t="s">
        <v>1513</v>
      </c>
      <c r="H369" s="23" t="str">
        <f>TRIM('data cleaning'!$I369)</f>
        <v>East</v>
      </c>
      <c r="I369" s="23" t="s">
        <v>1519</v>
      </c>
      <c r="J369" s="23" t="str">
        <f>TRIM('data cleaning'!$K369)</f>
        <v>Technology</v>
      </c>
      <c r="K369" s="23" t="s">
        <v>1521</v>
      </c>
      <c r="L369" s="23" t="str">
        <f>TRIM('data cleaning'!$M369)</f>
        <v>Accessories</v>
      </c>
      <c r="M369" s="23" t="s">
        <v>1526</v>
      </c>
      <c r="N369" s="23" t="str">
        <f>PROPER('data cleaning'!$O369)</f>
        <v>Painting Accessories</v>
      </c>
      <c r="O369" s="23" t="str">
        <f>TRIM('data cleaning'!$P369)</f>
        <v>Painting Accessories</v>
      </c>
      <c r="P369" s="23" t="s">
        <v>1890</v>
      </c>
      <c r="Q369" s="23">
        <v>1832.61</v>
      </c>
      <c r="R369" s="23">
        <v>8</v>
      </c>
      <c r="S369" s="23">
        <v>0.2</v>
      </c>
      <c r="T369" s="24">
        <v>-198.32</v>
      </c>
    </row>
    <row r="370" spans="1:20" ht="15.6" x14ac:dyDescent="0.3">
      <c r="A370" s="13" t="s">
        <v>381</v>
      </c>
      <c r="B370" s="14">
        <v>45183</v>
      </c>
      <c r="C370" s="15">
        <v>45185</v>
      </c>
      <c r="D370" s="16" t="str">
        <f>TRIM('data cleaning'!$E370)</f>
        <v>Elizabeth Park</v>
      </c>
      <c r="E370" s="17" t="s">
        <v>1139</v>
      </c>
      <c r="F370" s="17" t="str">
        <f>TRIM('data cleaning'!$G370)</f>
        <v>Consumer</v>
      </c>
      <c r="G370" s="17" t="s">
        <v>1513</v>
      </c>
      <c r="H370" s="17" t="str">
        <f>TRIM('data cleaning'!$I370)</f>
        <v>South</v>
      </c>
      <c r="I370" s="17" t="s">
        <v>1517</v>
      </c>
      <c r="J370" s="17" t="str">
        <f>TRIM('data cleaning'!$K370)</f>
        <v>Furniture</v>
      </c>
      <c r="K370" s="17" t="s">
        <v>1522</v>
      </c>
      <c r="L370" s="17" t="str">
        <f>TRIM('data cleaning'!$M370)</f>
        <v>Bookcases</v>
      </c>
      <c r="M370" s="17" t="s">
        <v>1527</v>
      </c>
      <c r="N370" s="17" t="str">
        <f>PROPER('data cleaning'!$O370)</f>
        <v>Thank Bookcases</v>
      </c>
      <c r="O370" s="17" t="str">
        <f>TRIM('data cleaning'!$P370)</f>
        <v>Thank Bookcases</v>
      </c>
      <c r="P370" s="17" t="s">
        <v>1891</v>
      </c>
      <c r="Q370" s="17">
        <v>1180.5999999999999</v>
      </c>
      <c r="R370" s="17">
        <v>9</v>
      </c>
      <c r="S370" s="17">
        <v>0</v>
      </c>
      <c r="T370" s="18">
        <v>-207.52</v>
      </c>
    </row>
    <row r="371" spans="1:20" ht="15.6" x14ac:dyDescent="0.3">
      <c r="A371" s="19" t="s">
        <v>382</v>
      </c>
      <c r="B371" s="20">
        <v>45599</v>
      </c>
      <c r="C371" s="21">
        <v>45605</v>
      </c>
      <c r="D371" s="22" t="str">
        <f>TRIM('data cleaning'!$E371)</f>
        <v>Karen Stevens</v>
      </c>
      <c r="E371" s="23" t="s">
        <v>1140</v>
      </c>
      <c r="F371" s="23" t="str">
        <f>TRIM('data cleaning'!$G371)</f>
        <v>Consumer</v>
      </c>
      <c r="G371" s="23" t="s">
        <v>1513</v>
      </c>
      <c r="H371" s="23" t="str">
        <f>TRIM('data cleaning'!$I371)</f>
        <v>West</v>
      </c>
      <c r="I371" s="23" t="s">
        <v>1518</v>
      </c>
      <c r="J371" s="23" t="str">
        <f>TRIM('data cleaning'!$K371)</f>
        <v>Furniture</v>
      </c>
      <c r="K371" s="23" t="s">
        <v>1522</v>
      </c>
      <c r="L371" s="23" t="str">
        <f>TRIM('data cleaning'!$M371)</f>
        <v>Tables</v>
      </c>
      <c r="M371" s="23" t="s">
        <v>1529</v>
      </c>
      <c r="N371" s="23" t="str">
        <f>PROPER('data cleaning'!$O371)</f>
        <v>International Tables</v>
      </c>
      <c r="O371" s="23" t="str">
        <f>TRIM('data cleaning'!$P371)</f>
        <v>International Tables</v>
      </c>
      <c r="P371" s="23" t="s">
        <v>1892</v>
      </c>
      <c r="Q371" s="23">
        <v>1945.75</v>
      </c>
      <c r="R371" s="23">
        <v>3</v>
      </c>
      <c r="S371" s="23">
        <v>0.05</v>
      </c>
      <c r="T371" s="24">
        <v>607.34</v>
      </c>
    </row>
    <row r="372" spans="1:20" ht="15.6" x14ac:dyDescent="0.3">
      <c r="A372" s="13" t="s">
        <v>383</v>
      </c>
      <c r="B372" s="14">
        <v>45652</v>
      </c>
      <c r="C372" s="15">
        <v>45656</v>
      </c>
      <c r="D372" s="16" t="str">
        <f>TRIM('data cleaning'!$E372)</f>
        <v>Herbert Jones</v>
      </c>
      <c r="E372" s="17" t="s">
        <v>1141</v>
      </c>
      <c r="F372" s="17" t="str">
        <f>TRIM('data cleaning'!$G372)</f>
        <v>Home Office</v>
      </c>
      <c r="G372" s="17" t="s">
        <v>1515</v>
      </c>
      <c r="H372" s="17" t="str">
        <f>TRIM('data cleaning'!$I372)</f>
        <v>East</v>
      </c>
      <c r="I372" s="17" t="s">
        <v>1519</v>
      </c>
      <c r="J372" s="17" t="str">
        <f>TRIM('data cleaning'!$K372)</f>
        <v>Furniture</v>
      </c>
      <c r="K372" s="17" t="s">
        <v>1522</v>
      </c>
      <c r="L372" s="17" t="str">
        <f>TRIM('data cleaning'!$M372)</f>
        <v>Tables</v>
      </c>
      <c r="M372" s="17" t="s">
        <v>1529</v>
      </c>
      <c r="N372" s="17" t="str">
        <f>PROPER('data cleaning'!$O372)</f>
        <v>Perform Tables</v>
      </c>
      <c r="O372" s="17" t="str">
        <f>TRIM('data cleaning'!$P372)</f>
        <v>Perform Tables</v>
      </c>
      <c r="P372" s="17" t="s">
        <v>1893</v>
      </c>
      <c r="Q372" s="17">
        <v>2110.4699999999998</v>
      </c>
      <c r="R372" s="17">
        <v>6</v>
      </c>
      <c r="S372" s="17">
        <v>0.1</v>
      </c>
      <c r="T372" s="18">
        <v>536.69000000000005</v>
      </c>
    </row>
    <row r="373" spans="1:20" ht="15.6" x14ac:dyDescent="0.3">
      <c r="A373" s="19" t="s">
        <v>384</v>
      </c>
      <c r="B373" s="20">
        <v>45841</v>
      </c>
      <c r="C373" s="21">
        <v>45842</v>
      </c>
      <c r="D373" s="22" t="str">
        <f>TRIM('data cleaning'!$E373)</f>
        <v>Tyler James</v>
      </c>
      <c r="E373" s="23" t="s">
        <v>1142</v>
      </c>
      <c r="F373" s="23" t="str">
        <f>TRIM('data cleaning'!$G373)</f>
        <v>Consumer</v>
      </c>
      <c r="G373" s="23" t="s">
        <v>1513</v>
      </c>
      <c r="H373" s="23" t="str">
        <f>TRIM('data cleaning'!$I373)</f>
        <v>West</v>
      </c>
      <c r="I373" s="23" t="s">
        <v>1518</v>
      </c>
      <c r="J373" s="23" t="str">
        <f>TRIM('data cleaning'!$K373)</f>
        <v>Furniture</v>
      </c>
      <c r="K373" s="23" t="s">
        <v>1522</v>
      </c>
      <c r="L373" s="23" t="str">
        <f>TRIM('data cleaning'!$M373)</f>
        <v>Bookcases</v>
      </c>
      <c r="M373" s="23" t="s">
        <v>1527</v>
      </c>
      <c r="N373" s="23" t="str">
        <f>PROPER('data cleaning'!$O373)</f>
        <v>Picture Bookcases</v>
      </c>
      <c r="O373" s="23" t="str">
        <f>TRIM('data cleaning'!$P373)</f>
        <v>Picture Bookcases</v>
      </c>
      <c r="P373" s="23" t="s">
        <v>1894</v>
      </c>
      <c r="Q373" s="23">
        <v>937.75</v>
      </c>
      <c r="R373" s="23">
        <v>9</v>
      </c>
      <c r="S373" s="23">
        <v>0</v>
      </c>
      <c r="T373" s="24">
        <v>304.52999999999997</v>
      </c>
    </row>
    <row r="374" spans="1:20" ht="15.6" x14ac:dyDescent="0.3">
      <c r="A374" s="13" t="s">
        <v>385</v>
      </c>
      <c r="B374" s="14">
        <v>45549</v>
      </c>
      <c r="C374" s="15">
        <v>45555</v>
      </c>
      <c r="D374" s="16" t="str">
        <f>TRIM('data cleaning'!$E374)</f>
        <v>Robert Mcdonald</v>
      </c>
      <c r="E374" s="17" t="s">
        <v>1143</v>
      </c>
      <c r="F374" s="17" t="str">
        <f>TRIM('data cleaning'!$G374)</f>
        <v>Corporate</v>
      </c>
      <c r="G374" s="17" t="s">
        <v>1514</v>
      </c>
      <c r="H374" s="17" t="str">
        <f>TRIM('data cleaning'!$I374)</f>
        <v>East</v>
      </c>
      <c r="I374" s="17" t="s">
        <v>1519</v>
      </c>
      <c r="J374" s="17" t="str">
        <f>TRIM('data cleaning'!$K374)</f>
        <v>Technology</v>
      </c>
      <c r="K374" s="17" t="s">
        <v>1521</v>
      </c>
      <c r="L374" s="17" t="str">
        <f>TRIM('data cleaning'!$M374)</f>
        <v>Accessories</v>
      </c>
      <c r="M374" s="17" t="s">
        <v>1526</v>
      </c>
      <c r="N374" s="17" t="str">
        <f>PROPER('data cleaning'!$O374)</f>
        <v>Space Accessories</v>
      </c>
      <c r="O374" s="17" t="str">
        <f>TRIM('data cleaning'!$P374)</f>
        <v>Space Accessories</v>
      </c>
      <c r="P374" s="17" t="s">
        <v>1895</v>
      </c>
      <c r="Q374" s="17">
        <v>477.61</v>
      </c>
      <c r="R374" s="17">
        <v>8</v>
      </c>
      <c r="S374" s="17">
        <v>0</v>
      </c>
      <c r="T374" s="18">
        <v>1.39</v>
      </c>
    </row>
    <row r="375" spans="1:20" ht="15.6" x14ac:dyDescent="0.3">
      <c r="A375" s="19" t="s">
        <v>386</v>
      </c>
      <c r="B375" s="20">
        <v>45263</v>
      </c>
      <c r="C375" s="21">
        <v>45267</v>
      </c>
      <c r="D375" s="22" t="str">
        <f>TRIM('data cleaning'!$E375)</f>
        <v>Bianca Rogers</v>
      </c>
      <c r="E375" s="23" t="s">
        <v>1144</v>
      </c>
      <c r="F375" s="23" t="str">
        <f>TRIM('data cleaning'!$G375)</f>
        <v>Consumer</v>
      </c>
      <c r="G375" s="23" t="s">
        <v>1513</v>
      </c>
      <c r="H375" s="23" t="str">
        <f>TRIM('data cleaning'!$I375)</f>
        <v>South</v>
      </c>
      <c r="I375" s="23" t="s">
        <v>1517</v>
      </c>
      <c r="J375" s="23" t="str">
        <f>TRIM('data cleaning'!$K375)</f>
        <v>Office Supplies</v>
      </c>
      <c r="K375" s="23" t="s">
        <v>1520</v>
      </c>
      <c r="L375" s="23" t="str">
        <f>TRIM('data cleaning'!$M375)</f>
        <v>Storage</v>
      </c>
      <c r="M375" s="23" t="s">
        <v>1525</v>
      </c>
      <c r="N375" s="23" t="str">
        <f>PROPER('data cleaning'!$O375)</f>
        <v>Water Storage</v>
      </c>
      <c r="O375" s="23" t="str">
        <f>TRIM('data cleaning'!$P375)</f>
        <v>Water Storage</v>
      </c>
      <c r="P375" s="23" t="s">
        <v>1896</v>
      </c>
      <c r="Q375" s="23">
        <v>2346.44</v>
      </c>
      <c r="R375" s="23">
        <v>10</v>
      </c>
      <c r="S375" s="23">
        <v>0.15</v>
      </c>
      <c r="T375" s="24">
        <v>818.4</v>
      </c>
    </row>
    <row r="376" spans="1:20" ht="15.6" x14ac:dyDescent="0.3">
      <c r="A376" s="13" t="s">
        <v>387</v>
      </c>
      <c r="B376" s="14">
        <v>45924</v>
      </c>
      <c r="C376" s="15">
        <v>45931</v>
      </c>
      <c r="D376" s="16" t="str">
        <f>TRIM('data cleaning'!$E376)</f>
        <v>Caitlin Black</v>
      </c>
      <c r="E376" s="17" t="s">
        <v>1145</v>
      </c>
      <c r="F376" s="17" t="str">
        <f>TRIM('data cleaning'!$G376)</f>
        <v>Home Office</v>
      </c>
      <c r="G376" s="17" t="s">
        <v>1515</v>
      </c>
      <c r="H376" s="17" t="str">
        <f>TRIM('data cleaning'!$I376)</f>
        <v>North</v>
      </c>
      <c r="I376" s="17" t="s">
        <v>1516</v>
      </c>
      <c r="J376" s="17" t="str">
        <f>TRIM('data cleaning'!$K376)</f>
        <v>Furniture</v>
      </c>
      <c r="K376" s="17" t="s">
        <v>1522</v>
      </c>
      <c r="L376" s="17" t="str">
        <f>TRIM('data cleaning'!$M376)</f>
        <v>Chairs</v>
      </c>
      <c r="M376" s="17" t="s">
        <v>1531</v>
      </c>
      <c r="N376" s="17" t="str">
        <f>PROPER('data cleaning'!$O376)</f>
        <v>Throw Chairs</v>
      </c>
      <c r="O376" s="17" t="str">
        <f>TRIM('data cleaning'!$P376)</f>
        <v>Throw Chairs</v>
      </c>
      <c r="P376" s="17" t="s">
        <v>1897</v>
      </c>
      <c r="Q376" s="17">
        <v>168.36</v>
      </c>
      <c r="R376" s="17">
        <v>9</v>
      </c>
      <c r="S376" s="17">
        <v>0.1</v>
      </c>
      <c r="T376" s="18">
        <v>25.21</v>
      </c>
    </row>
    <row r="377" spans="1:20" ht="15.6" x14ac:dyDescent="0.3">
      <c r="A377" s="19" t="s">
        <v>388</v>
      </c>
      <c r="B377" s="20">
        <v>45745</v>
      </c>
      <c r="C377" s="21">
        <v>45752</v>
      </c>
      <c r="D377" s="22" t="str">
        <f>TRIM('data cleaning'!$E377)</f>
        <v>Rebecca Brown</v>
      </c>
      <c r="E377" s="23" t="s">
        <v>1146</v>
      </c>
      <c r="F377" s="23" t="str">
        <f>TRIM('data cleaning'!$G377)</f>
        <v>Consumer</v>
      </c>
      <c r="G377" s="23" t="s">
        <v>1513</v>
      </c>
      <c r="H377" s="23" t="str">
        <f>TRIM('data cleaning'!$I377)</f>
        <v>West</v>
      </c>
      <c r="I377" s="23" t="s">
        <v>1518</v>
      </c>
      <c r="J377" s="23" t="str">
        <f>TRIM('data cleaning'!$K377)</f>
        <v>Technology</v>
      </c>
      <c r="K377" s="23" t="s">
        <v>1521</v>
      </c>
      <c r="L377" s="23" t="str">
        <f>TRIM('data cleaning'!$M377)</f>
        <v>Phones</v>
      </c>
      <c r="M377" s="23" t="s">
        <v>1530</v>
      </c>
      <c r="N377" s="23" t="str">
        <f>PROPER('data cleaning'!$O377)</f>
        <v>Wonder Phones</v>
      </c>
      <c r="O377" s="23" t="str">
        <f>TRIM('data cleaning'!$P377)</f>
        <v>Wonder Phones</v>
      </c>
      <c r="P377" s="23" t="s">
        <v>1898</v>
      </c>
      <c r="Q377" s="23">
        <v>4252.58</v>
      </c>
      <c r="R377" s="23">
        <v>5</v>
      </c>
      <c r="S377" s="23">
        <v>0</v>
      </c>
      <c r="T377" s="24">
        <v>-370.58</v>
      </c>
    </row>
    <row r="378" spans="1:20" ht="15.6" x14ac:dyDescent="0.3">
      <c r="A378" s="13" t="s">
        <v>389</v>
      </c>
      <c r="B378" s="14">
        <v>45858</v>
      </c>
      <c r="C378" s="15">
        <v>45861</v>
      </c>
      <c r="D378" s="16" t="str">
        <f>TRIM('data cleaning'!$E378)</f>
        <v>Sara Walker</v>
      </c>
      <c r="E378" s="17" t="s">
        <v>1147</v>
      </c>
      <c r="F378" s="17" t="str">
        <f>TRIM('data cleaning'!$G378)</f>
        <v>Home Office</v>
      </c>
      <c r="G378" s="17" t="s">
        <v>1515</v>
      </c>
      <c r="H378" s="17" t="str">
        <f>TRIM('data cleaning'!$I378)</f>
        <v>West</v>
      </c>
      <c r="I378" s="17" t="s">
        <v>1518</v>
      </c>
      <c r="J378" s="17" t="str">
        <f>TRIM('data cleaning'!$K378)</f>
        <v>Technology</v>
      </c>
      <c r="K378" s="17" t="s">
        <v>1521</v>
      </c>
      <c r="L378" s="17" t="str">
        <f>TRIM('data cleaning'!$M378)</f>
        <v>Phones</v>
      </c>
      <c r="M378" s="17" t="s">
        <v>1530</v>
      </c>
      <c r="N378" s="17" t="str">
        <f>PROPER('data cleaning'!$O378)</f>
        <v>Weight Phones</v>
      </c>
      <c r="O378" s="17" t="str">
        <f>TRIM('data cleaning'!$P378)</f>
        <v>Weight Phones</v>
      </c>
      <c r="P378" s="17" t="s">
        <v>1899</v>
      </c>
      <c r="Q378" s="17">
        <v>3572.68</v>
      </c>
      <c r="R378" s="17">
        <v>2</v>
      </c>
      <c r="S378" s="17">
        <v>0</v>
      </c>
      <c r="T378" s="18">
        <v>1095.74</v>
      </c>
    </row>
    <row r="379" spans="1:20" ht="15.6" x14ac:dyDescent="0.3">
      <c r="A379" s="19" t="s">
        <v>390</v>
      </c>
      <c r="B379" s="20">
        <v>45459</v>
      </c>
      <c r="C379" s="21">
        <v>45467</v>
      </c>
      <c r="D379" s="22" t="str">
        <f>TRIM('data cleaning'!$E379)</f>
        <v>Jacob Shelton</v>
      </c>
      <c r="E379" s="23" t="s">
        <v>1148</v>
      </c>
      <c r="F379" s="23" t="str">
        <f>TRIM('data cleaning'!$G379)</f>
        <v>Consumer</v>
      </c>
      <c r="G379" s="23" t="s">
        <v>1513</v>
      </c>
      <c r="H379" s="23" t="str">
        <f>TRIM('data cleaning'!$I379)</f>
        <v>West</v>
      </c>
      <c r="I379" s="23" t="s">
        <v>1518</v>
      </c>
      <c r="J379" s="23" t="str">
        <f>TRIM('data cleaning'!$K379)</f>
        <v>Office Supplies</v>
      </c>
      <c r="K379" s="23" t="s">
        <v>1520</v>
      </c>
      <c r="L379" s="23" t="str">
        <f>TRIM('data cleaning'!$M379)</f>
        <v>Paper</v>
      </c>
      <c r="M379" s="23" t="s">
        <v>1524</v>
      </c>
      <c r="N379" s="23" t="str">
        <f>PROPER('data cleaning'!$O379)</f>
        <v>Despite Paper</v>
      </c>
      <c r="O379" s="23" t="str">
        <f>TRIM('data cleaning'!$P379)</f>
        <v>Despite Paper</v>
      </c>
      <c r="P379" s="23" t="s">
        <v>1900</v>
      </c>
      <c r="Q379" s="23">
        <v>4874.05</v>
      </c>
      <c r="R379" s="23">
        <v>2</v>
      </c>
      <c r="S379" s="23">
        <v>0.2</v>
      </c>
      <c r="T379" s="24">
        <v>-718.59</v>
      </c>
    </row>
    <row r="380" spans="1:20" ht="15.6" x14ac:dyDescent="0.3">
      <c r="A380" s="13" t="s">
        <v>391</v>
      </c>
      <c r="B380" s="14">
        <v>45771</v>
      </c>
      <c r="C380" s="15">
        <v>45781</v>
      </c>
      <c r="D380" s="16" t="str">
        <f>TRIM('data cleaning'!$E380)</f>
        <v>Vickie Cooper</v>
      </c>
      <c r="E380" s="17" t="s">
        <v>1149</v>
      </c>
      <c r="F380" s="17" t="str">
        <f>TRIM('data cleaning'!$G380)</f>
        <v>Corporate</v>
      </c>
      <c r="G380" s="17" t="s">
        <v>1514</v>
      </c>
      <c r="H380" s="17" t="str">
        <f>TRIM('data cleaning'!$I380)</f>
        <v>West</v>
      </c>
      <c r="I380" s="17" t="s">
        <v>1518</v>
      </c>
      <c r="J380" s="17" t="str">
        <f>TRIM('data cleaning'!$K380)</f>
        <v>Furniture</v>
      </c>
      <c r="K380" s="17" t="s">
        <v>1522</v>
      </c>
      <c r="L380" s="17" t="str">
        <f>TRIM('data cleaning'!$M380)</f>
        <v>Bookcases</v>
      </c>
      <c r="M380" s="17" t="s">
        <v>1527</v>
      </c>
      <c r="N380" s="17" t="str">
        <f>PROPER('data cleaning'!$O380)</f>
        <v>Mission Bookcases</v>
      </c>
      <c r="O380" s="17" t="str">
        <f>TRIM('data cleaning'!$P380)</f>
        <v>Mission Bookcases</v>
      </c>
      <c r="P380" s="17" t="s">
        <v>1901</v>
      </c>
      <c r="Q380" s="17">
        <v>358.3</v>
      </c>
      <c r="R380" s="17">
        <v>3</v>
      </c>
      <c r="S380" s="17">
        <v>0.05</v>
      </c>
      <c r="T380" s="18">
        <v>-14.18</v>
      </c>
    </row>
    <row r="381" spans="1:20" ht="15.6" x14ac:dyDescent="0.3">
      <c r="A381" s="19" t="s">
        <v>392</v>
      </c>
      <c r="B381" s="20">
        <v>45608</v>
      </c>
      <c r="C381" s="21">
        <v>45614</v>
      </c>
      <c r="D381" s="22" t="str">
        <f>TRIM('data cleaning'!$E381)</f>
        <v>Ethan Walton</v>
      </c>
      <c r="E381" s="23" t="s">
        <v>1150</v>
      </c>
      <c r="F381" s="23" t="str">
        <f>TRIM('data cleaning'!$G381)</f>
        <v>Consumer</v>
      </c>
      <c r="G381" s="23" t="s">
        <v>1513</v>
      </c>
      <c r="H381" s="23" t="str">
        <f>TRIM('data cleaning'!$I381)</f>
        <v>South</v>
      </c>
      <c r="I381" s="23" t="s">
        <v>1517</v>
      </c>
      <c r="J381" s="23" t="str">
        <f>TRIM('data cleaning'!$K381)</f>
        <v>Office Supplies</v>
      </c>
      <c r="K381" s="23" t="s">
        <v>1520</v>
      </c>
      <c r="L381" s="23" t="str">
        <f>TRIM('data cleaning'!$M381)</f>
        <v>Storage</v>
      </c>
      <c r="M381" s="23" t="s">
        <v>1525</v>
      </c>
      <c r="N381" s="23" t="str">
        <f>PROPER('data cleaning'!$O381)</f>
        <v>Situation Storage</v>
      </c>
      <c r="O381" s="23" t="str">
        <f>TRIM('data cleaning'!$P381)</f>
        <v>Situation Storage</v>
      </c>
      <c r="P381" s="23" t="s">
        <v>1902</v>
      </c>
      <c r="Q381" s="23">
        <v>1624.39</v>
      </c>
      <c r="R381" s="23">
        <v>5</v>
      </c>
      <c r="S381" s="23">
        <v>0.05</v>
      </c>
      <c r="T381" s="24">
        <v>-258.14999999999998</v>
      </c>
    </row>
    <row r="382" spans="1:20" ht="15.6" x14ac:dyDescent="0.3">
      <c r="A382" s="13" t="s">
        <v>393</v>
      </c>
      <c r="B382" s="14">
        <v>45562</v>
      </c>
      <c r="C382" s="15">
        <v>45565</v>
      </c>
      <c r="D382" s="16" t="str">
        <f>TRIM('data cleaning'!$E382)</f>
        <v>Rachel Miller</v>
      </c>
      <c r="E382" s="17" t="s">
        <v>1151</v>
      </c>
      <c r="F382" s="17" t="str">
        <f>TRIM('data cleaning'!$G382)</f>
        <v>Consumer</v>
      </c>
      <c r="G382" s="17" t="s">
        <v>1513</v>
      </c>
      <c r="H382" s="17" t="str">
        <f>TRIM('data cleaning'!$I382)</f>
        <v>East</v>
      </c>
      <c r="I382" s="17" t="s">
        <v>1519</v>
      </c>
      <c r="J382" s="17" t="str">
        <f>TRIM('data cleaning'!$K382)</f>
        <v>Office Supplies</v>
      </c>
      <c r="K382" s="17" t="s">
        <v>1520</v>
      </c>
      <c r="L382" s="17" t="str">
        <f>TRIM('data cleaning'!$M382)</f>
        <v>Binders</v>
      </c>
      <c r="M382" s="17" t="s">
        <v>1523</v>
      </c>
      <c r="N382" s="17" t="str">
        <f>PROPER('data cleaning'!$O382)</f>
        <v>Ok Binders</v>
      </c>
      <c r="O382" s="17" t="str">
        <f>TRIM('data cleaning'!$P382)</f>
        <v>Ok Binders</v>
      </c>
      <c r="P382" s="17" t="s">
        <v>1903</v>
      </c>
      <c r="Q382" s="17">
        <v>573.01</v>
      </c>
      <c r="R382" s="17">
        <v>8</v>
      </c>
      <c r="S382" s="17">
        <v>0.15</v>
      </c>
      <c r="T382" s="18">
        <v>-15.63</v>
      </c>
    </row>
    <row r="383" spans="1:20" ht="15.6" x14ac:dyDescent="0.3">
      <c r="A383" s="19" t="s">
        <v>394</v>
      </c>
      <c r="B383" s="20">
        <v>45756</v>
      </c>
      <c r="C383" s="21">
        <v>45761</v>
      </c>
      <c r="D383" s="22" t="str">
        <f>TRIM('data cleaning'!$E383)</f>
        <v>Karen Merritt</v>
      </c>
      <c r="E383" s="23" t="s">
        <v>1152</v>
      </c>
      <c r="F383" s="23" t="str">
        <f>TRIM('data cleaning'!$G383)</f>
        <v>Home Office</v>
      </c>
      <c r="G383" s="23" t="s">
        <v>1515</v>
      </c>
      <c r="H383" s="23" t="str">
        <f>TRIM('data cleaning'!$I383)</f>
        <v>East</v>
      </c>
      <c r="I383" s="23" t="s">
        <v>1519</v>
      </c>
      <c r="J383" s="23" t="str">
        <f>TRIM('data cleaning'!$K383)</f>
        <v>Furniture</v>
      </c>
      <c r="K383" s="23" t="s">
        <v>1522</v>
      </c>
      <c r="L383" s="23" t="str">
        <f>TRIM('data cleaning'!$M383)</f>
        <v>Tables</v>
      </c>
      <c r="M383" s="23" t="s">
        <v>1529</v>
      </c>
      <c r="N383" s="23" t="str">
        <f>PROPER('data cleaning'!$O383)</f>
        <v>Black Tables</v>
      </c>
      <c r="O383" s="23" t="str">
        <f>TRIM('data cleaning'!$P383)</f>
        <v>Black Tables</v>
      </c>
      <c r="P383" s="23" t="s">
        <v>1904</v>
      </c>
      <c r="Q383" s="23">
        <v>2343.5700000000002</v>
      </c>
      <c r="R383" s="23">
        <v>2</v>
      </c>
      <c r="S383" s="23">
        <v>0</v>
      </c>
      <c r="T383" s="24">
        <v>-265.55</v>
      </c>
    </row>
    <row r="384" spans="1:20" ht="15.6" x14ac:dyDescent="0.3">
      <c r="A384" s="13" t="s">
        <v>395</v>
      </c>
      <c r="B384" s="14">
        <v>45152</v>
      </c>
      <c r="C384" s="15">
        <v>45162</v>
      </c>
      <c r="D384" s="16" t="str">
        <f>TRIM('data cleaning'!$E384)</f>
        <v>Eric Sherman</v>
      </c>
      <c r="E384" s="17" t="s">
        <v>1153</v>
      </c>
      <c r="F384" s="17" t="str">
        <f>TRIM('data cleaning'!$G384)</f>
        <v>Consumer</v>
      </c>
      <c r="G384" s="17" t="s">
        <v>1513</v>
      </c>
      <c r="H384" s="17" t="str">
        <f>TRIM('data cleaning'!$I384)</f>
        <v>East</v>
      </c>
      <c r="I384" s="17" t="s">
        <v>1519</v>
      </c>
      <c r="J384" s="17" t="str">
        <f>TRIM('data cleaning'!$K384)</f>
        <v>Office Supplies</v>
      </c>
      <c r="K384" s="17" t="s">
        <v>1520</v>
      </c>
      <c r="L384" s="17" t="str">
        <f>TRIM('data cleaning'!$M384)</f>
        <v>Storage</v>
      </c>
      <c r="M384" s="17" t="s">
        <v>1525</v>
      </c>
      <c r="N384" s="17" t="str">
        <f>PROPER('data cleaning'!$O384)</f>
        <v>Easy Storage</v>
      </c>
      <c r="O384" s="17" t="str">
        <f>TRIM('data cleaning'!$P384)</f>
        <v>Easy Storage</v>
      </c>
      <c r="P384" s="17" t="s">
        <v>1905</v>
      </c>
      <c r="Q384" s="17">
        <v>249.63</v>
      </c>
      <c r="R384" s="17">
        <v>6</v>
      </c>
      <c r="S384" s="17">
        <v>0.05</v>
      </c>
      <c r="T384" s="18">
        <v>-37.4</v>
      </c>
    </row>
    <row r="385" spans="1:20" ht="15.6" x14ac:dyDescent="0.3">
      <c r="A385" s="19" t="s">
        <v>396</v>
      </c>
      <c r="B385" s="20">
        <v>45914</v>
      </c>
      <c r="C385" s="21">
        <v>45915</v>
      </c>
      <c r="D385" s="22" t="str">
        <f>TRIM('data cleaning'!$E385)</f>
        <v>April Ward</v>
      </c>
      <c r="E385" s="23" t="s">
        <v>1154</v>
      </c>
      <c r="F385" s="23" t="str">
        <f>TRIM('data cleaning'!$G385)</f>
        <v/>
      </c>
      <c r="G385" s="23"/>
      <c r="H385" s="23" t="str">
        <f>TRIM('data cleaning'!$I385)</f>
        <v>West</v>
      </c>
      <c r="I385" s="23" t="s">
        <v>1518</v>
      </c>
      <c r="J385" s="23" t="str">
        <f>TRIM('data cleaning'!$K385)</f>
        <v>Technology</v>
      </c>
      <c r="K385" s="23" t="s">
        <v>1521</v>
      </c>
      <c r="L385" s="23" t="str">
        <f>TRIM('data cleaning'!$M385)</f>
        <v>Laptops</v>
      </c>
      <c r="M385" s="23" t="s">
        <v>1528</v>
      </c>
      <c r="N385" s="23" t="str">
        <f>PROPER('data cleaning'!$O385)</f>
        <v>Term Laptops</v>
      </c>
      <c r="O385" s="23" t="str">
        <f>TRIM('data cleaning'!$P385)</f>
        <v>Term Laptops</v>
      </c>
      <c r="P385" s="23" t="s">
        <v>1661</v>
      </c>
      <c r="Q385" s="23">
        <v>3402.06</v>
      </c>
      <c r="R385" s="23">
        <v>5</v>
      </c>
      <c r="S385" s="23">
        <v>0.05</v>
      </c>
      <c r="T385" s="24">
        <v>-622.25</v>
      </c>
    </row>
    <row r="386" spans="1:20" ht="15.6" x14ac:dyDescent="0.3">
      <c r="A386" s="13" t="s">
        <v>397</v>
      </c>
      <c r="B386" s="14">
        <v>45551</v>
      </c>
      <c r="C386" s="15">
        <v>45560</v>
      </c>
      <c r="D386" s="16" t="str">
        <f>TRIM('data cleaning'!$E386)</f>
        <v>Jeffrey Morgan</v>
      </c>
      <c r="E386" s="17" t="s">
        <v>1155</v>
      </c>
      <c r="F386" s="17" t="str">
        <f>TRIM('data cleaning'!$G386)</f>
        <v>Consumer</v>
      </c>
      <c r="G386" s="17" t="s">
        <v>1513</v>
      </c>
      <c r="H386" s="17" t="str">
        <f>TRIM('data cleaning'!$I386)</f>
        <v>North</v>
      </c>
      <c r="I386" s="17" t="s">
        <v>1516</v>
      </c>
      <c r="J386" s="17" t="str">
        <f>TRIM('data cleaning'!$K386)</f>
        <v>Office Supplies</v>
      </c>
      <c r="K386" s="17" t="s">
        <v>1520</v>
      </c>
      <c r="L386" s="17" t="str">
        <f>TRIM('data cleaning'!$M386)</f>
        <v>Storage</v>
      </c>
      <c r="M386" s="17" t="s">
        <v>1525</v>
      </c>
      <c r="N386" s="17" t="str">
        <f>PROPER('data cleaning'!$O386)</f>
        <v>Particular Storage</v>
      </c>
      <c r="O386" s="17" t="str">
        <f>TRIM('data cleaning'!$P386)</f>
        <v>Particular Storage</v>
      </c>
      <c r="P386" s="17" t="s">
        <v>1906</v>
      </c>
      <c r="Q386" s="17">
        <v>1286.77</v>
      </c>
      <c r="R386" s="17">
        <v>8</v>
      </c>
      <c r="S386" s="17">
        <v>0</v>
      </c>
      <c r="T386" s="18">
        <v>311.58</v>
      </c>
    </row>
    <row r="387" spans="1:20" ht="15.6" x14ac:dyDescent="0.3">
      <c r="A387" s="19" t="s">
        <v>398</v>
      </c>
      <c r="B387" s="20">
        <v>45217</v>
      </c>
      <c r="C387" s="21">
        <v>45221</v>
      </c>
      <c r="D387" s="22" t="str">
        <f>TRIM('data cleaning'!$E387)</f>
        <v>Jeremy Parrish</v>
      </c>
      <c r="E387" s="23" t="s">
        <v>1156</v>
      </c>
      <c r="F387" s="23" t="str">
        <f>TRIM('data cleaning'!$G387)</f>
        <v>Home Office</v>
      </c>
      <c r="G387" s="23" t="s">
        <v>1515</v>
      </c>
      <c r="H387" s="23" t="str">
        <f>TRIM('data cleaning'!$I387)</f>
        <v>North</v>
      </c>
      <c r="I387" s="23" t="s">
        <v>1516</v>
      </c>
      <c r="J387" s="23" t="str">
        <f>TRIM('data cleaning'!$K387)</f>
        <v>Furniture</v>
      </c>
      <c r="K387" s="23" t="s">
        <v>1522</v>
      </c>
      <c r="L387" s="23" t="str">
        <f>TRIM('data cleaning'!$M387)</f>
        <v>Chairs</v>
      </c>
      <c r="M387" s="23" t="s">
        <v>1531</v>
      </c>
      <c r="N387" s="23" t="str">
        <f>PROPER('data cleaning'!$O387)</f>
        <v>Month Chairs</v>
      </c>
      <c r="O387" s="23" t="str">
        <f>TRIM('data cleaning'!$P387)</f>
        <v>Month Chairs</v>
      </c>
      <c r="P387" s="23" t="s">
        <v>1907</v>
      </c>
      <c r="Q387" s="23">
        <v>697.04</v>
      </c>
      <c r="R387" s="23">
        <v>7</v>
      </c>
      <c r="S387" s="23">
        <v>0.1</v>
      </c>
      <c r="T387" s="24">
        <v>123.69</v>
      </c>
    </row>
    <row r="388" spans="1:20" ht="15.6" x14ac:dyDescent="0.3">
      <c r="A388" s="13" t="s">
        <v>399</v>
      </c>
      <c r="B388" s="14">
        <v>45436</v>
      </c>
      <c r="C388" s="15">
        <v>45441</v>
      </c>
      <c r="D388" s="16" t="str">
        <f>TRIM('data cleaning'!$E388)</f>
        <v>Elizabeth Miller</v>
      </c>
      <c r="E388" s="17" t="s">
        <v>1157</v>
      </c>
      <c r="F388" s="17" t="str">
        <f>TRIM('data cleaning'!$G388)</f>
        <v>Consumer</v>
      </c>
      <c r="G388" s="17" t="s">
        <v>1513</v>
      </c>
      <c r="H388" s="17" t="str">
        <f>TRIM('data cleaning'!$I388)</f>
        <v>West</v>
      </c>
      <c r="I388" s="17" t="s">
        <v>1518</v>
      </c>
      <c r="J388" s="17" t="str">
        <f>TRIM('data cleaning'!$K388)</f>
        <v>Office Supplies</v>
      </c>
      <c r="K388" s="17" t="s">
        <v>1520</v>
      </c>
      <c r="L388" s="17" t="str">
        <f>TRIM('data cleaning'!$M388)</f>
        <v>Storage</v>
      </c>
      <c r="M388" s="17" t="s">
        <v>1525</v>
      </c>
      <c r="N388" s="17" t="str">
        <f>PROPER('data cleaning'!$O388)</f>
        <v>Center Storage</v>
      </c>
      <c r="O388" s="17" t="str">
        <f>TRIM('data cleaning'!$P388)</f>
        <v>Center Storage</v>
      </c>
      <c r="P388" s="17" t="s">
        <v>1908</v>
      </c>
      <c r="Q388" s="17">
        <v>4591.2700000000004</v>
      </c>
      <c r="R388" s="17">
        <v>2</v>
      </c>
      <c r="S388" s="17">
        <v>0</v>
      </c>
      <c r="T388" s="18">
        <v>1599.78</v>
      </c>
    </row>
    <row r="389" spans="1:20" ht="15.6" x14ac:dyDescent="0.3">
      <c r="A389" s="19" t="s">
        <v>400</v>
      </c>
      <c r="B389" s="20">
        <v>45521</v>
      </c>
      <c r="C389" s="21">
        <v>45527</v>
      </c>
      <c r="D389" s="22" t="str">
        <f>TRIM('data cleaning'!$E389)</f>
        <v>Danielle Stuart</v>
      </c>
      <c r="E389" s="23" t="s">
        <v>1158</v>
      </c>
      <c r="F389" s="23" t="str">
        <f>TRIM('data cleaning'!$G389)</f>
        <v>Home Office</v>
      </c>
      <c r="G389" s="23" t="s">
        <v>1515</v>
      </c>
      <c r="H389" s="23" t="str">
        <f>TRIM('data cleaning'!$I389)</f>
        <v>West</v>
      </c>
      <c r="I389" s="23" t="s">
        <v>1518</v>
      </c>
      <c r="J389" s="23" t="str">
        <f>TRIM('data cleaning'!$K389)</f>
        <v>Furniture</v>
      </c>
      <c r="K389" s="23" t="s">
        <v>1522</v>
      </c>
      <c r="L389" s="23" t="str">
        <f>TRIM('data cleaning'!$M389)</f>
        <v>Chairs</v>
      </c>
      <c r="M389" s="23" t="s">
        <v>1531</v>
      </c>
      <c r="N389" s="23" t="str">
        <f>PROPER('data cleaning'!$O389)</f>
        <v>Able Chairs</v>
      </c>
      <c r="O389" s="23" t="str">
        <f>TRIM('data cleaning'!$P389)</f>
        <v>Able Chairs</v>
      </c>
      <c r="P389" s="23" t="s">
        <v>1909</v>
      </c>
      <c r="Q389" s="23">
        <v>656.51</v>
      </c>
      <c r="R389" s="23">
        <v>8</v>
      </c>
      <c r="S389" s="23">
        <v>0</v>
      </c>
      <c r="T389" s="24">
        <v>-70.64</v>
      </c>
    </row>
    <row r="390" spans="1:20" ht="15.6" x14ac:dyDescent="0.3">
      <c r="A390" s="13" t="s">
        <v>401</v>
      </c>
      <c r="B390" s="14">
        <v>45152</v>
      </c>
      <c r="C390" s="15">
        <v>45160</v>
      </c>
      <c r="D390" s="16" t="str">
        <f>TRIM('data cleaning'!$E390)</f>
        <v>Annette Butler</v>
      </c>
      <c r="E390" s="17" t="s">
        <v>1159</v>
      </c>
      <c r="F390" s="17" t="str">
        <f>TRIM('data cleaning'!$G390)</f>
        <v>Consumer</v>
      </c>
      <c r="G390" s="17" t="s">
        <v>1513</v>
      </c>
      <c r="H390" s="17" t="str">
        <f>TRIM('data cleaning'!$I390)</f>
        <v>East</v>
      </c>
      <c r="I390" s="17" t="s">
        <v>1519</v>
      </c>
      <c r="J390" s="17" t="str">
        <f>TRIM('data cleaning'!$K390)</f>
        <v>Office Supplies</v>
      </c>
      <c r="K390" s="17" t="s">
        <v>1520</v>
      </c>
      <c r="L390" s="17" t="str">
        <f>TRIM('data cleaning'!$M390)</f>
        <v>Paper</v>
      </c>
      <c r="M390" s="17" t="s">
        <v>1524</v>
      </c>
      <c r="N390" s="17" t="str">
        <f>PROPER('data cleaning'!$O390)</f>
        <v>Matter Paper</v>
      </c>
      <c r="O390" s="17" t="str">
        <f>TRIM('data cleaning'!$P390)</f>
        <v>Matter Paper</v>
      </c>
      <c r="P390" s="17" t="s">
        <v>1910</v>
      </c>
      <c r="Q390" s="17">
        <v>195.94</v>
      </c>
      <c r="R390" s="17">
        <v>7</v>
      </c>
      <c r="S390" s="17">
        <v>0.05</v>
      </c>
      <c r="T390" s="18">
        <v>-1.04</v>
      </c>
    </row>
    <row r="391" spans="1:20" ht="15.6" x14ac:dyDescent="0.3">
      <c r="A391" s="19" t="s">
        <v>402</v>
      </c>
      <c r="B391" s="20">
        <v>45513</v>
      </c>
      <c r="C391" s="21">
        <v>45516</v>
      </c>
      <c r="D391" s="22" t="str">
        <f>TRIM('data cleaning'!$E391)</f>
        <v>Jamie Flores</v>
      </c>
      <c r="E391" s="23" t="s">
        <v>1160</v>
      </c>
      <c r="F391" s="23" t="str">
        <f>TRIM('data cleaning'!$G391)</f>
        <v>Corporate</v>
      </c>
      <c r="G391" s="23" t="s">
        <v>1514</v>
      </c>
      <c r="H391" s="23" t="str">
        <f>TRIM('data cleaning'!$I391)</f>
        <v>West</v>
      </c>
      <c r="I391" s="23" t="s">
        <v>1518</v>
      </c>
      <c r="J391" s="23" t="str">
        <f>TRIM('data cleaning'!$K391)</f>
        <v>Technology</v>
      </c>
      <c r="K391" s="23" t="s">
        <v>1521</v>
      </c>
      <c r="L391" s="23" t="str">
        <f>TRIM('data cleaning'!$M391)</f>
        <v>Accessories</v>
      </c>
      <c r="M391" s="23" t="s">
        <v>1526</v>
      </c>
      <c r="N391" s="23" t="str">
        <f>PROPER('data cleaning'!$O391)</f>
        <v>Center Accessories</v>
      </c>
      <c r="O391" s="23" t="str">
        <f>TRIM('data cleaning'!$P391)</f>
        <v>Center Accessories</v>
      </c>
      <c r="P391" s="23" t="s">
        <v>1911</v>
      </c>
      <c r="Q391" s="23">
        <v>221.51</v>
      </c>
      <c r="R391" s="23">
        <v>10</v>
      </c>
      <c r="S391" s="23">
        <v>0.2</v>
      </c>
      <c r="T391" s="24">
        <v>-14.36</v>
      </c>
    </row>
    <row r="392" spans="1:20" ht="15.6" x14ac:dyDescent="0.3">
      <c r="A392" s="13" t="s">
        <v>403</v>
      </c>
      <c r="B392" s="14">
        <v>45557</v>
      </c>
      <c r="C392" s="15">
        <v>45565</v>
      </c>
      <c r="D392" s="16" t="str">
        <f>TRIM('data cleaning'!$E392)</f>
        <v>Peggy Holder</v>
      </c>
      <c r="E392" s="17" t="s">
        <v>1161</v>
      </c>
      <c r="F392" s="17" t="str">
        <f>TRIM('data cleaning'!$G392)</f>
        <v>Consumer</v>
      </c>
      <c r="G392" s="17" t="s">
        <v>1513</v>
      </c>
      <c r="H392" s="17" t="str">
        <f>TRIM('data cleaning'!$I392)</f>
        <v>South</v>
      </c>
      <c r="I392" s="17" t="s">
        <v>1517</v>
      </c>
      <c r="J392" s="17" t="str">
        <f>TRIM('data cleaning'!$K392)</f>
        <v>Technology</v>
      </c>
      <c r="K392" s="17" t="s">
        <v>1521</v>
      </c>
      <c r="L392" s="17" t="str">
        <f>TRIM('data cleaning'!$M392)</f>
        <v>Laptops</v>
      </c>
      <c r="M392" s="17" t="s">
        <v>1528</v>
      </c>
      <c r="N392" s="17" t="str">
        <f>PROPER('data cleaning'!$O392)</f>
        <v>Budget Laptops</v>
      </c>
      <c r="O392" s="17" t="str">
        <f>TRIM('data cleaning'!$P392)</f>
        <v>Budget Laptops</v>
      </c>
      <c r="P392" s="17" t="s">
        <v>1912</v>
      </c>
      <c r="Q392" s="17">
        <v>351.85</v>
      </c>
      <c r="R392" s="17">
        <v>5</v>
      </c>
      <c r="S392" s="17">
        <v>0.15</v>
      </c>
      <c r="T392" s="18">
        <v>-43.81</v>
      </c>
    </row>
    <row r="393" spans="1:20" ht="15.6" x14ac:dyDescent="0.3">
      <c r="A393" s="19" t="s">
        <v>404</v>
      </c>
      <c r="B393" s="20">
        <v>46036</v>
      </c>
      <c r="C393" s="21">
        <v>46037</v>
      </c>
      <c r="D393" s="22" t="str">
        <f>TRIM('data cleaning'!$E393)</f>
        <v>Jason Scott</v>
      </c>
      <c r="E393" s="23" t="s">
        <v>1162</v>
      </c>
      <c r="F393" s="23" t="str">
        <f>TRIM('data cleaning'!$G393)</f>
        <v>Corporate</v>
      </c>
      <c r="G393" s="23" t="s">
        <v>1514</v>
      </c>
      <c r="H393" s="23" t="str">
        <f>TRIM('data cleaning'!$I393)</f>
        <v>East</v>
      </c>
      <c r="I393" s="23" t="s">
        <v>1519</v>
      </c>
      <c r="J393" s="23" t="str">
        <f>TRIM('data cleaning'!$K393)</f>
        <v>Office Supplies</v>
      </c>
      <c r="K393" s="23" t="s">
        <v>1520</v>
      </c>
      <c r="L393" s="23" t="str">
        <f>TRIM('data cleaning'!$M393)</f>
        <v>Storage</v>
      </c>
      <c r="M393" s="23" t="s">
        <v>1525</v>
      </c>
      <c r="N393" s="23" t="str">
        <f>PROPER('data cleaning'!$O393)</f>
        <v>Majority Storage</v>
      </c>
      <c r="O393" s="23" t="str">
        <f>TRIM('data cleaning'!$P393)</f>
        <v>Majority Storage</v>
      </c>
      <c r="P393" s="23" t="s">
        <v>1913</v>
      </c>
      <c r="Q393" s="23">
        <v>4947.55</v>
      </c>
      <c r="R393" s="23">
        <v>6</v>
      </c>
      <c r="S393" s="23">
        <v>0.15</v>
      </c>
      <c r="T393" s="24">
        <v>492.21</v>
      </c>
    </row>
    <row r="394" spans="1:20" ht="15.6" x14ac:dyDescent="0.3">
      <c r="A394" s="13" t="s">
        <v>405</v>
      </c>
      <c r="B394" s="14">
        <v>45948</v>
      </c>
      <c r="C394" s="15">
        <v>45954</v>
      </c>
      <c r="D394" s="16" t="str">
        <f>TRIM('data cleaning'!$E394)</f>
        <v>Denise Beasley</v>
      </c>
      <c r="E394" s="17" t="s">
        <v>1163</v>
      </c>
      <c r="F394" s="17" t="str">
        <f>TRIM('data cleaning'!$G394)</f>
        <v>Consumer</v>
      </c>
      <c r="G394" s="17" t="s">
        <v>1513</v>
      </c>
      <c r="H394" s="17" t="str">
        <f>TRIM('data cleaning'!$I394)</f>
        <v>North</v>
      </c>
      <c r="I394" s="17" t="s">
        <v>1516</v>
      </c>
      <c r="J394" s="17" t="str">
        <f>TRIM('data cleaning'!$K394)</f>
        <v>Office Supplies</v>
      </c>
      <c r="K394" s="17" t="s">
        <v>1520</v>
      </c>
      <c r="L394" s="17" t="str">
        <f>TRIM('data cleaning'!$M394)</f>
        <v>Storage</v>
      </c>
      <c r="M394" s="17" t="s">
        <v>1525</v>
      </c>
      <c r="N394" s="17" t="str">
        <f>PROPER('data cleaning'!$O394)</f>
        <v>Occur Storage</v>
      </c>
      <c r="O394" s="17" t="str">
        <f>TRIM('data cleaning'!$P394)</f>
        <v>Occur Storage</v>
      </c>
      <c r="P394" s="17" t="s">
        <v>1914</v>
      </c>
      <c r="Q394" s="17">
        <v>1972.49</v>
      </c>
      <c r="R394" s="17">
        <v>3</v>
      </c>
      <c r="S394" s="17">
        <v>0</v>
      </c>
      <c r="T394" s="18">
        <v>-48.56</v>
      </c>
    </row>
    <row r="395" spans="1:20" ht="15.6" x14ac:dyDescent="0.3">
      <c r="A395" s="19" t="s">
        <v>406</v>
      </c>
      <c r="B395" s="20">
        <v>45400</v>
      </c>
      <c r="C395" s="21">
        <v>45408</v>
      </c>
      <c r="D395" s="22" t="str">
        <f>TRIM('data cleaning'!$E395)</f>
        <v>Richard Hernandez</v>
      </c>
      <c r="E395" s="23" t="s">
        <v>1164</v>
      </c>
      <c r="F395" s="23" t="str">
        <f>TRIM('data cleaning'!$G395)</f>
        <v>Consumer</v>
      </c>
      <c r="G395" s="23" t="s">
        <v>1513</v>
      </c>
      <c r="H395" s="23" t="str">
        <f>TRIM('data cleaning'!$I395)</f>
        <v>South</v>
      </c>
      <c r="I395" s="23" t="s">
        <v>1517</v>
      </c>
      <c r="J395" s="23" t="str">
        <f>TRIM('data cleaning'!$K395)</f>
        <v>Technology</v>
      </c>
      <c r="K395" s="23" t="s">
        <v>1521</v>
      </c>
      <c r="L395" s="23" t="str">
        <f>TRIM('data cleaning'!$M395)</f>
        <v>Phones</v>
      </c>
      <c r="M395" s="23" t="s">
        <v>1530</v>
      </c>
      <c r="N395" s="23" t="str">
        <f>PROPER('data cleaning'!$O395)</f>
        <v>Trade Phones</v>
      </c>
      <c r="O395" s="23" t="str">
        <f>TRIM('data cleaning'!$P395)</f>
        <v>Trade Phones</v>
      </c>
      <c r="P395" s="23" t="s">
        <v>1915</v>
      </c>
      <c r="Q395" s="23">
        <v>2670.69</v>
      </c>
      <c r="R395" s="23">
        <v>10</v>
      </c>
      <c r="S395" s="23">
        <v>0.05</v>
      </c>
      <c r="T395" s="24">
        <v>896.52</v>
      </c>
    </row>
    <row r="396" spans="1:20" ht="15.6" x14ac:dyDescent="0.3">
      <c r="A396" s="13" t="s">
        <v>407</v>
      </c>
      <c r="B396" s="14">
        <v>45435</v>
      </c>
      <c r="C396" s="15">
        <v>45440</v>
      </c>
      <c r="D396" s="16" t="str">
        <f>TRIM('data cleaning'!$E396)</f>
        <v>Marissa Fox</v>
      </c>
      <c r="E396" s="17" t="s">
        <v>1165</v>
      </c>
      <c r="F396" s="17" t="str">
        <f>TRIM('data cleaning'!$G396)</f>
        <v>Corporate</v>
      </c>
      <c r="G396" s="17" t="s">
        <v>1514</v>
      </c>
      <c r="H396" s="17" t="str">
        <f>TRIM('data cleaning'!$I396)</f>
        <v>East</v>
      </c>
      <c r="I396" s="17" t="s">
        <v>1519</v>
      </c>
      <c r="J396" s="17" t="str">
        <f>TRIM('data cleaning'!$K396)</f>
        <v>Office Supplies</v>
      </c>
      <c r="K396" s="17" t="s">
        <v>1520</v>
      </c>
      <c r="L396" s="17" t="str">
        <f>TRIM('data cleaning'!$M396)</f>
        <v>Binders</v>
      </c>
      <c r="M396" s="17" t="s">
        <v>1523</v>
      </c>
      <c r="N396" s="17" t="str">
        <f>PROPER('data cleaning'!$O396)</f>
        <v>With Binders</v>
      </c>
      <c r="O396" s="17" t="str">
        <f>TRIM('data cleaning'!$P396)</f>
        <v>With Binders</v>
      </c>
      <c r="P396" s="17" t="s">
        <v>1916</v>
      </c>
      <c r="Q396" s="17">
        <v>2691.76</v>
      </c>
      <c r="R396" s="17">
        <v>1</v>
      </c>
      <c r="S396" s="17">
        <v>0.05</v>
      </c>
      <c r="T396" s="18">
        <v>313.94</v>
      </c>
    </row>
    <row r="397" spans="1:20" ht="15.6" x14ac:dyDescent="0.3">
      <c r="A397" s="19" t="s">
        <v>408</v>
      </c>
      <c r="B397" s="20">
        <v>46052</v>
      </c>
      <c r="C397" s="21">
        <v>46056</v>
      </c>
      <c r="D397" s="22" t="str">
        <f>TRIM('data cleaning'!$E397)</f>
        <v>Megan Aguilar</v>
      </c>
      <c r="E397" s="23" t="s">
        <v>1166</v>
      </c>
      <c r="F397" s="23" t="str">
        <f>TRIM('data cleaning'!$G397)</f>
        <v>Home Office</v>
      </c>
      <c r="G397" s="23" t="s">
        <v>1515</v>
      </c>
      <c r="H397" s="23" t="str">
        <f>TRIM('data cleaning'!$I397)</f>
        <v>East</v>
      </c>
      <c r="I397" s="23" t="s">
        <v>1519</v>
      </c>
      <c r="J397" s="23" t="str">
        <f>TRIM('data cleaning'!$K397)</f>
        <v>Furniture</v>
      </c>
      <c r="K397" s="23" t="s">
        <v>1522</v>
      </c>
      <c r="L397" s="23" t="str">
        <f>TRIM('data cleaning'!$M397)</f>
        <v>Chairs</v>
      </c>
      <c r="M397" s="23" t="s">
        <v>1531</v>
      </c>
      <c r="N397" s="23" t="str">
        <f>PROPER('data cleaning'!$O397)</f>
        <v>Those Chairs</v>
      </c>
      <c r="O397" s="23" t="str">
        <f>TRIM('data cleaning'!$P397)</f>
        <v>Those Chairs</v>
      </c>
      <c r="P397" s="23" t="s">
        <v>1917</v>
      </c>
      <c r="Q397" s="23">
        <v>2982.97</v>
      </c>
      <c r="R397" s="23">
        <v>6</v>
      </c>
      <c r="S397" s="23">
        <v>0.2</v>
      </c>
      <c r="T397" s="24">
        <v>-550.32000000000005</v>
      </c>
    </row>
    <row r="398" spans="1:20" ht="15.6" x14ac:dyDescent="0.3">
      <c r="A398" s="13" t="s">
        <v>409</v>
      </c>
      <c r="B398" s="14">
        <v>45329</v>
      </c>
      <c r="C398" s="15">
        <v>45332</v>
      </c>
      <c r="D398" s="16" t="str">
        <f>TRIM('data cleaning'!$E398)</f>
        <v>David Rice</v>
      </c>
      <c r="E398" s="17" t="s">
        <v>1167</v>
      </c>
      <c r="F398" s="17" t="str">
        <f>TRIM('data cleaning'!$G398)</f>
        <v>Consumer</v>
      </c>
      <c r="G398" s="17" t="s">
        <v>1513</v>
      </c>
      <c r="H398" s="17" t="str">
        <f>TRIM('data cleaning'!$I398)</f>
        <v>West</v>
      </c>
      <c r="I398" s="17" t="s">
        <v>1518</v>
      </c>
      <c r="J398" s="17" t="str">
        <f>TRIM('data cleaning'!$K398)</f>
        <v>Office Supplies</v>
      </c>
      <c r="K398" s="17" t="s">
        <v>1520</v>
      </c>
      <c r="L398" s="17" t="str">
        <f>TRIM('data cleaning'!$M398)</f>
        <v>Storage</v>
      </c>
      <c r="M398" s="17" t="s">
        <v>1525</v>
      </c>
      <c r="N398" s="17" t="str">
        <f>PROPER('data cleaning'!$O398)</f>
        <v>Between Storage</v>
      </c>
      <c r="O398" s="17" t="str">
        <f>TRIM('data cleaning'!$P398)</f>
        <v>Between Storage</v>
      </c>
      <c r="P398" s="17" t="s">
        <v>1918</v>
      </c>
      <c r="Q398" s="17">
        <v>2837.39</v>
      </c>
      <c r="R398" s="17">
        <v>4</v>
      </c>
      <c r="S398" s="17">
        <v>0.15</v>
      </c>
      <c r="T398" s="18">
        <v>278.54000000000002</v>
      </c>
    </row>
    <row r="399" spans="1:20" ht="15.6" x14ac:dyDescent="0.3">
      <c r="A399" s="19" t="s">
        <v>410</v>
      </c>
      <c r="B399" s="20">
        <v>45426</v>
      </c>
      <c r="C399" s="21">
        <v>45427</v>
      </c>
      <c r="D399" s="22" t="str">
        <f>TRIM('data cleaning'!$E399)</f>
        <v>Larry Carter</v>
      </c>
      <c r="E399" s="23" t="s">
        <v>1168</v>
      </c>
      <c r="F399" s="23" t="str">
        <f>TRIM('data cleaning'!$G399)</f>
        <v>Consumer</v>
      </c>
      <c r="G399" s="23" t="s">
        <v>1513</v>
      </c>
      <c r="H399" s="23" t="str">
        <f>TRIM('data cleaning'!$I399)</f>
        <v>East</v>
      </c>
      <c r="I399" s="23" t="s">
        <v>1519</v>
      </c>
      <c r="J399" s="23" t="str">
        <f>TRIM('data cleaning'!$K399)</f>
        <v>Furniture</v>
      </c>
      <c r="K399" s="23" t="s">
        <v>1522</v>
      </c>
      <c r="L399" s="23" t="str">
        <f>TRIM('data cleaning'!$M399)</f>
        <v>Chairs</v>
      </c>
      <c r="M399" s="23" t="s">
        <v>1531</v>
      </c>
      <c r="N399" s="23" t="str">
        <f>PROPER('data cleaning'!$O399)</f>
        <v>Production Chairs</v>
      </c>
      <c r="O399" s="23" t="str">
        <f>TRIM('data cleaning'!$P399)</f>
        <v>Production Chairs</v>
      </c>
      <c r="P399" s="23" t="s">
        <v>1919</v>
      </c>
      <c r="Q399" s="23">
        <v>1201.49</v>
      </c>
      <c r="R399" s="23">
        <v>4</v>
      </c>
      <c r="S399" s="23">
        <v>0</v>
      </c>
      <c r="T399" s="24">
        <v>107.59</v>
      </c>
    </row>
    <row r="400" spans="1:20" ht="15.6" x14ac:dyDescent="0.3">
      <c r="A400" s="13" t="s">
        <v>411</v>
      </c>
      <c r="B400" s="14">
        <v>46125</v>
      </c>
      <c r="C400" s="15">
        <v>46128</v>
      </c>
      <c r="D400" s="16" t="str">
        <f>TRIM('data cleaning'!$E400)</f>
        <v>Kellie Barnett</v>
      </c>
      <c r="E400" s="17" t="s">
        <v>1169</v>
      </c>
      <c r="F400" s="17" t="str">
        <f>TRIM('data cleaning'!$G400)</f>
        <v>Consumer</v>
      </c>
      <c r="G400" s="17" t="s">
        <v>1513</v>
      </c>
      <c r="H400" s="17" t="str">
        <f>TRIM('data cleaning'!$I400)</f>
        <v>South</v>
      </c>
      <c r="I400" s="17" t="s">
        <v>1517</v>
      </c>
      <c r="J400" s="17" t="str">
        <f>TRIM('data cleaning'!$K400)</f>
        <v>Office Supplies</v>
      </c>
      <c r="K400" s="17" t="s">
        <v>1520</v>
      </c>
      <c r="L400" s="17" t="str">
        <f>TRIM('data cleaning'!$M400)</f>
        <v>Binders</v>
      </c>
      <c r="M400" s="17" t="s">
        <v>1523</v>
      </c>
      <c r="N400" s="17" t="str">
        <f>PROPER('data cleaning'!$O400)</f>
        <v>Military Binders</v>
      </c>
      <c r="O400" s="17" t="str">
        <f>TRIM('data cleaning'!$P400)</f>
        <v>Military Binders</v>
      </c>
      <c r="P400" s="17" t="s">
        <v>1920</v>
      </c>
      <c r="Q400" s="17">
        <v>1736.76</v>
      </c>
      <c r="R400" s="17">
        <v>3</v>
      </c>
      <c r="S400" s="17">
        <v>0.1</v>
      </c>
      <c r="T400" s="18">
        <v>-290.45999999999998</v>
      </c>
    </row>
    <row r="401" spans="1:20" ht="15.6" x14ac:dyDescent="0.3">
      <c r="A401" s="19" t="s">
        <v>412</v>
      </c>
      <c r="B401" s="20">
        <v>45266</v>
      </c>
      <c r="C401" s="21">
        <v>45272</v>
      </c>
      <c r="D401" s="22" t="str">
        <f>TRIM('data cleaning'!$E401)</f>
        <v>Elizabeth Park</v>
      </c>
      <c r="E401" s="23" t="s">
        <v>1139</v>
      </c>
      <c r="F401" s="23" t="str">
        <f>TRIM('data cleaning'!$G401)</f>
        <v>Corporate</v>
      </c>
      <c r="G401" s="23" t="s">
        <v>1514</v>
      </c>
      <c r="H401" s="23" t="str">
        <f>TRIM('data cleaning'!$I401)</f>
        <v>North</v>
      </c>
      <c r="I401" s="23" t="s">
        <v>1516</v>
      </c>
      <c r="J401" s="23" t="str">
        <f>TRIM('data cleaning'!$K401)</f>
        <v>Furniture</v>
      </c>
      <c r="K401" s="23" t="s">
        <v>1522</v>
      </c>
      <c r="L401" s="23" t="str">
        <f>TRIM('data cleaning'!$M401)</f>
        <v>Bookcases</v>
      </c>
      <c r="M401" s="23" t="s">
        <v>1527</v>
      </c>
      <c r="N401" s="23" t="str">
        <f>PROPER('data cleaning'!$O401)</f>
        <v>Through Bookcases</v>
      </c>
      <c r="O401" s="23" t="str">
        <f>TRIM('data cleaning'!$P401)</f>
        <v>Through Bookcases</v>
      </c>
      <c r="P401" s="23" t="s">
        <v>1921</v>
      </c>
      <c r="Q401" s="23">
        <v>4804.7700000000004</v>
      </c>
      <c r="R401" s="23">
        <v>6</v>
      </c>
      <c r="S401" s="23"/>
      <c r="T401" s="24">
        <v>1528.19</v>
      </c>
    </row>
    <row r="402" spans="1:20" ht="15.6" x14ac:dyDescent="0.3">
      <c r="A402" s="13" t="s">
        <v>413</v>
      </c>
      <c r="B402" s="14">
        <v>45757</v>
      </c>
      <c r="C402" s="15">
        <v>45763</v>
      </c>
      <c r="D402" s="16" t="str">
        <f>TRIM('data cleaning'!$E402)</f>
        <v>Francisco Martinez</v>
      </c>
      <c r="E402" s="17" t="s">
        <v>1170</v>
      </c>
      <c r="F402" s="17" t="str">
        <f>TRIM('data cleaning'!$G402)</f>
        <v>Home Office</v>
      </c>
      <c r="G402" s="17" t="s">
        <v>1515</v>
      </c>
      <c r="H402" s="17" t="str">
        <f>TRIM('data cleaning'!$I402)</f>
        <v>West</v>
      </c>
      <c r="I402" s="17" t="s">
        <v>1518</v>
      </c>
      <c r="J402" s="17" t="str">
        <f>TRIM('data cleaning'!$K402)</f>
        <v>Technology</v>
      </c>
      <c r="K402" s="17" t="s">
        <v>1521</v>
      </c>
      <c r="L402" s="17" t="str">
        <f>TRIM('data cleaning'!$M402)</f>
        <v>Accessories</v>
      </c>
      <c r="M402" s="17" t="s">
        <v>1526</v>
      </c>
      <c r="N402" s="17" t="str">
        <f>PROPER('data cleaning'!$O402)</f>
        <v>Modern Accessories</v>
      </c>
      <c r="O402" s="17" t="str">
        <f>TRIM('data cleaning'!$P402)</f>
        <v>Modern Accessories</v>
      </c>
      <c r="P402" s="17" t="s">
        <v>1922</v>
      </c>
      <c r="Q402" s="17">
        <v>725.44</v>
      </c>
      <c r="R402" s="17">
        <v>3</v>
      </c>
      <c r="S402" s="17"/>
      <c r="T402" s="18">
        <v>233.43</v>
      </c>
    </row>
    <row r="403" spans="1:20" ht="15.6" x14ac:dyDescent="0.3">
      <c r="A403" s="19" t="s">
        <v>414</v>
      </c>
      <c r="B403" s="20">
        <v>45800</v>
      </c>
      <c r="C403" s="21">
        <v>45803</v>
      </c>
      <c r="D403" s="22" t="str">
        <f>TRIM('data cleaning'!$E403)</f>
        <v>John Velazquez</v>
      </c>
      <c r="E403" s="23" t="s">
        <v>1171</v>
      </c>
      <c r="F403" s="23" t="str">
        <f>TRIM('data cleaning'!$G403)</f>
        <v>Home Office</v>
      </c>
      <c r="G403" s="23" t="s">
        <v>1515</v>
      </c>
      <c r="H403" s="23" t="str">
        <f>TRIM('data cleaning'!$I403)</f>
        <v>East</v>
      </c>
      <c r="I403" s="23" t="s">
        <v>1519</v>
      </c>
      <c r="J403" s="23" t="str">
        <f>TRIM('data cleaning'!$K403)</f>
        <v>Office Supplies</v>
      </c>
      <c r="K403" s="23" t="s">
        <v>1520</v>
      </c>
      <c r="L403" s="23" t="str">
        <f>TRIM('data cleaning'!$M403)</f>
        <v>Paper</v>
      </c>
      <c r="M403" s="23" t="s">
        <v>1524</v>
      </c>
      <c r="N403" s="23" t="str">
        <f>PROPER('data cleaning'!$O403)</f>
        <v>Artist Paper</v>
      </c>
      <c r="O403" s="23" t="str">
        <f>TRIM('data cleaning'!$P403)</f>
        <v>Artist Paper</v>
      </c>
      <c r="P403" s="23" t="s">
        <v>1923</v>
      </c>
      <c r="Q403" s="23">
        <v>3550.56</v>
      </c>
      <c r="R403" s="23">
        <v>9</v>
      </c>
      <c r="S403" s="23"/>
      <c r="T403" s="24">
        <v>1027.1099999999999</v>
      </c>
    </row>
    <row r="404" spans="1:20" ht="15.6" x14ac:dyDescent="0.3">
      <c r="A404" s="13" t="s">
        <v>415</v>
      </c>
      <c r="B404" s="14">
        <v>45374</v>
      </c>
      <c r="C404" s="15">
        <v>45384</v>
      </c>
      <c r="D404" s="16" t="str">
        <f>TRIM('data cleaning'!$E404)</f>
        <v>Laura Cox</v>
      </c>
      <c r="E404" s="17" t="s">
        <v>1172</v>
      </c>
      <c r="F404" s="17" t="str">
        <f>TRIM('data cleaning'!$G404)</f>
        <v>Corporate</v>
      </c>
      <c r="G404" s="17" t="s">
        <v>1514</v>
      </c>
      <c r="H404" s="17" t="str">
        <f>TRIM('data cleaning'!$I404)</f>
        <v>South</v>
      </c>
      <c r="I404" s="17" t="s">
        <v>1517</v>
      </c>
      <c r="J404" s="17" t="str">
        <f>TRIM('data cleaning'!$K404)</f>
        <v>Furniture</v>
      </c>
      <c r="K404" s="17" t="s">
        <v>1522</v>
      </c>
      <c r="L404" s="17" t="str">
        <f>TRIM('data cleaning'!$M404)</f>
        <v>Bookcases</v>
      </c>
      <c r="M404" s="17" t="s">
        <v>1527</v>
      </c>
      <c r="N404" s="17" t="str">
        <f>PROPER('data cleaning'!$O404)</f>
        <v>Best Bookcases</v>
      </c>
      <c r="O404" s="17" t="str">
        <f>TRIM('data cleaning'!$P404)</f>
        <v>Best Bookcases</v>
      </c>
      <c r="P404" s="17" t="s">
        <v>1711</v>
      </c>
      <c r="Q404" s="17">
        <v>4081.55</v>
      </c>
      <c r="R404" s="17">
        <v>7</v>
      </c>
      <c r="S404" s="17">
        <v>0.1</v>
      </c>
      <c r="T404" s="18">
        <v>831.4</v>
      </c>
    </row>
    <row r="405" spans="1:20" ht="15.6" x14ac:dyDescent="0.3">
      <c r="A405" s="19" t="s">
        <v>416</v>
      </c>
      <c r="B405" s="20">
        <v>45767</v>
      </c>
      <c r="C405" s="21">
        <v>45768</v>
      </c>
      <c r="D405" s="22" t="str">
        <f>TRIM('data cleaning'!$E405)</f>
        <v>Heather Mccarthy</v>
      </c>
      <c r="E405" s="23" t="s">
        <v>1173</v>
      </c>
      <c r="F405" s="23" t="str">
        <f>TRIM('data cleaning'!$G405)</f>
        <v>Home Office</v>
      </c>
      <c r="G405" s="23" t="s">
        <v>1515</v>
      </c>
      <c r="H405" s="23" t="str">
        <f>TRIM('data cleaning'!$I405)</f>
        <v/>
      </c>
      <c r="I405" s="23"/>
      <c r="J405" s="23" t="str">
        <f>TRIM('data cleaning'!$K405)</f>
        <v>Furniture</v>
      </c>
      <c r="K405" s="23" t="s">
        <v>1522</v>
      </c>
      <c r="L405" s="23" t="str">
        <f>TRIM('data cleaning'!$M405)</f>
        <v>Bookcases</v>
      </c>
      <c r="M405" s="23" t="s">
        <v>1527</v>
      </c>
      <c r="N405" s="23" t="str">
        <f>PROPER('data cleaning'!$O405)</f>
        <v>Argue Bookcases</v>
      </c>
      <c r="O405" s="23" t="str">
        <f>TRIM('data cleaning'!$P405)</f>
        <v>Argue Bookcases</v>
      </c>
      <c r="P405" s="23" t="s">
        <v>1924</v>
      </c>
      <c r="Q405" s="23">
        <v>4746.5</v>
      </c>
      <c r="R405" s="23">
        <v>10</v>
      </c>
      <c r="S405" s="23">
        <v>0.15</v>
      </c>
      <c r="T405" s="24">
        <v>1271.6600000000001</v>
      </c>
    </row>
    <row r="406" spans="1:20" ht="15.6" x14ac:dyDescent="0.3">
      <c r="A406" s="13" t="s">
        <v>417</v>
      </c>
      <c r="B406" s="14">
        <v>45434</v>
      </c>
      <c r="C406" s="15">
        <v>45440</v>
      </c>
      <c r="D406" s="16" t="str">
        <f>TRIM('data cleaning'!$E406)</f>
        <v>Nicholas Butler</v>
      </c>
      <c r="E406" s="17" t="s">
        <v>1174</v>
      </c>
      <c r="F406" s="17" t="str">
        <f>TRIM('data cleaning'!$G406)</f>
        <v>Consumer</v>
      </c>
      <c r="G406" s="17" t="s">
        <v>1513</v>
      </c>
      <c r="H406" s="17" t="str">
        <f>TRIM('data cleaning'!$I406)</f>
        <v>West</v>
      </c>
      <c r="I406" s="17" t="s">
        <v>1518</v>
      </c>
      <c r="J406" s="17" t="str">
        <f>TRIM('data cleaning'!$K406)</f>
        <v>Furniture</v>
      </c>
      <c r="K406" s="17" t="s">
        <v>1522</v>
      </c>
      <c r="L406" s="17" t="str">
        <f>TRIM('data cleaning'!$M406)</f>
        <v>Bookcases</v>
      </c>
      <c r="M406" s="17" t="s">
        <v>1527</v>
      </c>
      <c r="N406" s="17" t="str">
        <f>PROPER('data cleaning'!$O406)</f>
        <v>Pattern Bookcases</v>
      </c>
      <c r="O406" s="17" t="str">
        <f>TRIM('data cleaning'!$P406)</f>
        <v>Pattern Bookcases</v>
      </c>
      <c r="P406" s="17" t="s">
        <v>1925</v>
      </c>
      <c r="Q406" s="17">
        <v>4609.1400000000003</v>
      </c>
      <c r="R406" s="17">
        <v>10</v>
      </c>
      <c r="S406" s="17">
        <v>0.05</v>
      </c>
      <c r="T406" s="18">
        <v>699.69</v>
      </c>
    </row>
    <row r="407" spans="1:20" ht="15.6" x14ac:dyDescent="0.3">
      <c r="A407" s="19" t="s">
        <v>418</v>
      </c>
      <c r="B407" s="20">
        <v>45150</v>
      </c>
      <c r="C407" s="21">
        <v>45152</v>
      </c>
      <c r="D407" s="22" t="str">
        <f>TRIM('data cleaning'!$E407)</f>
        <v>Richard Robinson</v>
      </c>
      <c r="E407" s="23" t="s">
        <v>1175</v>
      </c>
      <c r="F407" s="23" t="str">
        <f>TRIM('data cleaning'!$G407)</f>
        <v>Consumer</v>
      </c>
      <c r="G407" s="23" t="s">
        <v>1513</v>
      </c>
      <c r="H407" s="23" t="str">
        <f>TRIM('data cleaning'!$I407)</f>
        <v>East</v>
      </c>
      <c r="I407" s="23" t="s">
        <v>1519</v>
      </c>
      <c r="J407" s="23" t="str">
        <f>TRIM('data cleaning'!$K407)</f>
        <v>Furniture</v>
      </c>
      <c r="K407" s="23" t="s">
        <v>1522</v>
      </c>
      <c r="L407" s="23" t="str">
        <f>TRIM('data cleaning'!$M407)</f>
        <v>Tables</v>
      </c>
      <c r="M407" s="23" t="s">
        <v>1529</v>
      </c>
      <c r="N407" s="23" t="str">
        <f>PROPER('data cleaning'!$O407)</f>
        <v>Pretty Tables</v>
      </c>
      <c r="O407" s="23" t="str">
        <f>TRIM('data cleaning'!$P407)</f>
        <v>Pretty Tables</v>
      </c>
      <c r="P407" s="23" t="s">
        <v>1926</v>
      </c>
      <c r="Q407" s="23">
        <v>1228.08</v>
      </c>
      <c r="R407" s="23">
        <v>6</v>
      </c>
      <c r="S407" s="23">
        <v>0.05</v>
      </c>
      <c r="T407" s="24">
        <v>184.09</v>
      </c>
    </row>
    <row r="408" spans="1:20" ht="15.6" x14ac:dyDescent="0.3">
      <c r="A408" s="13" t="s">
        <v>419</v>
      </c>
      <c r="B408" s="14">
        <v>45504</v>
      </c>
      <c r="C408" s="15">
        <v>45509</v>
      </c>
      <c r="D408" s="16" t="str">
        <f>TRIM('data cleaning'!$E408)</f>
        <v>David Johnson</v>
      </c>
      <c r="E408" s="17" t="s">
        <v>1176</v>
      </c>
      <c r="F408" s="17" t="str">
        <f>TRIM('data cleaning'!$G408)</f>
        <v>Consumer</v>
      </c>
      <c r="G408" s="17" t="s">
        <v>1513</v>
      </c>
      <c r="H408" s="17" t="str">
        <f>TRIM('data cleaning'!$I408)</f>
        <v>North</v>
      </c>
      <c r="I408" s="17" t="s">
        <v>1516</v>
      </c>
      <c r="J408" s="17" t="str">
        <f>TRIM('data cleaning'!$K408)</f>
        <v>Technology</v>
      </c>
      <c r="K408" s="17" t="s">
        <v>1521</v>
      </c>
      <c r="L408" s="17" t="str">
        <f>TRIM('data cleaning'!$M408)</f>
        <v>Phones</v>
      </c>
      <c r="M408" s="17" t="s">
        <v>1530</v>
      </c>
      <c r="N408" s="17" t="str">
        <f>PROPER('data cleaning'!$O408)</f>
        <v>Candidate Phones</v>
      </c>
      <c r="O408" s="17" t="str">
        <f>TRIM('data cleaning'!$P408)</f>
        <v>Candidate Phones</v>
      </c>
      <c r="P408" s="17" t="s">
        <v>1927</v>
      </c>
      <c r="Q408" s="17">
        <v>1087.94</v>
      </c>
      <c r="R408" s="17">
        <v>2</v>
      </c>
      <c r="S408" s="17">
        <v>0.1</v>
      </c>
      <c r="T408" s="18">
        <v>-64.010000000000005</v>
      </c>
    </row>
    <row r="409" spans="1:20" ht="15.6" x14ac:dyDescent="0.3">
      <c r="A409" s="19" t="s">
        <v>420</v>
      </c>
      <c r="B409" s="20">
        <v>45898</v>
      </c>
      <c r="C409" s="21">
        <v>45906</v>
      </c>
      <c r="D409" s="22" t="str">
        <f>TRIM('data cleaning'!$E409)</f>
        <v>Guy Moore</v>
      </c>
      <c r="E409" s="23" t="s">
        <v>1177</v>
      </c>
      <c r="F409" s="23" t="str">
        <f>TRIM('data cleaning'!$G409)</f>
        <v/>
      </c>
      <c r="G409" s="23"/>
      <c r="H409" s="23" t="str">
        <f>TRIM('data cleaning'!$I409)</f>
        <v>East</v>
      </c>
      <c r="I409" s="23" t="s">
        <v>1519</v>
      </c>
      <c r="J409" s="23" t="str">
        <f>TRIM('data cleaning'!$K409)</f>
        <v>Furniture</v>
      </c>
      <c r="K409" s="23" t="s">
        <v>1522</v>
      </c>
      <c r="L409" s="23" t="str">
        <f>TRIM('data cleaning'!$M409)</f>
        <v>Tables</v>
      </c>
      <c r="M409" s="23" t="s">
        <v>1529</v>
      </c>
      <c r="N409" s="23" t="str">
        <f>PROPER('data cleaning'!$O409)</f>
        <v>Customer Tables</v>
      </c>
      <c r="O409" s="23" t="str">
        <f>TRIM('data cleaning'!$P409)</f>
        <v>Customer Tables</v>
      </c>
      <c r="P409" s="23" t="s">
        <v>1641</v>
      </c>
      <c r="Q409" s="23">
        <v>3676.29</v>
      </c>
      <c r="R409" s="23">
        <v>3</v>
      </c>
      <c r="S409" s="23">
        <v>0.15</v>
      </c>
      <c r="T409" s="24">
        <v>261.73</v>
      </c>
    </row>
    <row r="410" spans="1:20" ht="15.6" x14ac:dyDescent="0.3">
      <c r="A410" s="13" t="s">
        <v>421</v>
      </c>
      <c r="B410" s="14" t="s">
        <v>772</v>
      </c>
      <c r="C410" s="15">
        <v>46133</v>
      </c>
      <c r="D410" s="16" t="str">
        <f>TRIM('data cleaning'!$E410)</f>
        <v>Brandon Chang</v>
      </c>
      <c r="E410" s="17" t="s">
        <v>1178</v>
      </c>
      <c r="F410" s="17" t="str">
        <f>TRIM('data cleaning'!$G410)</f>
        <v>Consumer</v>
      </c>
      <c r="G410" s="17" t="s">
        <v>1513</v>
      </c>
      <c r="H410" s="17" t="str">
        <f>TRIM('data cleaning'!$I410)</f>
        <v>South</v>
      </c>
      <c r="I410" s="17" t="s">
        <v>1517</v>
      </c>
      <c r="J410" s="17" t="str">
        <f>TRIM('data cleaning'!$K410)</f>
        <v>Office Supplies</v>
      </c>
      <c r="K410" s="17" t="s">
        <v>1520</v>
      </c>
      <c r="L410" s="17" t="str">
        <f>TRIM('data cleaning'!$M410)</f>
        <v>Paper</v>
      </c>
      <c r="M410" s="17" t="s">
        <v>1524</v>
      </c>
      <c r="N410" s="17" t="str">
        <f>PROPER('data cleaning'!$O410)</f>
        <v>Town Paper</v>
      </c>
      <c r="O410" s="17" t="str">
        <f>TRIM('data cleaning'!$P410)</f>
        <v>Town Paper</v>
      </c>
      <c r="P410" s="17" t="s">
        <v>1928</v>
      </c>
      <c r="Q410" s="17">
        <v>4152.59</v>
      </c>
      <c r="R410" s="17">
        <v>10</v>
      </c>
      <c r="S410" s="17"/>
      <c r="T410" s="18">
        <v>901.25</v>
      </c>
    </row>
    <row r="411" spans="1:20" ht="15.6" x14ac:dyDescent="0.3">
      <c r="A411" s="19" t="s">
        <v>422</v>
      </c>
      <c r="B411" s="20">
        <v>45848</v>
      </c>
      <c r="C411" s="21">
        <v>45849</v>
      </c>
      <c r="D411" s="22" t="str">
        <f>TRIM('data cleaning'!$E411)</f>
        <v>Virginia Silva</v>
      </c>
      <c r="E411" s="23" t="s">
        <v>1179</v>
      </c>
      <c r="F411" s="23" t="str">
        <f>TRIM('data cleaning'!$G411)</f>
        <v>Consumer</v>
      </c>
      <c r="G411" s="23" t="s">
        <v>1513</v>
      </c>
      <c r="H411" s="23" t="str">
        <f>TRIM('data cleaning'!$I411)</f>
        <v>East</v>
      </c>
      <c r="I411" s="23" t="s">
        <v>1519</v>
      </c>
      <c r="J411" s="23" t="str">
        <f>TRIM('data cleaning'!$K411)</f>
        <v>Technology</v>
      </c>
      <c r="K411" s="23" t="s">
        <v>1521</v>
      </c>
      <c r="L411" s="23" t="str">
        <f>TRIM('data cleaning'!$M411)</f>
        <v>Phones</v>
      </c>
      <c r="M411" s="23" t="s">
        <v>1530</v>
      </c>
      <c r="N411" s="23" t="str">
        <f>PROPER('data cleaning'!$O411)</f>
        <v>Writer Phones</v>
      </c>
      <c r="O411" s="23" t="str">
        <f>TRIM('data cleaning'!$P411)</f>
        <v>Writer Phones</v>
      </c>
      <c r="P411" s="23" t="s">
        <v>1929</v>
      </c>
      <c r="Q411" s="23">
        <v>1509.8</v>
      </c>
      <c r="R411" s="23">
        <v>6</v>
      </c>
      <c r="S411" s="23">
        <v>0.1</v>
      </c>
      <c r="T411" s="24">
        <v>488.29</v>
      </c>
    </row>
    <row r="412" spans="1:20" ht="15.6" x14ac:dyDescent="0.3">
      <c r="A412" s="13" t="s">
        <v>423</v>
      </c>
      <c r="B412" s="14">
        <v>46090</v>
      </c>
      <c r="C412" s="15">
        <v>46093</v>
      </c>
      <c r="D412" s="16" t="str">
        <f>TRIM('data cleaning'!$E412)</f>
        <v>Patricia Snyder</v>
      </c>
      <c r="E412" s="17" t="s">
        <v>1180</v>
      </c>
      <c r="F412" s="17" t="str">
        <f>TRIM('data cleaning'!$G412)</f>
        <v>Home Office</v>
      </c>
      <c r="G412" s="17" t="s">
        <v>1515</v>
      </c>
      <c r="H412" s="17" t="str">
        <f>TRIM('data cleaning'!$I412)</f>
        <v>West</v>
      </c>
      <c r="I412" s="17" t="s">
        <v>1518</v>
      </c>
      <c r="J412" s="17" t="str">
        <f>TRIM('data cleaning'!$K412)</f>
        <v>Furniture</v>
      </c>
      <c r="K412" s="17" t="s">
        <v>1522</v>
      </c>
      <c r="L412" s="17" t="str">
        <f>TRIM('data cleaning'!$M412)</f>
        <v>Tables</v>
      </c>
      <c r="M412" s="17" t="s">
        <v>1529</v>
      </c>
      <c r="N412" s="17" t="str">
        <f>PROPER('data cleaning'!$O412)</f>
        <v>First Tables</v>
      </c>
      <c r="O412" s="17" t="str">
        <f>TRIM('data cleaning'!$P412)</f>
        <v>First Tables</v>
      </c>
      <c r="P412" s="17" t="s">
        <v>1930</v>
      </c>
      <c r="Q412" s="17">
        <v>3673.33</v>
      </c>
      <c r="R412" s="17">
        <v>9</v>
      </c>
      <c r="S412" s="17">
        <v>0</v>
      </c>
      <c r="T412" s="18">
        <v>-51.89</v>
      </c>
    </row>
    <row r="413" spans="1:20" ht="15.6" x14ac:dyDescent="0.3">
      <c r="A413" s="19" t="s">
        <v>424</v>
      </c>
      <c r="B413" s="20">
        <v>45230</v>
      </c>
      <c r="C413" s="21">
        <v>45237</v>
      </c>
      <c r="D413" s="22" t="str">
        <f>TRIM('data cleaning'!$E413)</f>
        <v>Sarah Diaz</v>
      </c>
      <c r="E413" s="23" t="s">
        <v>1181</v>
      </c>
      <c r="F413" s="23" t="str">
        <f>TRIM('data cleaning'!$G413)</f>
        <v>Consumer</v>
      </c>
      <c r="G413" s="23" t="s">
        <v>1513</v>
      </c>
      <c r="H413" s="23" t="str">
        <f>TRIM('data cleaning'!$I413)</f>
        <v>North</v>
      </c>
      <c r="I413" s="23" t="s">
        <v>1516</v>
      </c>
      <c r="J413" s="23" t="str">
        <f>TRIM('data cleaning'!$K413)</f>
        <v>Office Supplies</v>
      </c>
      <c r="K413" s="23" t="s">
        <v>1520</v>
      </c>
      <c r="L413" s="23" t="str">
        <f>TRIM('data cleaning'!$M413)</f>
        <v>Binders</v>
      </c>
      <c r="M413" s="23" t="s">
        <v>1523</v>
      </c>
      <c r="N413" s="23" t="str">
        <f>PROPER('data cleaning'!$O413)</f>
        <v>Own Binders</v>
      </c>
      <c r="O413" s="23" t="str">
        <f>TRIM('data cleaning'!$P413)</f>
        <v>Own Binders</v>
      </c>
      <c r="P413" s="23" t="s">
        <v>1931</v>
      </c>
      <c r="Q413" s="23">
        <v>4715.09</v>
      </c>
      <c r="R413" s="23">
        <v>3</v>
      </c>
      <c r="S413" s="23">
        <v>0.2</v>
      </c>
      <c r="T413" s="24">
        <v>1364.38</v>
      </c>
    </row>
    <row r="414" spans="1:20" ht="15.6" x14ac:dyDescent="0.3">
      <c r="A414" s="13" t="s">
        <v>425</v>
      </c>
      <c r="B414" s="14">
        <v>45588</v>
      </c>
      <c r="C414" s="15">
        <v>45592</v>
      </c>
      <c r="D414" s="16" t="str">
        <f>TRIM('data cleaning'!$E414)</f>
        <v>Dawn Peterson</v>
      </c>
      <c r="E414" s="17" t="s">
        <v>1182</v>
      </c>
      <c r="F414" s="17" t="str">
        <f>TRIM('data cleaning'!$G414)</f>
        <v>Home Office</v>
      </c>
      <c r="G414" s="17" t="s">
        <v>1515</v>
      </c>
      <c r="H414" s="17" t="str">
        <f>TRIM('data cleaning'!$I414)</f>
        <v>East</v>
      </c>
      <c r="I414" s="17" t="s">
        <v>1519</v>
      </c>
      <c r="J414" s="17" t="str">
        <f>TRIM('data cleaning'!$K414)</f>
        <v>Furniture</v>
      </c>
      <c r="K414" s="17" t="s">
        <v>1522</v>
      </c>
      <c r="L414" s="17" t="str">
        <f>TRIM('data cleaning'!$M414)</f>
        <v>Tables</v>
      </c>
      <c r="M414" s="17" t="s">
        <v>1529</v>
      </c>
      <c r="N414" s="17" t="str">
        <f>PROPER('data cleaning'!$O414)</f>
        <v>They Tables</v>
      </c>
      <c r="O414" s="17" t="str">
        <f>TRIM('data cleaning'!$P414)</f>
        <v>They Tables</v>
      </c>
      <c r="P414" s="17" t="s">
        <v>1932</v>
      </c>
      <c r="Q414" s="17">
        <v>4873.2700000000004</v>
      </c>
      <c r="R414" s="17">
        <v>7</v>
      </c>
      <c r="S414" s="17"/>
      <c r="T414" s="18">
        <v>510.53</v>
      </c>
    </row>
    <row r="415" spans="1:20" ht="15.6" x14ac:dyDescent="0.3">
      <c r="A415" s="19" t="s">
        <v>426</v>
      </c>
      <c r="B415" s="20">
        <v>45184</v>
      </c>
      <c r="C415" s="21">
        <v>45189</v>
      </c>
      <c r="D415" s="22" t="str">
        <f>TRIM('data cleaning'!$E415)</f>
        <v>Kyle Sandoval</v>
      </c>
      <c r="E415" s="23" t="s">
        <v>1183</v>
      </c>
      <c r="F415" s="23" t="str">
        <f>TRIM('data cleaning'!$G415)</f>
        <v>Corporate</v>
      </c>
      <c r="G415" s="23" t="s">
        <v>1514</v>
      </c>
      <c r="H415" s="23" t="str">
        <f>TRIM('data cleaning'!$I415)</f>
        <v>South</v>
      </c>
      <c r="I415" s="23" t="s">
        <v>1517</v>
      </c>
      <c r="J415" s="23" t="str">
        <f>TRIM('data cleaning'!$K415)</f>
        <v>Office Supplies</v>
      </c>
      <c r="K415" s="23" t="s">
        <v>1520</v>
      </c>
      <c r="L415" s="23" t="str">
        <f>TRIM('data cleaning'!$M415)</f>
        <v>Paper</v>
      </c>
      <c r="M415" s="23" t="s">
        <v>1524</v>
      </c>
      <c r="N415" s="23" t="str">
        <f>PROPER('data cleaning'!$O415)</f>
        <v>Example Paper</v>
      </c>
      <c r="O415" s="23" t="str">
        <f>TRIM('data cleaning'!$P415)</f>
        <v>Example Paper</v>
      </c>
      <c r="P415" s="23" t="s">
        <v>1544</v>
      </c>
      <c r="Q415" s="23">
        <v>1225.8599999999999</v>
      </c>
      <c r="R415" s="23">
        <v>1</v>
      </c>
      <c r="S415" s="23">
        <v>0.15</v>
      </c>
      <c r="T415" s="24">
        <v>140.33000000000001</v>
      </c>
    </row>
    <row r="416" spans="1:20" ht="15.6" x14ac:dyDescent="0.3">
      <c r="A416" s="13" t="s">
        <v>427</v>
      </c>
      <c r="B416" s="14">
        <v>45457</v>
      </c>
      <c r="C416" s="15">
        <v>45458</v>
      </c>
      <c r="D416" s="16" t="str">
        <f>TRIM('data cleaning'!$E416)</f>
        <v>Eric Hatfield</v>
      </c>
      <c r="E416" s="17" t="s">
        <v>1184</v>
      </c>
      <c r="F416" s="17" t="str">
        <f>TRIM('data cleaning'!$G416)</f>
        <v>Corporate</v>
      </c>
      <c r="G416" s="17" t="s">
        <v>1514</v>
      </c>
      <c r="H416" s="17" t="str">
        <f>TRIM('data cleaning'!$I416)</f>
        <v>South</v>
      </c>
      <c r="I416" s="17" t="s">
        <v>1517</v>
      </c>
      <c r="J416" s="17" t="str">
        <f>TRIM('data cleaning'!$K416)</f>
        <v>Furniture</v>
      </c>
      <c r="K416" s="17" t="s">
        <v>1522</v>
      </c>
      <c r="L416" s="17" t="str">
        <f>TRIM('data cleaning'!$M416)</f>
        <v>Tables</v>
      </c>
      <c r="M416" s="17" t="s">
        <v>1529</v>
      </c>
      <c r="N416" s="17" t="str">
        <f>PROPER('data cleaning'!$O416)</f>
        <v>Else Tables</v>
      </c>
      <c r="O416" s="17" t="str">
        <f>TRIM('data cleaning'!$P416)</f>
        <v>Else Tables</v>
      </c>
      <c r="P416" s="17" t="s">
        <v>1933</v>
      </c>
      <c r="Q416" s="17">
        <v>2166.65</v>
      </c>
      <c r="R416" s="17">
        <v>5</v>
      </c>
      <c r="S416" s="17"/>
      <c r="T416" s="18">
        <v>311.56</v>
      </c>
    </row>
    <row r="417" spans="1:20" ht="15.6" x14ac:dyDescent="0.3">
      <c r="A417" s="19" t="s">
        <v>428</v>
      </c>
      <c r="B417" s="20">
        <v>45939</v>
      </c>
      <c r="C417" s="21">
        <v>45943</v>
      </c>
      <c r="D417" s="22" t="str">
        <f>TRIM('data cleaning'!$E417)</f>
        <v>Phillip Nelson</v>
      </c>
      <c r="E417" s="23" t="s">
        <v>1185</v>
      </c>
      <c r="F417" s="23" t="str">
        <f>TRIM('data cleaning'!$G417)</f>
        <v>Consumer</v>
      </c>
      <c r="G417" s="23" t="s">
        <v>1513</v>
      </c>
      <c r="H417" s="23" t="str">
        <f>TRIM('data cleaning'!$I417)</f>
        <v>East</v>
      </c>
      <c r="I417" s="23" t="s">
        <v>1519</v>
      </c>
      <c r="J417" s="23" t="str">
        <f>TRIM('data cleaning'!$K417)</f>
        <v>Furniture</v>
      </c>
      <c r="K417" s="23" t="s">
        <v>1522</v>
      </c>
      <c r="L417" s="23" t="str">
        <f>TRIM('data cleaning'!$M417)</f>
        <v>Chairs</v>
      </c>
      <c r="M417" s="23" t="s">
        <v>1531</v>
      </c>
      <c r="N417" s="23" t="str">
        <f>PROPER('data cleaning'!$O417)</f>
        <v>Discussion Chairs</v>
      </c>
      <c r="O417" s="23" t="str">
        <f>TRIM('data cleaning'!$P417)</f>
        <v>Discussion Chairs</v>
      </c>
      <c r="P417" s="23" t="s">
        <v>1934</v>
      </c>
      <c r="Q417" s="23">
        <v>895.62</v>
      </c>
      <c r="R417" s="23">
        <v>5</v>
      </c>
      <c r="S417" s="23">
        <v>0</v>
      </c>
      <c r="T417" s="24">
        <v>54.15</v>
      </c>
    </row>
    <row r="418" spans="1:20" ht="15.6" x14ac:dyDescent="0.3">
      <c r="A418" s="13" t="s">
        <v>429</v>
      </c>
      <c r="B418" s="14">
        <v>46033</v>
      </c>
      <c r="C418" s="15">
        <v>46041</v>
      </c>
      <c r="D418" s="16" t="str">
        <f>TRIM('data cleaning'!$E418)</f>
        <v>Kim Burns</v>
      </c>
      <c r="E418" s="17" t="s">
        <v>1186</v>
      </c>
      <c r="F418" s="17" t="str">
        <f>TRIM('data cleaning'!$G418)</f>
        <v>Corporate</v>
      </c>
      <c r="G418" s="17" t="s">
        <v>1514</v>
      </c>
      <c r="H418" s="17" t="str">
        <f>TRIM('data cleaning'!$I418)</f>
        <v>South</v>
      </c>
      <c r="I418" s="17" t="s">
        <v>1517</v>
      </c>
      <c r="J418" s="17" t="str">
        <f>TRIM('data cleaning'!$K418)</f>
        <v>Technology</v>
      </c>
      <c r="K418" s="17" t="s">
        <v>1521</v>
      </c>
      <c r="L418" s="17" t="str">
        <f>TRIM('data cleaning'!$M418)</f>
        <v>Accessories</v>
      </c>
      <c r="M418" s="17" t="s">
        <v>1526</v>
      </c>
      <c r="N418" s="17" t="str">
        <f>PROPER('data cleaning'!$O418)</f>
        <v>Democrat Accessories</v>
      </c>
      <c r="O418" s="17" t="str">
        <f>TRIM('data cleaning'!$P418)</f>
        <v>Democrat Accessories</v>
      </c>
      <c r="P418" s="17" t="s">
        <v>1935</v>
      </c>
      <c r="Q418" s="17">
        <v>4479.6400000000003</v>
      </c>
      <c r="R418" s="17">
        <v>5</v>
      </c>
      <c r="S418" s="17">
        <v>0</v>
      </c>
      <c r="T418" s="18">
        <v>685.5</v>
      </c>
    </row>
    <row r="419" spans="1:20" ht="15.6" x14ac:dyDescent="0.3">
      <c r="A419" s="19" t="s">
        <v>430</v>
      </c>
      <c r="B419" s="20">
        <v>46084</v>
      </c>
      <c r="C419" s="21">
        <v>46090</v>
      </c>
      <c r="D419" s="22" t="str">
        <f>TRIM('data cleaning'!$E419)</f>
        <v>Melissa Tucker</v>
      </c>
      <c r="E419" s="23" t="s">
        <v>1187</v>
      </c>
      <c r="F419" s="23" t="str">
        <f>TRIM('data cleaning'!$G419)</f>
        <v>Corporate</v>
      </c>
      <c r="G419" s="23" t="s">
        <v>1514</v>
      </c>
      <c r="H419" s="23" t="str">
        <f>TRIM('data cleaning'!$I419)</f>
        <v>South</v>
      </c>
      <c r="I419" s="23" t="s">
        <v>1517</v>
      </c>
      <c r="J419" s="23" t="str">
        <f>TRIM('data cleaning'!$K419)</f>
        <v>Technology</v>
      </c>
      <c r="K419" s="23" t="s">
        <v>1521</v>
      </c>
      <c r="L419" s="23" t="str">
        <f>TRIM('data cleaning'!$M419)</f>
        <v>Accessories</v>
      </c>
      <c r="M419" s="23" t="s">
        <v>1526</v>
      </c>
      <c r="N419" s="23" t="str">
        <f>PROPER('data cleaning'!$O419)</f>
        <v>Protect Accessories</v>
      </c>
      <c r="O419" s="23" t="str">
        <f>TRIM('data cleaning'!$P419)</f>
        <v>Protect Accessories</v>
      </c>
      <c r="P419" s="23" t="s">
        <v>1936</v>
      </c>
      <c r="Q419" s="23">
        <v>973.59</v>
      </c>
      <c r="R419" s="23">
        <v>1</v>
      </c>
      <c r="S419" s="23">
        <v>0.1</v>
      </c>
      <c r="T419" s="24">
        <v>40.75</v>
      </c>
    </row>
    <row r="420" spans="1:20" ht="15.6" x14ac:dyDescent="0.3">
      <c r="A420" s="13" t="s">
        <v>431</v>
      </c>
      <c r="B420" s="14">
        <v>45691</v>
      </c>
      <c r="C420" s="15">
        <v>45692</v>
      </c>
      <c r="D420" s="16" t="str">
        <f>TRIM('data cleaning'!$E420)</f>
        <v>Mark Valdez</v>
      </c>
      <c r="E420" s="17" t="s">
        <v>1188</v>
      </c>
      <c r="F420" s="17" t="str">
        <f>TRIM('data cleaning'!$G420)</f>
        <v>Home Office</v>
      </c>
      <c r="G420" s="17" t="s">
        <v>1515</v>
      </c>
      <c r="H420" s="17" t="str">
        <f>TRIM('data cleaning'!$I420)</f>
        <v>West</v>
      </c>
      <c r="I420" s="17" t="s">
        <v>1518</v>
      </c>
      <c r="J420" s="17" t="str">
        <f>TRIM('data cleaning'!$K420)</f>
        <v>Technology</v>
      </c>
      <c r="K420" s="17" t="s">
        <v>1521</v>
      </c>
      <c r="L420" s="17" t="str">
        <f>TRIM('data cleaning'!$M420)</f>
        <v>Laptops</v>
      </c>
      <c r="M420" s="17" t="s">
        <v>1528</v>
      </c>
      <c r="N420" s="17" t="str">
        <f>PROPER('data cleaning'!$O420)</f>
        <v>Thus Laptops</v>
      </c>
      <c r="O420" s="17" t="str">
        <f>TRIM('data cleaning'!$P420)</f>
        <v>Thus Laptops</v>
      </c>
      <c r="P420" s="17" t="s">
        <v>1937</v>
      </c>
      <c r="Q420" s="17">
        <v>798.1</v>
      </c>
      <c r="R420" s="17">
        <v>2</v>
      </c>
      <c r="S420" s="17">
        <v>0</v>
      </c>
      <c r="T420" s="18">
        <v>133.66</v>
      </c>
    </row>
    <row r="421" spans="1:20" ht="15.6" x14ac:dyDescent="0.3">
      <c r="A421" s="19" t="s">
        <v>432</v>
      </c>
      <c r="B421" s="20">
        <v>45141</v>
      </c>
      <c r="C421" s="21">
        <v>45150</v>
      </c>
      <c r="D421" s="22" t="str">
        <f>TRIM('data cleaning'!$E421)</f>
        <v>Frances Wallace</v>
      </c>
      <c r="E421" s="23" t="s">
        <v>1189</v>
      </c>
      <c r="F421" s="23" t="str">
        <f>TRIM('data cleaning'!$G421)</f>
        <v>Home Office</v>
      </c>
      <c r="G421" s="23" t="s">
        <v>1515</v>
      </c>
      <c r="H421" s="23" t="str">
        <f>TRIM('data cleaning'!$I421)</f>
        <v>West</v>
      </c>
      <c r="I421" s="23" t="s">
        <v>1518</v>
      </c>
      <c r="J421" s="23" t="str">
        <f>TRIM('data cleaning'!$K421)</f>
        <v>Office Supplies</v>
      </c>
      <c r="K421" s="23" t="s">
        <v>1520</v>
      </c>
      <c r="L421" s="23" t="str">
        <f>TRIM('data cleaning'!$M421)</f>
        <v>Binders</v>
      </c>
      <c r="M421" s="23" t="s">
        <v>1523</v>
      </c>
      <c r="N421" s="23" t="str">
        <f>PROPER('data cleaning'!$O421)</f>
        <v>Plan Binders</v>
      </c>
      <c r="O421" s="23" t="str">
        <f>TRIM('data cleaning'!$P421)</f>
        <v>Plan Binders</v>
      </c>
      <c r="P421" s="23" t="s">
        <v>1938</v>
      </c>
      <c r="Q421" s="23">
        <v>351.87</v>
      </c>
      <c r="R421" s="23">
        <v>7</v>
      </c>
      <c r="S421" s="23">
        <v>0.2</v>
      </c>
      <c r="T421" s="24">
        <v>10.64</v>
      </c>
    </row>
    <row r="422" spans="1:20" ht="15.6" x14ac:dyDescent="0.3">
      <c r="A422" s="13" t="s">
        <v>433</v>
      </c>
      <c r="B422" s="14">
        <v>45234</v>
      </c>
      <c r="C422" s="15">
        <v>45242</v>
      </c>
      <c r="D422" s="16" t="str">
        <f>TRIM('data cleaning'!$E422)</f>
        <v>Tyler Page</v>
      </c>
      <c r="E422" s="17" t="s">
        <v>1190</v>
      </c>
      <c r="F422" s="17" t="str">
        <f>TRIM('data cleaning'!$G422)</f>
        <v>Home Office</v>
      </c>
      <c r="G422" s="17" t="s">
        <v>1515</v>
      </c>
      <c r="H422" s="17" t="str">
        <f>TRIM('data cleaning'!$I422)</f>
        <v/>
      </c>
      <c r="I422" s="17"/>
      <c r="J422" s="17" t="str">
        <f>TRIM('data cleaning'!$K422)</f>
        <v>Office Supplies</v>
      </c>
      <c r="K422" s="17" t="s">
        <v>1520</v>
      </c>
      <c r="L422" s="17" t="str">
        <f>TRIM('data cleaning'!$M422)</f>
        <v>Binders</v>
      </c>
      <c r="M422" s="17" t="s">
        <v>1523</v>
      </c>
      <c r="N422" s="17" t="str">
        <f>PROPER('data cleaning'!$O422)</f>
        <v>Cause Binders</v>
      </c>
      <c r="O422" s="17" t="str">
        <f>TRIM('data cleaning'!$P422)</f>
        <v>Cause Binders</v>
      </c>
      <c r="P422" s="17" t="s">
        <v>1939</v>
      </c>
      <c r="Q422" s="17">
        <v>1529.32</v>
      </c>
      <c r="R422" s="17">
        <v>7</v>
      </c>
      <c r="S422" s="17"/>
      <c r="T422" s="18">
        <v>-276.64999999999998</v>
      </c>
    </row>
    <row r="423" spans="1:20" ht="15.6" x14ac:dyDescent="0.3">
      <c r="A423" s="19" t="s">
        <v>434</v>
      </c>
      <c r="B423" s="20">
        <v>45133</v>
      </c>
      <c r="C423" s="21">
        <v>45136</v>
      </c>
      <c r="D423" s="22" t="str">
        <f>TRIM('data cleaning'!$E423)</f>
        <v>Erin Williams</v>
      </c>
      <c r="E423" s="23" t="s">
        <v>1191</v>
      </c>
      <c r="F423" s="23" t="str">
        <f>TRIM('data cleaning'!$G423)</f>
        <v>Consumer</v>
      </c>
      <c r="G423" s="23" t="s">
        <v>1513</v>
      </c>
      <c r="H423" s="23" t="str">
        <f>TRIM('data cleaning'!$I423)</f>
        <v>North</v>
      </c>
      <c r="I423" s="23" t="s">
        <v>1516</v>
      </c>
      <c r="J423" s="23" t="str">
        <f>TRIM('data cleaning'!$K423)</f>
        <v>Furniture</v>
      </c>
      <c r="K423" s="23" t="s">
        <v>1522</v>
      </c>
      <c r="L423" s="23" t="str">
        <f>TRIM('data cleaning'!$M423)</f>
        <v>Tables</v>
      </c>
      <c r="M423" s="23" t="s">
        <v>1529</v>
      </c>
      <c r="N423" s="23" t="str">
        <f>PROPER('data cleaning'!$O423)</f>
        <v>Real Tables</v>
      </c>
      <c r="O423" s="23" t="str">
        <f>TRIM('data cleaning'!$P423)</f>
        <v>Real Tables</v>
      </c>
      <c r="P423" s="23" t="s">
        <v>1940</v>
      </c>
      <c r="Q423" s="23">
        <v>4747.8500000000004</v>
      </c>
      <c r="R423" s="23">
        <v>3</v>
      </c>
      <c r="S423" s="23">
        <v>0.05</v>
      </c>
      <c r="T423" s="24">
        <v>1161.58</v>
      </c>
    </row>
    <row r="424" spans="1:20" ht="15.6" x14ac:dyDescent="0.3">
      <c r="A424" s="13" t="s">
        <v>435</v>
      </c>
      <c r="B424" s="14">
        <v>45699</v>
      </c>
      <c r="C424" s="15">
        <v>45706</v>
      </c>
      <c r="D424" s="16" t="str">
        <f>TRIM('data cleaning'!$E424)</f>
        <v>John Snow</v>
      </c>
      <c r="E424" s="17" t="s">
        <v>1192</v>
      </c>
      <c r="F424" s="17" t="str">
        <f>TRIM('data cleaning'!$G424)</f>
        <v>Home Office</v>
      </c>
      <c r="G424" s="17" t="s">
        <v>1515</v>
      </c>
      <c r="H424" s="17" t="str">
        <f>TRIM('data cleaning'!$I424)</f>
        <v>North</v>
      </c>
      <c r="I424" s="17" t="s">
        <v>1516</v>
      </c>
      <c r="J424" s="17" t="str">
        <f>TRIM('data cleaning'!$K424)</f>
        <v>Technology</v>
      </c>
      <c r="K424" s="17" t="s">
        <v>1521</v>
      </c>
      <c r="L424" s="17" t="str">
        <f>TRIM('data cleaning'!$M424)</f>
        <v>Phones</v>
      </c>
      <c r="M424" s="17" t="s">
        <v>1530</v>
      </c>
      <c r="N424" s="17" t="str">
        <f>PROPER('data cleaning'!$O424)</f>
        <v>Use Phones</v>
      </c>
      <c r="O424" s="17" t="str">
        <f>TRIM('data cleaning'!$P424)</f>
        <v>Use Phones</v>
      </c>
      <c r="P424" s="17" t="s">
        <v>1941</v>
      </c>
      <c r="Q424" s="17">
        <v>1049.5</v>
      </c>
      <c r="R424" s="17">
        <v>3</v>
      </c>
      <c r="S424" s="17">
        <v>0.2</v>
      </c>
      <c r="T424" s="18">
        <v>-61.04</v>
      </c>
    </row>
    <row r="425" spans="1:20" ht="15.6" x14ac:dyDescent="0.3">
      <c r="A425" s="19" t="s">
        <v>436</v>
      </c>
      <c r="B425" s="20">
        <v>45289</v>
      </c>
      <c r="C425" s="21">
        <v>45298</v>
      </c>
      <c r="D425" s="22" t="str">
        <f>TRIM('data cleaning'!$E425)</f>
        <v>Stephanie Cruz</v>
      </c>
      <c r="E425" s="23" t="s">
        <v>1193</v>
      </c>
      <c r="F425" s="23" t="str">
        <f>TRIM('data cleaning'!$G425)</f>
        <v>Consumer</v>
      </c>
      <c r="G425" s="23" t="s">
        <v>1513</v>
      </c>
      <c r="H425" s="23" t="str">
        <f>TRIM('data cleaning'!$I425)</f>
        <v>West</v>
      </c>
      <c r="I425" s="23" t="s">
        <v>1518</v>
      </c>
      <c r="J425" s="23" t="str">
        <f>TRIM('data cleaning'!$K425)</f>
        <v>Furniture</v>
      </c>
      <c r="K425" s="23" t="s">
        <v>1522</v>
      </c>
      <c r="L425" s="23" t="str">
        <f>TRIM('data cleaning'!$M425)</f>
        <v>Tables</v>
      </c>
      <c r="M425" s="23" t="s">
        <v>1529</v>
      </c>
      <c r="N425" s="23" t="str">
        <f>PROPER('data cleaning'!$O425)</f>
        <v>Far Tables</v>
      </c>
      <c r="O425" s="23" t="str">
        <f>TRIM('data cleaning'!$P425)</f>
        <v>Far Tables</v>
      </c>
      <c r="P425" s="23" t="s">
        <v>1942</v>
      </c>
      <c r="Q425" s="23">
        <v>2016.91</v>
      </c>
      <c r="R425" s="23">
        <v>6</v>
      </c>
      <c r="S425" s="23">
        <v>0.1</v>
      </c>
      <c r="T425" s="24">
        <v>173.11</v>
      </c>
    </row>
    <row r="426" spans="1:20" ht="15.6" x14ac:dyDescent="0.3">
      <c r="A426" s="13" t="s">
        <v>437</v>
      </c>
      <c r="B426" s="14">
        <v>45718</v>
      </c>
      <c r="C426" s="15">
        <v>45721</v>
      </c>
      <c r="D426" s="16" t="str">
        <f>TRIM('data cleaning'!$E426)</f>
        <v>Jordan Mcgee</v>
      </c>
      <c r="E426" s="17" t="s">
        <v>1194</v>
      </c>
      <c r="F426" s="17" t="str">
        <f>TRIM('data cleaning'!$G426)</f>
        <v>Consumer</v>
      </c>
      <c r="G426" s="17" t="s">
        <v>1513</v>
      </c>
      <c r="H426" s="17" t="str">
        <f>TRIM('data cleaning'!$I426)</f>
        <v>North</v>
      </c>
      <c r="I426" s="17" t="s">
        <v>1516</v>
      </c>
      <c r="J426" s="17" t="str">
        <f>TRIM('data cleaning'!$K426)</f>
        <v>Furniture</v>
      </c>
      <c r="K426" s="17" t="s">
        <v>1522</v>
      </c>
      <c r="L426" s="17" t="str">
        <f>TRIM('data cleaning'!$M426)</f>
        <v>Tables</v>
      </c>
      <c r="M426" s="17" t="s">
        <v>1529</v>
      </c>
      <c r="N426" s="17" t="str">
        <f>PROPER('data cleaning'!$O426)</f>
        <v>Affect Tables</v>
      </c>
      <c r="O426" s="17" t="str">
        <f>TRIM('data cleaning'!$P426)</f>
        <v>Affect Tables</v>
      </c>
      <c r="P426" s="17" t="s">
        <v>1943</v>
      </c>
      <c r="Q426" s="17">
        <v>783.59</v>
      </c>
      <c r="R426" s="17">
        <v>10</v>
      </c>
      <c r="S426" s="17">
        <v>0.2</v>
      </c>
      <c r="T426" s="18">
        <v>170.12</v>
      </c>
    </row>
    <row r="427" spans="1:20" ht="15.6" x14ac:dyDescent="0.3">
      <c r="A427" s="19" t="s">
        <v>438</v>
      </c>
      <c r="B427" s="20" t="s">
        <v>773</v>
      </c>
      <c r="C427" s="21">
        <v>45448</v>
      </c>
      <c r="D427" s="22" t="str">
        <f>TRIM('data cleaning'!$E427)</f>
        <v>Christy White</v>
      </c>
      <c r="E427" s="23" t="s">
        <v>1195</v>
      </c>
      <c r="F427" s="23" t="str">
        <f>TRIM('data cleaning'!$G427)</f>
        <v>Home Office</v>
      </c>
      <c r="G427" s="23" t="s">
        <v>1515</v>
      </c>
      <c r="H427" s="23" t="str">
        <f>TRIM('data cleaning'!$I427)</f>
        <v>West</v>
      </c>
      <c r="I427" s="23" t="s">
        <v>1518</v>
      </c>
      <c r="J427" s="23" t="str">
        <f>TRIM('data cleaning'!$K427)</f>
        <v>Office Supplies</v>
      </c>
      <c r="K427" s="23" t="s">
        <v>1520</v>
      </c>
      <c r="L427" s="23" t="str">
        <f>TRIM('data cleaning'!$M427)</f>
        <v>Binders</v>
      </c>
      <c r="M427" s="23" t="s">
        <v>1523</v>
      </c>
      <c r="N427" s="23" t="str">
        <f>PROPER('data cleaning'!$O427)</f>
        <v>New Binders</v>
      </c>
      <c r="O427" s="23" t="str">
        <f>TRIM('data cleaning'!$P427)</f>
        <v>New Binders</v>
      </c>
      <c r="P427" s="23" t="s">
        <v>1944</v>
      </c>
      <c r="Q427" s="23">
        <v>4344</v>
      </c>
      <c r="R427" s="23">
        <v>6</v>
      </c>
      <c r="S427" s="23">
        <v>0.15</v>
      </c>
      <c r="T427" s="24">
        <v>-237.72</v>
      </c>
    </row>
    <row r="428" spans="1:20" ht="15.6" x14ac:dyDescent="0.3">
      <c r="A428" s="13" t="s">
        <v>439</v>
      </c>
      <c r="B428" s="14">
        <v>45974</v>
      </c>
      <c r="C428" s="15">
        <v>45982</v>
      </c>
      <c r="D428" s="16" t="str">
        <f>TRIM('data cleaning'!$E428)</f>
        <v>Shannon Tucker</v>
      </c>
      <c r="E428" s="17" t="s">
        <v>1196</v>
      </c>
      <c r="F428" s="17" t="str">
        <f>TRIM('data cleaning'!$G428)</f>
        <v/>
      </c>
      <c r="G428" s="17"/>
      <c r="H428" s="17" t="str">
        <f>TRIM('data cleaning'!$I428)</f>
        <v>West</v>
      </c>
      <c r="I428" s="17" t="s">
        <v>1518</v>
      </c>
      <c r="J428" s="17" t="str">
        <f>TRIM('data cleaning'!$K428)</f>
        <v>Office Supplies</v>
      </c>
      <c r="K428" s="17" t="s">
        <v>1520</v>
      </c>
      <c r="L428" s="17" t="str">
        <f>TRIM('data cleaning'!$M428)</f>
        <v>Storage</v>
      </c>
      <c r="M428" s="17" t="s">
        <v>1525</v>
      </c>
      <c r="N428" s="17" t="str">
        <f>PROPER('data cleaning'!$O428)</f>
        <v>Keep Storage</v>
      </c>
      <c r="O428" s="17" t="str">
        <f>TRIM('data cleaning'!$P428)</f>
        <v>Keep Storage</v>
      </c>
      <c r="P428" s="17" t="s">
        <v>1945</v>
      </c>
      <c r="Q428" s="17">
        <v>235.46</v>
      </c>
      <c r="R428" s="17">
        <v>5</v>
      </c>
      <c r="S428" s="17">
        <v>0.15</v>
      </c>
      <c r="T428" s="18">
        <v>-28.46</v>
      </c>
    </row>
    <row r="429" spans="1:20" ht="15.6" x14ac:dyDescent="0.3">
      <c r="A429" s="19" t="s">
        <v>440</v>
      </c>
      <c r="B429" s="20">
        <v>45118</v>
      </c>
      <c r="C429" s="21">
        <v>45124</v>
      </c>
      <c r="D429" s="22" t="str">
        <f>TRIM('data cleaning'!$E429)</f>
        <v>Sophia Hughes</v>
      </c>
      <c r="E429" s="23" t="s">
        <v>1197</v>
      </c>
      <c r="F429" s="23" t="str">
        <f>TRIM('data cleaning'!$G429)</f>
        <v>Corporate</v>
      </c>
      <c r="G429" s="23" t="s">
        <v>1514</v>
      </c>
      <c r="H429" s="23" t="str">
        <f>TRIM('data cleaning'!$I429)</f>
        <v>East</v>
      </c>
      <c r="I429" s="23" t="s">
        <v>1519</v>
      </c>
      <c r="J429" s="23" t="str">
        <f>TRIM('data cleaning'!$K429)</f>
        <v>Furniture</v>
      </c>
      <c r="K429" s="23" t="s">
        <v>1522</v>
      </c>
      <c r="L429" s="23" t="str">
        <f>TRIM('data cleaning'!$M429)</f>
        <v>Tables</v>
      </c>
      <c r="M429" s="23" t="s">
        <v>1529</v>
      </c>
      <c r="N429" s="23" t="str">
        <f>PROPER('data cleaning'!$O429)</f>
        <v>Effect Tables</v>
      </c>
      <c r="O429" s="23" t="str">
        <f>TRIM('data cleaning'!$P429)</f>
        <v>Effect Tables</v>
      </c>
      <c r="P429" s="23" t="s">
        <v>1946</v>
      </c>
      <c r="Q429" s="23">
        <v>3468.04</v>
      </c>
      <c r="R429" s="23">
        <v>1</v>
      </c>
      <c r="S429" s="23"/>
      <c r="T429" s="24">
        <v>212.83</v>
      </c>
    </row>
    <row r="430" spans="1:20" ht="15.6" x14ac:dyDescent="0.3">
      <c r="A430" s="13" t="s">
        <v>441</v>
      </c>
      <c r="B430" s="14">
        <v>45199</v>
      </c>
      <c r="C430" s="15">
        <v>45204</v>
      </c>
      <c r="D430" s="16" t="str">
        <f>TRIM('data cleaning'!$E430)</f>
        <v>Michelle Hudson</v>
      </c>
      <c r="E430" s="17" t="s">
        <v>1198</v>
      </c>
      <c r="F430" s="17" t="str">
        <f>TRIM('data cleaning'!$G430)</f>
        <v>Consumer</v>
      </c>
      <c r="G430" s="17" t="s">
        <v>1513</v>
      </c>
      <c r="H430" s="17" t="str">
        <f>TRIM('data cleaning'!$I430)</f>
        <v>South</v>
      </c>
      <c r="I430" s="17" t="s">
        <v>1517</v>
      </c>
      <c r="J430" s="17" t="str">
        <f>TRIM('data cleaning'!$K430)</f>
        <v>Furniture</v>
      </c>
      <c r="K430" s="17" t="s">
        <v>1522</v>
      </c>
      <c r="L430" s="17" t="str">
        <f>TRIM('data cleaning'!$M430)</f>
        <v>Tables</v>
      </c>
      <c r="M430" s="17" t="s">
        <v>1529</v>
      </c>
      <c r="N430" s="17" t="str">
        <f>PROPER('data cleaning'!$O430)</f>
        <v>Still Tables</v>
      </c>
      <c r="O430" s="17" t="str">
        <f>TRIM('data cleaning'!$P430)</f>
        <v>Still Tables</v>
      </c>
      <c r="P430" s="17" t="s">
        <v>1947</v>
      </c>
      <c r="Q430" s="17">
        <v>1589.2</v>
      </c>
      <c r="R430" s="17">
        <v>8</v>
      </c>
      <c r="S430" s="17"/>
      <c r="T430" s="18">
        <v>280.76</v>
      </c>
    </row>
    <row r="431" spans="1:20" ht="15.6" x14ac:dyDescent="0.3">
      <c r="A431" s="19" t="s">
        <v>442</v>
      </c>
      <c r="B431" s="20">
        <v>45498</v>
      </c>
      <c r="C431" s="21">
        <v>45506</v>
      </c>
      <c r="D431" s="22" t="str">
        <f>TRIM('data cleaning'!$E431)</f>
        <v>James Jackson</v>
      </c>
      <c r="E431" s="23" t="s">
        <v>1199</v>
      </c>
      <c r="F431" s="23" t="str">
        <f>TRIM('data cleaning'!$G431)</f>
        <v>Home Office</v>
      </c>
      <c r="G431" s="23" t="s">
        <v>1515</v>
      </c>
      <c r="H431" s="23" t="str">
        <f>TRIM('data cleaning'!$I431)</f>
        <v>North</v>
      </c>
      <c r="I431" s="23" t="s">
        <v>1516</v>
      </c>
      <c r="J431" s="23" t="str">
        <f>TRIM('data cleaning'!$K431)</f>
        <v>Technology</v>
      </c>
      <c r="K431" s="23" t="s">
        <v>1521</v>
      </c>
      <c r="L431" s="23" t="str">
        <f>TRIM('data cleaning'!$M431)</f>
        <v>Laptops</v>
      </c>
      <c r="M431" s="23" t="s">
        <v>1528</v>
      </c>
      <c r="N431" s="23" t="str">
        <f>PROPER('data cleaning'!$O431)</f>
        <v>Put Laptops</v>
      </c>
      <c r="O431" s="23" t="str">
        <f>TRIM('data cleaning'!$P431)</f>
        <v>Put Laptops</v>
      </c>
      <c r="P431" s="23" t="s">
        <v>1948</v>
      </c>
      <c r="Q431" s="23">
        <v>3881.45</v>
      </c>
      <c r="R431" s="23">
        <v>6</v>
      </c>
      <c r="S431" s="23">
        <v>0.1</v>
      </c>
      <c r="T431" s="24">
        <v>779.55</v>
      </c>
    </row>
    <row r="432" spans="1:20" ht="15.6" x14ac:dyDescent="0.3">
      <c r="A432" s="13" t="s">
        <v>443</v>
      </c>
      <c r="B432" s="14">
        <v>46034</v>
      </c>
      <c r="C432" s="15">
        <v>46038</v>
      </c>
      <c r="D432" s="16" t="str">
        <f>TRIM('data cleaning'!$E432)</f>
        <v>David Brennan</v>
      </c>
      <c r="E432" s="17" t="s">
        <v>1200</v>
      </c>
      <c r="F432" s="17" t="str">
        <f>TRIM('data cleaning'!$G432)</f>
        <v>Home Office</v>
      </c>
      <c r="G432" s="17" t="s">
        <v>1515</v>
      </c>
      <c r="H432" s="17" t="str">
        <f>TRIM('data cleaning'!$I432)</f>
        <v>East</v>
      </c>
      <c r="I432" s="17" t="s">
        <v>1519</v>
      </c>
      <c r="J432" s="17" t="str">
        <f>TRIM('data cleaning'!$K432)</f>
        <v>Furniture</v>
      </c>
      <c r="K432" s="17" t="s">
        <v>1522</v>
      </c>
      <c r="L432" s="17" t="str">
        <f>TRIM('data cleaning'!$M432)</f>
        <v>Tables</v>
      </c>
      <c r="M432" s="17" t="s">
        <v>1529</v>
      </c>
      <c r="N432" s="17" t="str">
        <f>PROPER('data cleaning'!$O432)</f>
        <v>Travel Tables</v>
      </c>
      <c r="O432" s="17" t="str">
        <f>TRIM('data cleaning'!$P432)</f>
        <v>Travel Tables</v>
      </c>
      <c r="P432" s="17" t="s">
        <v>1949</v>
      </c>
      <c r="Q432" s="17">
        <v>4571.49</v>
      </c>
      <c r="R432" s="17">
        <v>7</v>
      </c>
      <c r="S432" s="17"/>
      <c r="T432" s="18">
        <v>303.79000000000002</v>
      </c>
    </row>
    <row r="433" spans="1:20" ht="15.6" x14ac:dyDescent="0.3">
      <c r="A433" s="19" t="s">
        <v>444</v>
      </c>
      <c r="B433" s="20">
        <v>45749</v>
      </c>
      <c r="C433" s="21">
        <v>45752</v>
      </c>
      <c r="D433" s="22" t="str">
        <f>TRIM('data cleaning'!$E433)</f>
        <v>Kayla Adkins</v>
      </c>
      <c r="E433" s="23" t="s">
        <v>1201</v>
      </c>
      <c r="F433" s="23" t="str">
        <f>TRIM('data cleaning'!$G433)</f>
        <v>Home Office</v>
      </c>
      <c r="G433" s="23" t="s">
        <v>1515</v>
      </c>
      <c r="H433" s="23" t="str">
        <f>TRIM('data cleaning'!$I433)</f>
        <v>North</v>
      </c>
      <c r="I433" s="23" t="s">
        <v>1516</v>
      </c>
      <c r="J433" s="23" t="str">
        <f>TRIM('data cleaning'!$K433)</f>
        <v>Furniture</v>
      </c>
      <c r="K433" s="23" t="s">
        <v>1522</v>
      </c>
      <c r="L433" s="23" t="str">
        <f>TRIM('data cleaning'!$M433)</f>
        <v>Bookcases</v>
      </c>
      <c r="M433" s="23" t="s">
        <v>1527</v>
      </c>
      <c r="N433" s="23" t="str">
        <f>PROPER('data cleaning'!$O433)</f>
        <v>Amount Bookcases</v>
      </c>
      <c r="O433" s="23" t="str">
        <f>TRIM('data cleaning'!$P433)</f>
        <v>Amount Bookcases</v>
      </c>
      <c r="P433" s="23" t="s">
        <v>1950</v>
      </c>
      <c r="Q433" s="23">
        <v>374.8</v>
      </c>
      <c r="R433" s="23">
        <v>9</v>
      </c>
      <c r="S433" s="23">
        <v>0.15</v>
      </c>
      <c r="T433" s="24">
        <v>-47</v>
      </c>
    </row>
    <row r="434" spans="1:20" ht="15.6" x14ac:dyDescent="0.3">
      <c r="A434" s="13" t="s">
        <v>445</v>
      </c>
      <c r="B434" s="14">
        <v>45604</v>
      </c>
      <c r="C434" s="15">
        <v>45608</v>
      </c>
      <c r="D434" s="16" t="str">
        <f>TRIM('data cleaning'!$E434)</f>
        <v>Joshua Chen</v>
      </c>
      <c r="E434" s="17" t="s">
        <v>1202</v>
      </c>
      <c r="F434" s="17" t="str">
        <f>TRIM('data cleaning'!$G434)</f>
        <v>Corporate</v>
      </c>
      <c r="G434" s="17" t="s">
        <v>1514</v>
      </c>
      <c r="H434" s="17" t="str">
        <f>TRIM('data cleaning'!$I434)</f>
        <v>South</v>
      </c>
      <c r="I434" s="17" t="s">
        <v>1517</v>
      </c>
      <c r="J434" s="17" t="str">
        <f>TRIM('data cleaning'!$K434)</f>
        <v>Furniture</v>
      </c>
      <c r="K434" s="17" t="s">
        <v>1522</v>
      </c>
      <c r="L434" s="17" t="str">
        <f>TRIM('data cleaning'!$M434)</f>
        <v>Chairs</v>
      </c>
      <c r="M434" s="17" t="s">
        <v>1531</v>
      </c>
      <c r="N434" s="17" t="str">
        <f>PROPER('data cleaning'!$O434)</f>
        <v>Usually Chairs</v>
      </c>
      <c r="O434" s="17" t="str">
        <f>TRIM('data cleaning'!$P434)</f>
        <v>Usually Chairs</v>
      </c>
      <c r="P434" s="17" t="s">
        <v>1951</v>
      </c>
      <c r="Q434" s="17">
        <v>4193.03</v>
      </c>
      <c r="R434" s="17">
        <v>4</v>
      </c>
      <c r="S434" s="17">
        <v>0</v>
      </c>
      <c r="T434" s="18">
        <v>214.04</v>
      </c>
    </row>
    <row r="435" spans="1:20" ht="15.6" x14ac:dyDescent="0.3">
      <c r="A435" s="19" t="s">
        <v>446</v>
      </c>
      <c r="B435" s="20">
        <v>45380</v>
      </c>
      <c r="C435" s="21">
        <v>45388</v>
      </c>
      <c r="D435" s="22" t="str">
        <f>TRIM('data cleaning'!$E435)</f>
        <v>Theresa Cohen</v>
      </c>
      <c r="E435" s="23" t="s">
        <v>1203</v>
      </c>
      <c r="F435" s="23" t="str">
        <f>TRIM('data cleaning'!$G435)</f>
        <v>Corporate</v>
      </c>
      <c r="G435" s="23" t="s">
        <v>1514</v>
      </c>
      <c r="H435" s="23" t="str">
        <f>TRIM('data cleaning'!$I435)</f>
        <v>West</v>
      </c>
      <c r="I435" s="23" t="s">
        <v>1518</v>
      </c>
      <c r="J435" s="23" t="str">
        <f>TRIM('data cleaning'!$K435)</f>
        <v>Technology</v>
      </c>
      <c r="K435" s="23" t="s">
        <v>1521</v>
      </c>
      <c r="L435" s="23" t="str">
        <f>TRIM('data cleaning'!$M435)</f>
        <v>Accessories</v>
      </c>
      <c r="M435" s="23" t="s">
        <v>1526</v>
      </c>
      <c r="N435" s="23" t="str">
        <f>PROPER('data cleaning'!$O435)</f>
        <v>Rich Accessories</v>
      </c>
      <c r="O435" s="23" t="str">
        <f>TRIM('data cleaning'!$P435)</f>
        <v>Rich Accessories</v>
      </c>
      <c r="P435" s="23" t="s">
        <v>1952</v>
      </c>
      <c r="Q435" s="23">
        <v>2550.38</v>
      </c>
      <c r="R435" s="23">
        <v>2</v>
      </c>
      <c r="S435" s="23"/>
      <c r="T435" s="24">
        <v>-467.2</v>
      </c>
    </row>
    <row r="436" spans="1:20" ht="15.6" x14ac:dyDescent="0.3">
      <c r="A436" s="13" t="s">
        <v>447</v>
      </c>
      <c r="B436" s="14">
        <v>46117</v>
      </c>
      <c r="C436" s="15">
        <v>46120</v>
      </c>
      <c r="D436" s="16" t="str">
        <f>TRIM('data cleaning'!$E436)</f>
        <v>Christopher Nichols</v>
      </c>
      <c r="E436" s="17" t="s">
        <v>1204</v>
      </c>
      <c r="F436" s="17" t="str">
        <f>TRIM('data cleaning'!$G436)</f>
        <v/>
      </c>
      <c r="G436" s="17"/>
      <c r="H436" s="17" t="str">
        <f>TRIM('data cleaning'!$I436)</f>
        <v>South</v>
      </c>
      <c r="I436" s="17" t="s">
        <v>1517</v>
      </c>
      <c r="J436" s="17" t="str">
        <f>TRIM('data cleaning'!$K436)</f>
        <v>Office Supplies</v>
      </c>
      <c r="K436" s="17" t="s">
        <v>1520</v>
      </c>
      <c r="L436" s="17" t="str">
        <f>TRIM('data cleaning'!$M436)</f>
        <v>Paper</v>
      </c>
      <c r="M436" s="17" t="s">
        <v>1524</v>
      </c>
      <c r="N436" s="17" t="str">
        <f>PROPER('data cleaning'!$O436)</f>
        <v>Candidate Paper</v>
      </c>
      <c r="O436" s="17" t="str">
        <f>TRIM('data cleaning'!$P436)</f>
        <v>Candidate Paper</v>
      </c>
      <c r="P436" s="17" t="s">
        <v>1953</v>
      </c>
      <c r="Q436" s="17">
        <v>4804.58</v>
      </c>
      <c r="R436" s="17">
        <v>8</v>
      </c>
      <c r="S436" s="17">
        <v>0.2</v>
      </c>
      <c r="T436" s="18">
        <v>495.99</v>
      </c>
    </row>
    <row r="437" spans="1:20" ht="15.6" x14ac:dyDescent="0.3">
      <c r="A437" s="19" t="s">
        <v>448</v>
      </c>
      <c r="B437" s="20">
        <v>46061</v>
      </c>
      <c r="C437" s="21">
        <v>46063</v>
      </c>
      <c r="D437" s="22" t="str">
        <f>TRIM('data cleaning'!$E437)</f>
        <v>Daniel Henderson</v>
      </c>
      <c r="E437" s="23" t="s">
        <v>1205</v>
      </c>
      <c r="F437" s="23" t="str">
        <f>TRIM('data cleaning'!$G437)</f>
        <v>Home Office</v>
      </c>
      <c r="G437" s="23" t="s">
        <v>1515</v>
      </c>
      <c r="H437" s="23" t="str">
        <f>TRIM('data cleaning'!$I437)</f>
        <v>South</v>
      </c>
      <c r="I437" s="23" t="s">
        <v>1517</v>
      </c>
      <c r="J437" s="23" t="str">
        <f>TRIM('data cleaning'!$K437)</f>
        <v>Technology</v>
      </c>
      <c r="K437" s="23" t="s">
        <v>1521</v>
      </c>
      <c r="L437" s="23" t="str">
        <f>TRIM('data cleaning'!$M437)</f>
        <v>Laptops</v>
      </c>
      <c r="M437" s="23" t="s">
        <v>1528</v>
      </c>
      <c r="N437" s="23" t="str">
        <f>PROPER('data cleaning'!$O437)</f>
        <v>Walk Laptops</v>
      </c>
      <c r="O437" s="23" t="str">
        <f>TRIM('data cleaning'!$P437)</f>
        <v>Walk Laptops</v>
      </c>
      <c r="P437" s="23" t="s">
        <v>1954</v>
      </c>
      <c r="Q437" s="23">
        <v>1461.09</v>
      </c>
      <c r="R437" s="23">
        <v>7</v>
      </c>
      <c r="S437" s="23">
        <v>0</v>
      </c>
      <c r="T437" s="24">
        <v>-161.31</v>
      </c>
    </row>
    <row r="438" spans="1:20" ht="15.6" x14ac:dyDescent="0.3">
      <c r="A438" s="13" t="s">
        <v>449</v>
      </c>
      <c r="B438" s="14">
        <v>45130</v>
      </c>
      <c r="C438" s="15">
        <v>45134</v>
      </c>
      <c r="D438" s="16" t="str">
        <f>TRIM('data cleaning'!$E438)</f>
        <v>David Sanford</v>
      </c>
      <c r="E438" s="17" t="s">
        <v>1206</v>
      </c>
      <c r="F438" s="17" t="str">
        <f>TRIM('data cleaning'!$G438)</f>
        <v>Consumer</v>
      </c>
      <c r="G438" s="17" t="s">
        <v>1513</v>
      </c>
      <c r="H438" s="17" t="str">
        <f>TRIM('data cleaning'!$I438)</f>
        <v>North</v>
      </c>
      <c r="I438" s="17" t="s">
        <v>1516</v>
      </c>
      <c r="J438" s="17" t="str">
        <f>TRIM('data cleaning'!$K438)</f>
        <v>Furniture</v>
      </c>
      <c r="K438" s="17" t="s">
        <v>1522</v>
      </c>
      <c r="L438" s="17" t="str">
        <f>TRIM('data cleaning'!$M438)</f>
        <v>Bookcases</v>
      </c>
      <c r="M438" s="17" t="s">
        <v>1527</v>
      </c>
      <c r="N438" s="17" t="str">
        <f>PROPER('data cleaning'!$O438)</f>
        <v>Candidate Bookcases</v>
      </c>
      <c r="O438" s="17" t="str">
        <f>TRIM('data cleaning'!$P438)</f>
        <v>Candidate Bookcases</v>
      </c>
      <c r="P438" s="17" t="s">
        <v>1955</v>
      </c>
      <c r="Q438" s="17">
        <v>3404.59</v>
      </c>
      <c r="R438" s="17">
        <v>5</v>
      </c>
      <c r="S438" s="17"/>
      <c r="T438" s="18">
        <v>85.89</v>
      </c>
    </row>
    <row r="439" spans="1:20" ht="15.6" x14ac:dyDescent="0.3">
      <c r="A439" s="19" t="s">
        <v>450</v>
      </c>
      <c r="B439" s="20">
        <v>45901</v>
      </c>
      <c r="C439" s="21">
        <v>45904</v>
      </c>
      <c r="D439" s="22" t="str">
        <f>TRIM('data cleaning'!$E439)</f>
        <v>David Carpenter</v>
      </c>
      <c r="E439" s="23" t="s">
        <v>1207</v>
      </c>
      <c r="F439" s="23" t="str">
        <f>TRIM('data cleaning'!$G439)</f>
        <v>Corporate</v>
      </c>
      <c r="G439" s="23" t="s">
        <v>1514</v>
      </c>
      <c r="H439" s="23" t="str">
        <f>TRIM('data cleaning'!$I439)</f>
        <v>East</v>
      </c>
      <c r="I439" s="23" t="s">
        <v>1519</v>
      </c>
      <c r="J439" s="23" t="str">
        <f>TRIM('data cleaning'!$K439)</f>
        <v>Technology</v>
      </c>
      <c r="K439" s="23" t="s">
        <v>1521</v>
      </c>
      <c r="L439" s="23" t="str">
        <f>TRIM('data cleaning'!$M439)</f>
        <v>Phones</v>
      </c>
      <c r="M439" s="23" t="s">
        <v>1530</v>
      </c>
      <c r="N439" s="23" t="str">
        <f>PROPER('data cleaning'!$O439)</f>
        <v>Hit Phones</v>
      </c>
      <c r="O439" s="23" t="str">
        <f>TRIM('data cleaning'!$P439)</f>
        <v>Hit Phones</v>
      </c>
      <c r="P439" s="23" t="s">
        <v>1956</v>
      </c>
      <c r="Q439" s="23">
        <v>3025.65</v>
      </c>
      <c r="R439" s="23">
        <v>1</v>
      </c>
      <c r="S439" s="23">
        <v>0.05</v>
      </c>
      <c r="T439" s="24">
        <v>-185.13</v>
      </c>
    </row>
    <row r="440" spans="1:20" ht="15.6" x14ac:dyDescent="0.3">
      <c r="A440" s="13" t="s">
        <v>451</v>
      </c>
      <c r="B440" s="14">
        <v>45306</v>
      </c>
      <c r="C440" s="15">
        <v>45312</v>
      </c>
      <c r="D440" s="16" t="str">
        <f>TRIM('data cleaning'!$E440)</f>
        <v>Elizabeth Reid</v>
      </c>
      <c r="E440" s="17" t="s">
        <v>1208</v>
      </c>
      <c r="F440" s="17" t="str">
        <f>TRIM('data cleaning'!$G440)</f>
        <v>Home Office</v>
      </c>
      <c r="G440" s="17" t="s">
        <v>1515</v>
      </c>
      <c r="H440" s="17" t="str">
        <f>TRIM('data cleaning'!$I440)</f>
        <v>West</v>
      </c>
      <c r="I440" s="17" t="s">
        <v>1518</v>
      </c>
      <c r="J440" s="17" t="str">
        <f>TRIM('data cleaning'!$K440)</f>
        <v>Technology</v>
      </c>
      <c r="K440" s="17" t="s">
        <v>1521</v>
      </c>
      <c r="L440" s="17" t="str">
        <f>TRIM('data cleaning'!$M440)</f>
        <v>Accessories</v>
      </c>
      <c r="M440" s="17" t="s">
        <v>1526</v>
      </c>
      <c r="N440" s="17" t="str">
        <f>PROPER('data cleaning'!$O440)</f>
        <v>Health Accessories</v>
      </c>
      <c r="O440" s="17" t="str">
        <f>TRIM('data cleaning'!$P440)</f>
        <v>Health Accessories</v>
      </c>
      <c r="P440" s="17" t="s">
        <v>1957</v>
      </c>
      <c r="Q440" s="17">
        <v>2322.04</v>
      </c>
      <c r="R440" s="17">
        <v>4</v>
      </c>
      <c r="S440" s="17">
        <v>0.15</v>
      </c>
      <c r="T440" s="18">
        <v>-78.53</v>
      </c>
    </row>
    <row r="441" spans="1:20" ht="15.6" x14ac:dyDescent="0.3">
      <c r="A441" s="19" t="s">
        <v>452</v>
      </c>
      <c r="B441" s="20">
        <v>45270</v>
      </c>
      <c r="C441" s="21">
        <v>45271</v>
      </c>
      <c r="D441" s="22" t="str">
        <f>TRIM('data cleaning'!$E441)</f>
        <v>Michaela Grant DDS</v>
      </c>
      <c r="E441" s="23" t="s">
        <v>1209</v>
      </c>
      <c r="F441" s="23" t="str">
        <f>TRIM('data cleaning'!$G441)</f>
        <v>Home Office</v>
      </c>
      <c r="G441" s="23" t="s">
        <v>1515</v>
      </c>
      <c r="H441" s="23" t="str">
        <f>TRIM('data cleaning'!$I441)</f>
        <v/>
      </c>
      <c r="I441" s="23"/>
      <c r="J441" s="23" t="str">
        <f>TRIM('data cleaning'!$K441)</f>
        <v>Office Supplies</v>
      </c>
      <c r="K441" s="23" t="s">
        <v>1520</v>
      </c>
      <c r="L441" s="23" t="str">
        <f>TRIM('data cleaning'!$M441)</f>
        <v>Binders</v>
      </c>
      <c r="M441" s="23" t="s">
        <v>1523</v>
      </c>
      <c r="N441" s="23" t="str">
        <f>PROPER('data cleaning'!$O441)</f>
        <v>Lay Binders</v>
      </c>
      <c r="O441" s="23" t="str">
        <f>TRIM('data cleaning'!$P441)</f>
        <v>Lay Binders</v>
      </c>
      <c r="P441" s="23" t="s">
        <v>1958</v>
      </c>
      <c r="Q441" s="23">
        <v>2581.9899999999998</v>
      </c>
      <c r="R441" s="23">
        <v>6</v>
      </c>
      <c r="S441" s="23">
        <v>0.2</v>
      </c>
      <c r="T441" s="24">
        <v>402.89</v>
      </c>
    </row>
    <row r="442" spans="1:20" ht="15.6" x14ac:dyDescent="0.3">
      <c r="A442" s="13" t="s">
        <v>453</v>
      </c>
      <c r="B442" s="14">
        <v>46069</v>
      </c>
      <c r="C442" s="15">
        <v>46071</v>
      </c>
      <c r="D442" s="16" t="str">
        <f>TRIM('data cleaning'!$E442)</f>
        <v>William Brown</v>
      </c>
      <c r="E442" s="17" t="s">
        <v>1210</v>
      </c>
      <c r="F442" s="17" t="str">
        <f>TRIM('data cleaning'!$G442)</f>
        <v>Corporate</v>
      </c>
      <c r="G442" s="17" t="s">
        <v>1514</v>
      </c>
      <c r="H442" s="17" t="str">
        <f>TRIM('data cleaning'!$I442)</f>
        <v>East</v>
      </c>
      <c r="I442" s="17" t="s">
        <v>1519</v>
      </c>
      <c r="J442" s="17" t="str">
        <f>TRIM('data cleaning'!$K442)</f>
        <v>Technology</v>
      </c>
      <c r="K442" s="17" t="s">
        <v>1521</v>
      </c>
      <c r="L442" s="17" t="str">
        <f>TRIM('data cleaning'!$M442)</f>
        <v>Laptops</v>
      </c>
      <c r="M442" s="17" t="s">
        <v>1528</v>
      </c>
      <c r="N442" s="17" t="str">
        <f>PROPER('data cleaning'!$O442)</f>
        <v>Perhaps Laptops</v>
      </c>
      <c r="O442" s="17" t="str">
        <f>TRIM('data cleaning'!$P442)</f>
        <v>Perhaps Laptops</v>
      </c>
      <c r="P442" s="17" t="s">
        <v>1959</v>
      </c>
      <c r="Q442" s="17">
        <v>2434.61</v>
      </c>
      <c r="R442" s="17">
        <v>6</v>
      </c>
      <c r="S442" s="17">
        <v>0.1</v>
      </c>
      <c r="T442" s="18">
        <v>370.86</v>
      </c>
    </row>
    <row r="443" spans="1:20" ht="15.6" x14ac:dyDescent="0.3">
      <c r="A443" s="19" t="s">
        <v>454</v>
      </c>
      <c r="B443" s="20">
        <v>45885</v>
      </c>
      <c r="C443" s="21">
        <v>45890</v>
      </c>
      <c r="D443" s="22" t="str">
        <f>TRIM('data cleaning'!$E443)</f>
        <v>Walter Holt</v>
      </c>
      <c r="E443" s="23" t="s">
        <v>1211</v>
      </c>
      <c r="F443" s="23" t="str">
        <f>TRIM('data cleaning'!$G443)</f>
        <v>Home Office</v>
      </c>
      <c r="G443" s="23" t="s">
        <v>1515</v>
      </c>
      <c r="H443" s="23" t="str">
        <f>TRIM('data cleaning'!$I443)</f>
        <v>West</v>
      </c>
      <c r="I443" s="23" t="s">
        <v>1518</v>
      </c>
      <c r="J443" s="23" t="str">
        <f>TRIM('data cleaning'!$K443)</f>
        <v>Office Supplies</v>
      </c>
      <c r="K443" s="23" t="s">
        <v>1520</v>
      </c>
      <c r="L443" s="23" t="str">
        <f>TRIM('data cleaning'!$M443)</f>
        <v>Storage</v>
      </c>
      <c r="M443" s="23" t="s">
        <v>1525</v>
      </c>
      <c r="N443" s="23" t="str">
        <f>PROPER('data cleaning'!$O443)</f>
        <v>Might Storage</v>
      </c>
      <c r="O443" s="23" t="str">
        <f>TRIM('data cleaning'!$P443)</f>
        <v>Might Storage</v>
      </c>
      <c r="P443" s="23" t="s">
        <v>1683</v>
      </c>
      <c r="Q443" s="23">
        <v>982.38</v>
      </c>
      <c r="R443" s="23">
        <v>9</v>
      </c>
      <c r="S443" s="23">
        <v>0.05</v>
      </c>
      <c r="T443" s="24">
        <v>289.63</v>
      </c>
    </row>
    <row r="444" spans="1:20" ht="15.6" x14ac:dyDescent="0.3">
      <c r="A444" s="13" t="s">
        <v>455</v>
      </c>
      <c r="B444" s="14">
        <v>45686</v>
      </c>
      <c r="C444" s="15">
        <v>45689</v>
      </c>
      <c r="D444" s="16" t="str">
        <f>TRIM('data cleaning'!$E444)</f>
        <v>Dawn Jones</v>
      </c>
      <c r="E444" s="17" t="s">
        <v>1212</v>
      </c>
      <c r="F444" s="17" t="str">
        <f>TRIM('data cleaning'!$G444)</f>
        <v>Corporate</v>
      </c>
      <c r="G444" s="17" t="s">
        <v>1514</v>
      </c>
      <c r="H444" s="17" t="str">
        <f>TRIM('data cleaning'!$I444)</f>
        <v>West</v>
      </c>
      <c r="I444" s="17" t="s">
        <v>1518</v>
      </c>
      <c r="J444" s="17" t="str">
        <f>TRIM('data cleaning'!$K444)</f>
        <v>Office Supplies</v>
      </c>
      <c r="K444" s="17" t="s">
        <v>1520</v>
      </c>
      <c r="L444" s="17" t="str">
        <f>TRIM('data cleaning'!$M444)</f>
        <v>Paper</v>
      </c>
      <c r="M444" s="17" t="s">
        <v>1524</v>
      </c>
      <c r="N444" s="17" t="str">
        <f>PROPER('data cleaning'!$O444)</f>
        <v>Develop Paper</v>
      </c>
      <c r="O444" s="17" t="str">
        <f>TRIM('data cleaning'!$P444)</f>
        <v>Develop Paper</v>
      </c>
      <c r="P444" s="17" t="s">
        <v>1960</v>
      </c>
      <c r="Q444" s="17">
        <v>3620.35</v>
      </c>
      <c r="R444" s="17">
        <v>8</v>
      </c>
      <c r="S444" s="17">
        <v>0.1</v>
      </c>
      <c r="T444" s="18">
        <v>-207.5</v>
      </c>
    </row>
    <row r="445" spans="1:20" ht="15.6" x14ac:dyDescent="0.3">
      <c r="A445" s="19" t="s">
        <v>456</v>
      </c>
      <c r="B445" s="20">
        <v>45236</v>
      </c>
      <c r="C445" s="21">
        <v>45237</v>
      </c>
      <c r="D445" s="22" t="str">
        <f>TRIM('data cleaning'!$E445)</f>
        <v>Diane Moore</v>
      </c>
      <c r="E445" s="23" t="s">
        <v>1213</v>
      </c>
      <c r="F445" s="23" t="str">
        <f>TRIM('data cleaning'!$G445)</f>
        <v>Home Office</v>
      </c>
      <c r="G445" s="23" t="s">
        <v>1515</v>
      </c>
      <c r="H445" s="23" t="str">
        <f>TRIM('data cleaning'!$I445)</f>
        <v>South</v>
      </c>
      <c r="I445" s="23" t="s">
        <v>1517</v>
      </c>
      <c r="J445" s="23" t="str">
        <f>TRIM('data cleaning'!$K445)</f>
        <v>Technology</v>
      </c>
      <c r="K445" s="23" t="s">
        <v>1521</v>
      </c>
      <c r="L445" s="23" t="str">
        <f>TRIM('data cleaning'!$M445)</f>
        <v>Laptops</v>
      </c>
      <c r="M445" s="23" t="s">
        <v>1528</v>
      </c>
      <c r="N445" s="23" t="str">
        <f>PROPER('data cleaning'!$O445)</f>
        <v>Star Laptops</v>
      </c>
      <c r="O445" s="23" t="str">
        <f>TRIM('data cleaning'!$P445)</f>
        <v>Star Laptops</v>
      </c>
      <c r="P445" s="23" t="s">
        <v>1961</v>
      </c>
      <c r="Q445" s="23">
        <v>2935.97</v>
      </c>
      <c r="R445" s="23">
        <v>10</v>
      </c>
      <c r="S445" s="23">
        <v>0.05</v>
      </c>
      <c r="T445" s="24">
        <v>-33.049999999999997</v>
      </c>
    </row>
    <row r="446" spans="1:20" ht="15.6" x14ac:dyDescent="0.3">
      <c r="A446" s="13" t="s">
        <v>457</v>
      </c>
      <c r="B446" s="14">
        <v>45991</v>
      </c>
      <c r="C446" s="15">
        <v>45999</v>
      </c>
      <c r="D446" s="16" t="str">
        <f>TRIM('data cleaning'!$E446)</f>
        <v>Michelle Lee</v>
      </c>
      <c r="E446" s="17" t="s">
        <v>1214</v>
      </c>
      <c r="F446" s="17" t="str">
        <f>TRIM('data cleaning'!$G446)</f>
        <v>Consumer</v>
      </c>
      <c r="G446" s="17" t="s">
        <v>1513</v>
      </c>
      <c r="H446" s="17" t="str">
        <f>TRIM('data cleaning'!$I446)</f>
        <v>South</v>
      </c>
      <c r="I446" s="17" t="s">
        <v>1517</v>
      </c>
      <c r="J446" s="17" t="str">
        <f>TRIM('data cleaning'!$K446)</f>
        <v>Office Supplies</v>
      </c>
      <c r="K446" s="17" t="s">
        <v>1520</v>
      </c>
      <c r="L446" s="17" t="str">
        <f>TRIM('data cleaning'!$M446)</f>
        <v>Storage</v>
      </c>
      <c r="M446" s="17" t="s">
        <v>1525</v>
      </c>
      <c r="N446" s="17" t="str">
        <f>PROPER('data cleaning'!$O446)</f>
        <v>Film Storage</v>
      </c>
      <c r="O446" s="17" t="str">
        <f>TRIM('data cleaning'!$P446)</f>
        <v>Film Storage</v>
      </c>
      <c r="P446" s="17" t="s">
        <v>1962</v>
      </c>
      <c r="Q446" s="17">
        <v>4537.3100000000004</v>
      </c>
      <c r="R446" s="17">
        <v>6</v>
      </c>
      <c r="S446" s="17">
        <v>0.2</v>
      </c>
      <c r="T446" s="18">
        <v>-158.32</v>
      </c>
    </row>
    <row r="447" spans="1:20" ht="15.6" x14ac:dyDescent="0.3">
      <c r="A447" s="19" t="s">
        <v>458</v>
      </c>
      <c r="B447" s="20">
        <v>45446</v>
      </c>
      <c r="C447" s="21">
        <v>45454</v>
      </c>
      <c r="D447" s="22" t="str">
        <f>TRIM('data cleaning'!$E447)</f>
        <v>Jim Weiss</v>
      </c>
      <c r="E447" s="23" t="s">
        <v>1215</v>
      </c>
      <c r="F447" s="23" t="str">
        <f>TRIM('data cleaning'!$G447)</f>
        <v>Consumer</v>
      </c>
      <c r="G447" s="23" t="s">
        <v>1513</v>
      </c>
      <c r="H447" s="23" t="str">
        <f>TRIM('data cleaning'!$I447)</f>
        <v>East</v>
      </c>
      <c r="I447" s="23" t="s">
        <v>1519</v>
      </c>
      <c r="J447" s="23" t="str">
        <f>TRIM('data cleaning'!$K447)</f>
        <v>Technology</v>
      </c>
      <c r="K447" s="23" t="s">
        <v>1521</v>
      </c>
      <c r="L447" s="23" t="str">
        <f>TRIM('data cleaning'!$M447)</f>
        <v>Phones</v>
      </c>
      <c r="M447" s="23" t="s">
        <v>1530</v>
      </c>
      <c r="N447" s="23" t="str">
        <f>PROPER('data cleaning'!$O447)</f>
        <v>Own Phones</v>
      </c>
      <c r="O447" s="23" t="str">
        <f>TRIM('data cleaning'!$P447)</f>
        <v>Own Phones</v>
      </c>
      <c r="P447" s="23" t="s">
        <v>1963</v>
      </c>
      <c r="Q447" s="23">
        <v>683.32</v>
      </c>
      <c r="R447" s="23">
        <v>5</v>
      </c>
      <c r="S447" s="23"/>
      <c r="T447" s="24">
        <v>167.13</v>
      </c>
    </row>
    <row r="448" spans="1:20" ht="15.6" x14ac:dyDescent="0.3">
      <c r="A448" s="13" t="s">
        <v>459</v>
      </c>
      <c r="B448" s="14">
        <v>45173</v>
      </c>
      <c r="C448" s="15">
        <v>45177</v>
      </c>
      <c r="D448" s="16" t="str">
        <f>TRIM('data cleaning'!$E448)</f>
        <v>Kerry Payne</v>
      </c>
      <c r="E448" s="17" t="s">
        <v>1216</v>
      </c>
      <c r="F448" s="17" t="str">
        <f>TRIM('data cleaning'!$G448)</f>
        <v>Corporate</v>
      </c>
      <c r="G448" s="17" t="s">
        <v>1514</v>
      </c>
      <c r="H448" s="17" t="str">
        <f>TRIM('data cleaning'!$I448)</f>
        <v>East</v>
      </c>
      <c r="I448" s="17" t="s">
        <v>1519</v>
      </c>
      <c r="J448" s="17" t="str">
        <f>TRIM('data cleaning'!$K448)</f>
        <v>Office Supplies</v>
      </c>
      <c r="K448" s="17" t="s">
        <v>1520</v>
      </c>
      <c r="L448" s="17" t="str">
        <f>TRIM('data cleaning'!$M448)</f>
        <v>Binders</v>
      </c>
      <c r="M448" s="17" t="s">
        <v>1523</v>
      </c>
      <c r="N448" s="17" t="str">
        <f>PROPER('data cleaning'!$O448)</f>
        <v>Answer Binders</v>
      </c>
      <c r="O448" s="17" t="str">
        <f>TRIM('data cleaning'!$P448)</f>
        <v>Answer Binders</v>
      </c>
      <c r="P448" s="17" t="s">
        <v>1964</v>
      </c>
      <c r="Q448" s="17">
        <v>1808.65</v>
      </c>
      <c r="R448" s="17">
        <v>5</v>
      </c>
      <c r="S448" s="17">
        <v>0.15</v>
      </c>
      <c r="T448" s="18">
        <v>422.23</v>
      </c>
    </row>
    <row r="449" spans="1:20" ht="15.6" x14ac:dyDescent="0.3">
      <c r="A449" s="19" t="s">
        <v>460</v>
      </c>
      <c r="B449" s="20">
        <v>45468</v>
      </c>
      <c r="C449" s="21">
        <v>45473</v>
      </c>
      <c r="D449" s="22" t="str">
        <f>TRIM('data cleaning'!$E449)</f>
        <v>Gary Garcia</v>
      </c>
      <c r="E449" s="23" t="s">
        <v>1217</v>
      </c>
      <c r="F449" s="23" t="str">
        <f>TRIM('data cleaning'!$G449)</f>
        <v>Home Office</v>
      </c>
      <c r="G449" s="23" t="s">
        <v>1515</v>
      </c>
      <c r="H449" s="23" t="str">
        <f>TRIM('data cleaning'!$I449)</f>
        <v>North</v>
      </c>
      <c r="I449" s="23" t="s">
        <v>1516</v>
      </c>
      <c r="J449" s="23" t="str">
        <f>TRIM('data cleaning'!$K449)</f>
        <v>Technology</v>
      </c>
      <c r="K449" s="23" t="s">
        <v>1521</v>
      </c>
      <c r="L449" s="23" t="str">
        <f>TRIM('data cleaning'!$M449)</f>
        <v>Laptops</v>
      </c>
      <c r="M449" s="23" t="s">
        <v>1528</v>
      </c>
      <c r="N449" s="23" t="str">
        <f>PROPER('data cleaning'!$O449)</f>
        <v>Walk Laptops</v>
      </c>
      <c r="O449" s="23" t="str">
        <f>TRIM('data cleaning'!$P449)</f>
        <v>Walk Laptops</v>
      </c>
      <c r="P449" s="23" t="s">
        <v>1954</v>
      </c>
      <c r="Q449" s="23">
        <v>2345.62</v>
      </c>
      <c r="R449" s="23">
        <v>2</v>
      </c>
      <c r="S449" s="23">
        <v>0.15</v>
      </c>
      <c r="T449" s="24">
        <v>-399.88</v>
      </c>
    </row>
    <row r="450" spans="1:20" ht="15.6" x14ac:dyDescent="0.3">
      <c r="A450" s="13" t="s">
        <v>461</v>
      </c>
      <c r="B450" s="14">
        <v>45396</v>
      </c>
      <c r="C450" s="15">
        <v>45405</v>
      </c>
      <c r="D450" s="16" t="str">
        <f>TRIM('data cleaning'!$E450)</f>
        <v>Amanda Parker</v>
      </c>
      <c r="E450" s="17" t="s">
        <v>1218</v>
      </c>
      <c r="F450" s="17" t="str">
        <f>TRIM('data cleaning'!$G450)</f>
        <v>Consumer</v>
      </c>
      <c r="G450" s="17" t="s">
        <v>1513</v>
      </c>
      <c r="H450" s="17" t="str">
        <f>TRIM('data cleaning'!$I450)</f>
        <v>South</v>
      </c>
      <c r="I450" s="17" t="s">
        <v>1517</v>
      </c>
      <c r="J450" s="17" t="str">
        <f>TRIM('data cleaning'!$K450)</f>
        <v>Technology</v>
      </c>
      <c r="K450" s="17" t="s">
        <v>1521</v>
      </c>
      <c r="L450" s="17" t="str">
        <f>TRIM('data cleaning'!$M450)</f>
        <v>Phones</v>
      </c>
      <c r="M450" s="17" t="s">
        <v>1530</v>
      </c>
      <c r="N450" s="17" t="str">
        <f>PROPER('data cleaning'!$O450)</f>
        <v>Carry Phones</v>
      </c>
      <c r="O450" s="17" t="str">
        <f>TRIM('data cleaning'!$P450)</f>
        <v>Carry Phones</v>
      </c>
      <c r="P450" s="17" t="s">
        <v>1965</v>
      </c>
      <c r="Q450" s="17">
        <v>643.09</v>
      </c>
      <c r="R450" s="17">
        <v>7</v>
      </c>
      <c r="S450" s="17">
        <v>0.2</v>
      </c>
      <c r="T450" s="18">
        <v>-23.09</v>
      </c>
    </row>
    <row r="451" spans="1:20" ht="15.6" x14ac:dyDescent="0.3">
      <c r="A451" s="19" t="s">
        <v>462</v>
      </c>
      <c r="B451" s="20">
        <v>45692</v>
      </c>
      <c r="C451" s="21">
        <v>45698</v>
      </c>
      <c r="D451" s="22" t="str">
        <f>TRIM('data cleaning'!$E451)</f>
        <v>Leah Walton</v>
      </c>
      <c r="E451" s="23" t="s">
        <v>1219</v>
      </c>
      <c r="F451" s="23" t="str">
        <f>TRIM('data cleaning'!$G451)</f>
        <v>Home Office</v>
      </c>
      <c r="G451" s="23" t="s">
        <v>1515</v>
      </c>
      <c r="H451" s="23" t="str">
        <f>TRIM('data cleaning'!$I451)</f>
        <v>South</v>
      </c>
      <c r="I451" s="23" t="s">
        <v>1517</v>
      </c>
      <c r="J451" s="23" t="str">
        <f>TRIM('data cleaning'!$K451)</f>
        <v>Furniture</v>
      </c>
      <c r="K451" s="23" t="s">
        <v>1522</v>
      </c>
      <c r="L451" s="23" t="str">
        <f>TRIM('data cleaning'!$M451)</f>
        <v>Chairs</v>
      </c>
      <c r="M451" s="23" t="s">
        <v>1531</v>
      </c>
      <c r="N451" s="23" t="str">
        <f>PROPER('data cleaning'!$O451)</f>
        <v>Treat Chairs</v>
      </c>
      <c r="O451" s="23" t="str">
        <f>TRIM('data cleaning'!$P451)</f>
        <v>Treat Chairs</v>
      </c>
      <c r="P451" s="23" t="s">
        <v>1966</v>
      </c>
      <c r="Q451" s="23">
        <v>2075.5</v>
      </c>
      <c r="R451" s="23">
        <v>10</v>
      </c>
      <c r="S451" s="23">
        <v>0.15</v>
      </c>
      <c r="T451" s="24">
        <v>-251.61</v>
      </c>
    </row>
    <row r="452" spans="1:20" ht="15.6" x14ac:dyDescent="0.3">
      <c r="A452" s="13" t="s">
        <v>463</v>
      </c>
      <c r="B452" s="14">
        <v>45228</v>
      </c>
      <c r="C452" s="15">
        <v>45234</v>
      </c>
      <c r="D452" s="16" t="str">
        <f>TRIM('data cleaning'!$E452)</f>
        <v>Matthew Nguyen</v>
      </c>
      <c r="E452" s="17" t="s">
        <v>1220</v>
      </c>
      <c r="F452" s="17" t="str">
        <f>TRIM('data cleaning'!$G452)</f>
        <v>Consumer</v>
      </c>
      <c r="G452" s="17" t="s">
        <v>1513</v>
      </c>
      <c r="H452" s="17" t="str">
        <f>TRIM('data cleaning'!$I452)</f>
        <v>West</v>
      </c>
      <c r="I452" s="17" t="s">
        <v>1518</v>
      </c>
      <c r="J452" s="17" t="str">
        <f>TRIM('data cleaning'!$K452)</f>
        <v>Furniture</v>
      </c>
      <c r="K452" s="17" t="s">
        <v>1522</v>
      </c>
      <c r="L452" s="17" t="str">
        <f>TRIM('data cleaning'!$M452)</f>
        <v>Tables</v>
      </c>
      <c r="M452" s="17" t="s">
        <v>1529</v>
      </c>
      <c r="N452" s="17" t="str">
        <f>PROPER('data cleaning'!$O452)</f>
        <v>Way Tables</v>
      </c>
      <c r="O452" s="17" t="str">
        <f>TRIM('data cleaning'!$P452)</f>
        <v>Way Tables</v>
      </c>
      <c r="P452" s="17" t="s">
        <v>1967</v>
      </c>
      <c r="Q452" s="17">
        <v>3173.61</v>
      </c>
      <c r="R452" s="17">
        <v>3</v>
      </c>
      <c r="S452" s="17">
        <v>0.1</v>
      </c>
      <c r="T452" s="18">
        <v>472.79</v>
      </c>
    </row>
    <row r="453" spans="1:20" ht="15.6" x14ac:dyDescent="0.3">
      <c r="A453" s="19" t="s">
        <v>464</v>
      </c>
      <c r="B453" s="20">
        <v>45696</v>
      </c>
      <c r="C453" s="21">
        <v>45699</v>
      </c>
      <c r="D453" s="22" t="str">
        <f>TRIM('data cleaning'!$E453)</f>
        <v>Miss Janice Miranda</v>
      </c>
      <c r="E453" s="23" t="s">
        <v>1221</v>
      </c>
      <c r="F453" s="23" t="str">
        <f>TRIM('data cleaning'!$G453)</f>
        <v>Consumer</v>
      </c>
      <c r="G453" s="23" t="s">
        <v>1513</v>
      </c>
      <c r="H453" s="23" t="str">
        <f>TRIM('data cleaning'!$I453)</f>
        <v>South</v>
      </c>
      <c r="I453" s="23" t="s">
        <v>1517</v>
      </c>
      <c r="J453" s="23" t="str">
        <f>TRIM('data cleaning'!$K453)</f>
        <v>Technology</v>
      </c>
      <c r="K453" s="23" t="s">
        <v>1521</v>
      </c>
      <c r="L453" s="23" t="str">
        <f>TRIM('data cleaning'!$M453)</f>
        <v>Phones</v>
      </c>
      <c r="M453" s="23" t="s">
        <v>1530</v>
      </c>
      <c r="N453" s="23" t="str">
        <f>PROPER('data cleaning'!$O453)</f>
        <v>Child Phones</v>
      </c>
      <c r="O453" s="23" t="str">
        <f>TRIM('data cleaning'!$P453)</f>
        <v>Child Phones</v>
      </c>
      <c r="P453" s="23" t="s">
        <v>1968</v>
      </c>
      <c r="Q453" s="23">
        <v>2902.58</v>
      </c>
      <c r="R453" s="23">
        <v>3</v>
      </c>
      <c r="S453" s="23">
        <v>0.15</v>
      </c>
      <c r="T453" s="24">
        <v>673.01</v>
      </c>
    </row>
    <row r="454" spans="1:20" ht="15.6" x14ac:dyDescent="0.3">
      <c r="A454" s="13" t="s">
        <v>465</v>
      </c>
      <c r="B454" s="14">
        <v>45499</v>
      </c>
      <c r="C454" s="15">
        <v>45506</v>
      </c>
      <c r="D454" s="16" t="str">
        <f>TRIM('data cleaning'!$E454)</f>
        <v>Albert Mora</v>
      </c>
      <c r="E454" s="17" t="s">
        <v>1222</v>
      </c>
      <c r="F454" s="17" t="str">
        <f>TRIM('data cleaning'!$G454)</f>
        <v>Home Office</v>
      </c>
      <c r="G454" s="17" t="s">
        <v>1515</v>
      </c>
      <c r="H454" s="17" t="str">
        <f>TRIM('data cleaning'!$I454)</f>
        <v>South</v>
      </c>
      <c r="I454" s="17" t="s">
        <v>1517</v>
      </c>
      <c r="J454" s="17" t="str">
        <f>TRIM('data cleaning'!$K454)</f>
        <v>Office Supplies</v>
      </c>
      <c r="K454" s="17" t="s">
        <v>1520</v>
      </c>
      <c r="L454" s="17" t="str">
        <f>TRIM('data cleaning'!$M454)</f>
        <v>Paper</v>
      </c>
      <c r="M454" s="17" t="s">
        <v>1524</v>
      </c>
      <c r="N454" s="17" t="str">
        <f>PROPER('data cleaning'!$O454)</f>
        <v>Product Paper</v>
      </c>
      <c r="O454" s="17" t="str">
        <f>TRIM('data cleaning'!$P454)</f>
        <v>Product Paper</v>
      </c>
      <c r="P454" s="17" t="s">
        <v>1969</v>
      </c>
      <c r="Q454" s="17">
        <v>2046.8</v>
      </c>
      <c r="R454" s="17">
        <v>8</v>
      </c>
      <c r="S454" s="17">
        <v>0.15</v>
      </c>
      <c r="T454" s="18">
        <v>-404.1</v>
      </c>
    </row>
    <row r="455" spans="1:20" ht="15.6" x14ac:dyDescent="0.3">
      <c r="A455" s="19" t="s">
        <v>466</v>
      </c>
      <c r="B455" s="20">
        <v>46129</v>
      </c>
      <c r="C455" s="21">
        <v>46130</v>
      </c>
      <c r="D455" s="22" t="str">
        <f>TRIM('data cleaning'!$E455)</f>
        <v>Kenneth Vargas</v>
      </c>
      <c r="E455" s="23" t="s">
        <v>1223</v>
      </c>
      <c r="F455" s="23" t="str">
        <f>TRIM('data cleaning'!$G455)</f>
        <v>Consumer</v>
      </c>
      <c r="G455" s="23" t="s">
        <v>1513</v>
      </c>
      <c r="H455" s="23" t="str">
        <f>TRIM('data cleaning'!$I455)</f>
        <v>South</v>
      </c>
      <c r="I455" s="23" t="s">
        <v>1517</v>
      </c>
      <c r="J455" s="23" t="str">
        <f>TRIM('data cleaning'!$K455)</f>
        <v>Office Supplies</v>
      </c>
      <c r="K455" s="23" t="s">
        <v>1520</v>
      </c>
      <c r="L455" s="23" t="str">
        <f>TRIM('data cleaning'!$M455)</f>
        <v>Paper</v>
      </c>
      <c r="M455" s="23" t="s">
        <v>1524</v>
      </c>
      <c r="N455" s="23" t="str">
        <f>PROPER('data cleaning'!$O455)</f>
        <v>Out Paper</v>
      </c>
      <c r="O455" s="23" t="str">
        <f>TRIM('data cleaning'!$P455)</f>
        <v>Out Paper</v>
      </c>
      <c r="P455" s="23" t="s">
        <v>1970</v>
      </c>
      <c r="Q455" s="23">
        <v>4465.43</v>
      </c>
      <c r="R455" s="23">
        <v>9</v>
      </c>
      <c r="S455" s="23">
        <v>0.05</v>
      </c>
      <c r="T455" s="24">
        <v>-849.08</v>
      </c>
    </row>
    <row r="456" spans="1:20" ht="15.6" x14ac:dyDescent="0.3">
      <c r="A456" s="13" t="s">
        <v>467</v>
      </c>
      <c r="B456" s="14">
        <v>45968</v>
      </c>
      <c r="C456" s="15">
        <v>45974</v>
      </c>
      <c r="D456" s="16" t="str">
        <f>TRIM('data cleaning'!$E456)</f>
        <v>Brenda Ortiz</v>
      </c>
      <c r="E456" s="17" t="s">
        <v>1224</v>
      </c>
      <c r="F456" s="17" t="str">
        <f>TRIM('data cleaning'!$G456)</f>
        <v>Corporate</v>
      </c>
      <c r="G456" s="17" t="s">
        <v>1514</v>
      </c>
      <c r="H456" s="17" t="str">
        <f>TRIM('data cleaning'!$I456)</f>
        <v/>
      </c>
      <c r="I456" s="17"/>
      <c r="J456" s="17" t="str">
        <f>TRIM('data cleaning'!$K456)</f>
        <v>Furniture</v>
      </c>
      <c r="K456" s="17" t="s">
        <v>1522</v>
      </c>
      <c r="L456" s="17" t="str">
        <f>TRIM('data cleaning'!$M456)</f>
        <v>Bookcases</v>
      </c>
      <c r="M456" s="17" t="s">
        <v>1527</v>
      </c>
      <c r="N456" s="17" t="str">
        <f>PROPER('data cleaning'!$O456)</f>
        <v>Voice Bookcases</v>
      </c>
      <c r="O456" s="17" t="str">
        <f>TRIM('data cleaning'!$P456)</f>
        <v>Voice Bookcases</v>
      </c>
      <c r="P456" s="17" t="s">
        <v>1971</v>
      </c>
      <c r="Q456" s="17">
        <v>1594.86</v>
      </c>
      <c r="R456" s="17">
        <v>2</v>
      </c>
      <c r="S456" s="17">
        <v>0.15</v>
      </c>
      <c r="T456" s="18">
        <v>122.54</v>
      </c>
    </row>
    <row r="457" spans="1:20" ht="15.6" x14ac:dyDescent="0.3">
      <c r="A457" s="19" t="s">
        <v>468</v>
      </c>
      <c r="B457" s="20">
        <v>45159</v>
      </c>
      <c r="C457" s="21">
        <v>45164</v>
      </c>
      <c r="D457" s="22" t="str">
        <f>TRIM('data cleaning'!$E457)</f>
        <v>Jeremy Johnson</v>
      </c>
      <c r="E457" s="23" t="s">
        <v>1225</v>
      </c>
      <c r="F457" s="23" t="str">
        <f>TRIM('data cleaning'!$G457)</f>
        <v>Home Office</v>
      </c>
      <c r="G457" s="23" t="s">
        <v>1515</v>
      </c>
      <c r="H457" s="23" t="str">
        <f>TRIM('data cleaning'!$I457)</f>
        <v>East</v>
      </c>
      <c r="I457" s="23" t="s">
        <v>1519</v>
      </c>
      <c r="J457" s="23" t="str">
        <f>TRIM('data cleaning'!$K457)</f>
        <v>Furniture</v>
      </c>
      <c r="K457" s="23" t="s">
        <v>1522</v>
      </c>
      <c r="L457" s="23" t="str">
        <f>TRIM('data cleaning'!$M457)</f>
        <v>Chairs</v>
      </c>
      <c r="M457" s="23" t="s">
        <v>1531</v>
      </c>
      <c r="N457" s="23" t="str">
        <f>PROPER('data cleaning'!$O457)</f>
        <v>Attack Chairs</v>
      </c>
      <c r="O457" s="23" t="str">
        <f>TRIM('data cleaning'!$P457)</f>
        <v>Attack Chairs</v>
      </c>
      <c r="P457" s="23" t="s">
        <v>1972</v>
      </c>
      <c r="Q457" s="23">
        <v>4744.8900000000003</v>
      </c>
      <c r="R457" s="23">
        <v>8</v>
      </c>
      <c r="S457" s="23"/>
      <c r="T457" s="24">
        <v>408.81</v>
      </c>
    </row>
    <row r="458" spans="1:20" ht="15.6" x14ac:dyDescent="0.3">
      <c r="A458" s="13" t="s">
        <v>469</v>
      </c>
      <c r="B458" s="14">
        <v>45752</v>
      </c>
      <c r="C458" s="15">
        <v>45755</v>
      </c>
      <c r="D458" s="16" t="str">
        <f>TRIM('data cleaning'!$E458)</f>
        <v>Mr. Brian Hayden DDS</v>
      </c>
      <c r="E458" s="17" t="s">
        <v>1226</v>
      </c>
      <c r="F458" s="17" t="str">
        <f>TRIM('data cleaning'!$G458)</f>
        <v>Consumer</v>
      </c>
      <c r="G458" s="17" t="s">
        <v>1513</v>
      </c>
      <c r="H458" s="17" t="str">
        <f>TRIM('data cleaning'!$I458)</f>
        <v>West</v>
      </c>
      <c r="I458" s="17" t="s">
        <v>1518</v>
      </c>
      <c r="J458" s="17" t="str">
        <f>TRIM('data cleaning'!$K458)</f>
        <v>Technology</v>
      </c>
      <c r="K458" s="17" t="s">
        <v>1521</v>
      </c>
      <c r="L458" s="17" t="str">
        <f>TRIM('data cleaning'!$M458)</f>
        <v>Laptops</v>
      </c>
      <c r="M458" s="17" t="s">
        <v>1528</v>
      </c>
      <c r="N458" s="17" t="str">
        <f>PROPER('data cleaning'!$O458)</f>
        <v>Return Laptops</v>
      </c>
      <c r="O458" s="17" t="str">
        <f>TRIM('data cleaning'!$P458)</f>
        <v>Return Laptops</v>
      </c>
      <c r="P458" s="17" t="s">
        <v>1973</v>
      </c>
      <c r="Q458" s="17">
        <v>1746.53</v>
      </c>
      <c r="R458" s="17">
        <v>8</v>
      </c>
      <c r="S458" s="17">
        <v>0.1</v>
      </c>
      <c r="T458" s="18">
        <v>371.25</v>
      </c>
    </row>
    <row r="459" spans="1:20" ht="15.6" x14ac:dyDescent="0.3">
      <c r="A459" s="19" t="s">
        <v>470</v>
      </c>
      <c r="B459" s="20">
        <v>45573</v>
      </c>
      <c r="C459" s="21">
        <v>45577</v>
      </c>
      <c r="D459" s="22" t="str">
        <f>TRIM('data cleaning'!$E459)</f>
        <v>Kayla Green</v>
      </c>
      <c r="E459" s="23" t="s">
        <v>1227</v>
      </c>
      <c r="F459" s="23" t="str">
        <f>TRIM('data cleaning'!$G459)</f>
        <v>Home Office</v>
      </c>
      <c r="G459" s="23" t="s">
        <v>1515</v>
      </c>
      <c r="H459" s="23" t="str">
        <f>TRIM('data cleaning'!$I459)</f>
        <v>South</v>
      </c>
      <c r="I459" s="23" t="s">
        <v>1517</v>
      </c>
      <c r="J459" s="23" t="str">
        <f>TRIM('data cleaning'!$K459)</f>
        <v>Furniture</v>
      </c>
      <c r="K459" s="23" t="s">
        <v>1522</v>
      </c>
      <c r="L459" s="23" t="str">
        <f>TRIM('data cleaning'!$M459)</f>
        <v>Chairs</v>
      </c>
      <c r="M459" s="23" t="s">
        <v>1531</v>
      </c>
      <c r="N459" s="23" t="str">
        <f>PROPER('data cleaning'!$O459)</f>
        <v>Much Chairs</v>
      </c>
      <c r="O459" s="23" t="str">
        <f>TRIM('data cleaning'!$P459)</f>
        <v>Much Chairs</v>
      </c>
      <c r="P459" s="23" t="s">
        <v>1974</v>
      </c>
      <c r="Q459" s="23">
        <v>3649.49</v>
      </c>
      <c r="R459" s="23">
        <v>3</v>
      </c>
      <c r="S459" s="23">
        <v>0.05</v>
      </c>
      <c r="T459" s="24">
        <v>743.55</v>
      </c>
    </row>
    <row r="460" spans="1:20" ht="15.6" x14ac:dyDescent="0.3">
      <c r="A460" s="13" t="s">
        <v>471</v>
      </c>
      <c r="B460" s="14">
        <v>45393</v>
      </c>
      <c r="C460" s="15">
        <v>45394</v>
      </c>
      <c r="D460" s="16" t="str">
        <f>TRIM('data cleaning'!$E460)</f>
        <v>Desiree Conrad</v>
      </c>
      <c r="E460" s="17" t="s">
        <v>1228</v>
      </c>
      <c r="F460" s="17" t="str">
        <f>TRIM('data cleaning'!$G460)</f>
        <v>Home Office</v>
      </c>
      <c r="G460" s="17" t="s">
        <v>1515</v>
      </c>
      <c r="H460" s="17" t="str">
        <f>TRIM('data cleaning'!$I460)</f>
        <v>North</v>
      </c>
      <c r="I460" s="17" t="s">
        <v>1516</v>
      </c>
      <c r="J460" s="17" t="str">
        <f>TRIM('data cleaning'!$K460)</f>
        <v>Furniture</v>
      </c>
      <c r="K460" s="17" t="s">
        <v>1522</v>
      </c>
      <c r="L460" s="17" t="str">
        <f>TRIM('data cleaning'!$M460)</f>
        <v>Tables</v>
      </c>
      <c r="M460" s="17" t="s">
        <v>1529</v>
      </c>
      <c r="N460" s="17" t="str">
        <f>PROPER('data cleaning'!$O460)</f>
        <v>Which Tables</v>
      </c>
      <c r="O460" s="17" t="str">
        <f>TRIM('data cleaning'!$P460)</f>
        <v>Which Tables</v>
      </c>
      <c r="P460" s="17" t="s">
        <v>1717</v>
      </c>
      <c r="Q460" s="17">
        <v>1907.2</v>
      </c>
      <c r="R460" s="17">
        <v>5</v>
      </c>
      <c r="S460" s="17">
        <v>0.2</v>
      </c>
      <c r="T460" s="18">
        <v>272.2</v>
      </c>
    </row>
    <row r="461" spans="1:20" ht="15.6" x14ac:dyDescent="0.3">
      <c r="A461" s="19" t="s">
        <v>472</v>
      </c>
      <c r="B461" s="20">
        <v>45974</v>
      </c>
      <c r="C461" s="21">
        <v>45975</v>
      </c>
      <c r="D461" s="22" t="str">
        <f>TRIM('data cleaning'!$E461)</f>
        <v>Gary Bryant</v>
      </c>
      <c r="E461" s="23" t="s">
        <v>1229</v>
      </c>
      <c r="F461" s="23" t="str">
        <f>TRIM('data cleaning'!$G461)</f>
        <v>Consumer</v>
      </c>
      <c r="G461" s="23" t="s">
        <v>1513</v>
      </c>
      <c r="H461" s="23" t="str">
        <f>TRIM('data cleaning'!$I461)</f>
        <v>East</v>
      </c>
      <c r="I461" s="23" t="s">
        <v>1519</v>
      </c>
      <c r="J461" s="23" t="str">
        <f>TRIM('data cleaning'!$K461)</f>
        <v>Office Supplies</v>
      </c>
      <c r="K461" s="23" t="s">
        <v>1520</v>
      </c>
      <c r="L461" s="23" t="str">
        <f>TRIM('data cleaning'!$M461)</f>
        <v>Binders</v>
      </c>
      <c r="M461" s="23" t="s">
        <v>1523</v>
      </c>
      <c r="N461" s="23" t="str">
        <f>PROPER('data cleaning'!$O461)</f>
        <v>Item Binders</v>
      </c>
      <c r="O461" s="23" t="str">
        <f>TRIM('data cleaning'!$P461)</f>
        <v>Item Binders</v>
      </c>
      <c r="P461" s="23" t="s">
        <v>1975</v>
      </c>
      <c r="Q461" s="23">
        <v>288.76</v>
      </c>
      <c r="R461" s="23">
        <v>2</v>
      </c>
      <c r="S461" s="23">
        <v>0.15</v>
      </c>
      <c r="T461" s="24">
        <v>12.81</v>
      </c>
    </row>
    <row r="462" spans="1:20" ht="15.6" x14ac:dyDescent="0.3">
      <c r="A462" s="13" t="s">
        <v>473</v>
      </c>
      <c r="B462" s="14">
        <v>45759</v>
      </c>
      <c r="C462" s="15">
        <v>45762</v>
      </c>
      <c r="D462" s="16" t="str">
        <f>TRIM('data cleaning'!$E462)</f>
        <v>Anthony Stone</v>
      </c>
      <c r="E462" s="17" t="s">
        <v>1230</v>
      </c>
      <c r="F462" s="17" t="str">
        <f>TRIM('data cleaning'!$G462)</f>
        <v>Consumer</v>
      </c>
      <c r="G462" s="17" t="s">
        <v>1513</v>
      </c>
      <c r="H462" s="17" t="str">
        <f>TRIM('data cleaning'!$I462)</f>
        <v>East</v>
      </c>
      <c r="I462" s="17" t="s">
        <v>1519</v>
      </c>
      <c r="J462" s="17" t="str">
        <f>TRIM('data cleaning'!$K462)</f>
        <v>Technology</v>
      </c>
      <c r="K462" s="17" t="s">
        <v>1521</v>
      </c>
      <c r="L462" s="17" t="str">
        <f>TRIM('data cleaning'!$M462)</f>
        <v>Laptops</v>
      </c>
      <c r="M462" s="17" t="s">
        <v>1528</v>
      </c>
      <c r="N462" s="17" t="str">
        <f>PROPER('data cleaning'!$O462)</f>
        <v>Among Laptops</v>
      </c>
      <c r="O462" s="17" t="str">
        <f>TRIM('data cleaning'!$P462)</f>
        <v>Among Laptops</v>
      </c>
      <c r="P462" s="17" t="s">
        <v>1976</v>
      </c>
      <c r="Q462" s="17">
        <v>1067.2</v>
      </c>
      <c r="R462" s="17">
        <v>1</v>
      </c>
      <c r="S462" s="17">
        <v>0.1</v>
      </c>
      <c r="T462" s="18">
        <v>33.590000000000003</v>
      </c>
    </row>
    <row r="463" spans="1:20" ht="15.6" x14ac:dyDescent="0.3">
      <c r="A463" s="19" t="s">
        <v>474</v>
      </c>
      <c r="B463" s="20">
        <v>45812</v>
      </c>
      <c r="C463" s="21">
        <v>45815</v>
      </c>
      <c r="D463" s="22" t="str">
        <f>TRIM('data cleaning'!$E463)</f>
        <v>Amanda Strong</v>
      </c>
      <c r="E463" s="23" t="s">
        <v>1231</v>
      </c>
      <c r="F463" s="23" t="str">
        <f>TRIM('data cleaning'!$G463)</f>
        <v>Consumer</v>
      </c>
      <c r="G463" s="23" t="s">
        <v>1513</v>
      </c>
      <c r="H463" s="23" t="str">
        <f>TRIM('data cleaning'!$I463)</f>
        <v>East</v>
      </c>
      <c r="I463" s="23" t="s">
        <v>1519</v>
      </c>
      <c r="J463" s="23" t="str">
        <f>TRIM('data cleaning'!$K463)</f>
        <v>Office Supplies</v>
      </c>
      <c r="K463" s="23" t="s">
        <v>1520</v>
      </c>
      <c r="L463" s="23" t="str">
        <f>TRIM('data cleaning'!$M463)</f>
        <v>Storage</v>
      </c>
      <c r="M463" s="23" t="s">
        <v>1525</v>
      </c>
      <c r="N463" s="23" t="str">
        <f>PROPER('data cleaning'!$O463)</f>
        <v>Commercial Storage</v>
      </c>
      <c r="O463" s="23" t="str">
        <f>TRIM('data cleaning'!$P463)</f>
        <v>Commercial Storage</v>
      </c>
      <c r="P463" s="23" t="s">
        <v>1977</v>
      </c>
      <c r="Q463" s="23">
        <v>2123.19</v>
      </c>
      <c r="R463" s="23">
        <v>2</v>
      </c>
      <c r="S463" s="23">
        <v>0.2</v>
      </c>
      <c r="T463" s="24">
        <v>414.7</v>
      </c>
    </row>
    <row r="464" spans="1:20" ht="15.6" x14ac:dyDescent="0.3">
      <c r="A464" s="13" t="s">
        <v>475</v>
      </c>
      <c r="B464" s="14">
        <v>46165</v>
      </c>
      <c r="C464" s="15">
        <v>46173</v>
      </c>
      <c r="D464" s="16" t="str">
        <f>TRIM('data cleaning'!$E464)</f>
        <v>Paul Potts</v>
      </c>
      <c r="E464" s="17" t="s">
        <v>1232</v>
      </c>
      <c r="F464" s="17" t="str">
        <f>TRIM('data cleaning'!$G464)</f>
        <v>Consumer</v>
      </c>
      <c r="G464" s="17" t="s">
        <v>1513</v>
      </c>
      <c r="H464" s="17" t="str">
        <f>TRIM('data cleaning'!$I464)</f>
        <v>East</v>
      </c>
      <c r="I464" s="17" t="s">
        <v>1519</v>
      </c>
      <c r="J464" s="17" t="str">
        <f>TRIM('data cleaning'!$K464)</f>
        <v>Furniture</v>
      </c>
      <c r="K464" s="17" t="s">
        <v>1522</v>
      </c>
      <c r="L464" s="17" t="str">
        <f>TRIM('data cleaning'!$M464)</f>
        <v>Chairs</v>
      </c>
      <c r="M464" s="17" t="s">
        <v>1531</v>
      </c>
      <c r="N464" s="17" t="str">
        <f>PROPER('data cleaning'!$O464)</f>
        <v>Member Chairs</v>
      </c>
      <c r="O464" s="17" t="str">
        <f>TRIM('data cleaning'!$P464)</f>
        <v>Member Chairs</v>
      </c>
      <c r="P464" s="17" t="s">
        <v>1978</v>
      </c>
      <c r="Q464" s="17">
        <v>1033.3</v>
      </c>
      <c r="R464" s="17">
        <v>4</v>
      </c>
      <c r="S464" s="17">
        <v>0.1</v>
      </c>
      <c r="T464" s="18">
        <v>265.89</v>
      </c>
    </row>
    <row r="465" spans="1:20" ht="15.6" x14ac:dyDescent="0.3">
      <c r="A465" s="19" t="s">
        <v>476</v>
      </c>
      <c r="B465" s="20">
        <v>45469</v>
      </c>
      <c r="C465" s="21">
        <v>45474</v>
      </c>
      <c r="D465" s="22" t="str">
        <f>TRIM('data cleaning'!$E465)</f>
        <v>Scott Graham</v>
      </c>
      <c r="E465" s="23" t="s">
        <v>1233</v>
      </c>
      <c r="F465" s="23" t="str">
        <f>TRIM('data cleaning'!$G465)</f>
        <v>Home Office</v>
      </c>
      <c r="G465" s="23" t="s">
        <v>1515</v>
      </c>
      <c r="H465" s="23" t="str">
        <f>TRIM('data cleaning'!$I465)</f>
        <v>West</v>
      </c>
      <c r="I465" s="23" t="s">
        <v>1518</v>
      </c>
      <c r="J465" s="23" t="str">
        <f>TRIM('data cleaning'!$K465)</f>
        <v>Office Supplies</v>
      </c>
      <c r="K465" s="23" t="s">
        <v>1520</v>
      </c>
      <c r="L465" s="23" t="str">
        <f>TRIM('data cleaning'!$M465)</f>
        <v>Paper</v>
      </c>
      <c r="M465" s="23" t="s">
        <v>1524</v>
      </c>
      <c r="N465" s="23" t="str">
        <f>PROPER('data cleaning'!$O465)</f>
        <v>Recent Paper</v>
      </c>
      <c r="O465" s="23" t="str">
        <f>TRIM('data cleaning'!$P465)</f>
        <v>Recent Paper</v>
      </c>
      <c r="P465" s="23" t="s">
        <v>1979</v>
      </c>
      <c r="Q465" s="23">
        <v>843.85</v>
      </c>
      <c r="R465" s="23">
        <v>9</v>
      </c>
      <c r="S465" s="23">
        <v>0.15</v>
      </c>
      <c r="T465" s="24">
        <v>253.74</v>
      </c>
    </row>
    <row r="466" spans="1:20" ht="15.6" x14ac:dyDescent="0.3">
      <c r="A466" s="13" t="s">
        <v>477</v>
      </c>
      <c r="B466" s="14">
        <v>45405</v>
      </c>
      <c r="C466" s="15">
        <v>45406</v>
      </c>
      <c r="D466" s="16" t="str">
        <f>TRIM('data cleaning'!$E466)</f>
        <v>Joshua Myers</v>
      </c>
      <c r="E466" s="17" t="s">
        <v>1234</v>
      </c>
      <c r="F466" s="17" t="str">
        <f>TRIM('data cleaning'!$G466)</f>
        <v>Home Office</v>
      </c>
      <c r="G466" s="17" t="s">
        <v>1515</v>
      </c>
      <c r="H466" s="17" t="str">
        <f>TRIM('data cleaning'!$I466)</f>
        <v>West</v>
      </c>
      <c r="I466" s="17" t="s">
        <v>1518</v>
      </c>
      <c r="J466" s="17" t="str">
        <f>TRIM('data cleaning'!$K466)</f>
        <v>Technology</v>
      </c>
      <c r="K466" s="17" t="s">
        <v>1521</v>
      </c>
      <c r="L466" s="17" t="str">
        <f>TRIM('data cleaning'!$M466)</f>
        <v>Phones</v>
      </c>
      <c r="M466" s="17" t="s">
        <v>1530</v>
      </c>
      <c r="N466" s="17" t="str">
        <f>PROPER('data cleaning'!$O466)</f>
        <v>Others Phones</v>
      </c>
      <c r="O466" s="17" t="str">
        <f>TRIM('data cleaning'!$P466)</f>
        <v>Others Phones</v>
      </c>
      <c r="P466" s="17" t="s">
        <v>1980</v>
      </c>
      <c r="Q466" s="17">
        <v>113.11</v>
      </c>
      <c r="R466" s="17">
        <v>2</v>
      </c>
      <c r="S466" s="17">
        <v>0</v>
      </c>
      <c r="T466" s="18">
        <v>29.34</v>
      </c>
    </row>
    <row r="467" spans="1:20" ht="15.6" x14ac:dyDescent="0.3">
      <c r="A467" s="19" t="s">
        <v>478</v>
      </c>
      <c r="B467" s="20">
        <v>45644</v>
      </c>
      <c r="C467" s="21">
        <v>45653</v>
      </c>
      <c r="D467" s="22" t="str">
        <f>TRIM('data cleaning'!$E467)</f>
        <v>Abigail Harris</v>
      </c>
      <c r="E467" s="23" t="s">
        <v>1235</v>
      </c>
      <c r="F467" s="23" t="str">
        <f>TRIM('data cleaning'!$G467)</f>
        <v>Corporate</v>
      </c>
      <c r="G467" s="23" t="s">
        <v>1514</v>
      </c>
      <c r="H467" s="23" t="str">
        <f>TRIM('data cleaning'!$I467)</f>
        <v>East</v>
      </c>
      <c r="I467" s="23" t="s">
        <v>1519</v>
      </c>
      <c r="J467" s="23" t="str">
        <f>TRIM('data cleaning'!$K467)</f>
        <v>Furniture</v>
      </c>
      <c r="K467" s="23" t="s">
        <v>1522</v>
      </c>
      <c r="L467" s="23" t="str">
        <f>TRIM('data cleaning'!$M467)</f>
        <v>Chairs</v>
      </c>
      <c r="M467" s="23" t="s">
        <v>1531</v>
      </c>
      <c r="N467" s="23" t="str">
        <f>PROPER('data cleaning'!$O467)</f>
        <v>Offer Chairs</v>
      </c>
      <c r="O467" s="23" t="str">
        <f>TRIM('data cleaning'!$P467)</f>
        <v>Offer Chairs</v>
      </c>
      <c r="P467" s="23" t="s">
        <v>1981</v>
      </c>
      <c r="Q467" s="23">
        <v>421.49</v>
      </c>
      <c r="R467" s="23">
        <v>2</v>
      </c>
      <c r="S467" s="23">
        <v>0.1</v>
      </c>
      <c r="T467" s="24">
        <v>65.069999999999993</v>
      </c>
    </row>
    <row r="468" spans="1:20" ht="15.6" x14ac:dyDescent="0.3">
      <c r="A468" s="13" t="s">
        <v>479</v>
      </c>
      <c r="B468" s="14">
        <v>46039</v>
      </c>
      <c r="C468" s="15">
        <v>46040</v>
      </c>
      <c r="D468" s="16" t="str">
        <f>TRIM('data cleaning'!$E468)</f>
        <v>Carmen Garrett</v>
      </c>
      <c r="E468" s="17" t="s">
        <v>1236</v>
      </c>
      <c r="F468" s="17" t="str">
        <f>TRIM('data cleaning'!$G468)</f>
        <v>Corporate</v>
      </c>
      <c r="G468" s="17" t="s">
        <v>1514</v>
      </c>
      <c r="H468" s="17" t="str">
        <f>TRIM('data cleaning'!$I468)</f>
        <v>East</v>
      </c>
      <c r="I468" s="17" t="s">
        <v>1519</v>
      </c>
      <c r="J468" s="17" t="str">
        <f>TRIM('data cleaning'!$K468)</f>
        <v>Technology</v>
      </c>
      <c r="K468" s="17" t="s">
        <v>1521</v>
      </c>
      <c r="L468" s="17" t="str">
        <f>TRIM('data cleaning'!$M468)</f>
        <v>Accessories</v>
      </c>
      <c r="M468" s="17" t="s">
        <v>1526</v>
      </c>
      <c r="N468" s="17" t="str">
        <f>PROPER('data cleaning'!$O468)</f>
        <v>Think Accessories</v>
      </c>
      <c r="O468" s="17" t="str">
        <f>TRIM('data cleaning'!$P468)</f>
        <v>Think Accessories</v>
      </c>
      <c r="P468" s="17" t="s">
        <v>1982</v>
      </c>
      <c r="Q468" s="17">
        <v>544.04999999999995</v>
      </c>
      <c r="R468" s="17">
        <v>3</v>
      </c>
      <c r="S468" s="17">
        <v>0</v>
      </c>
      <c r="T468" s="18">
        <v>146.21</v>
      </c>
    </row>
    <row r="469" spans="1:20" ht="15.6" x14ac:dyDescent="0.3">
      <c r="A469" s="19" t="s">
        <v>480</v>
      </c>
      <c r="B469" s="20">
        <v>45652</v>
      </c>
      <c r="C469" s="21">
        <v>45654</v>
      </c>
      <c r="D469" s="22" t="str">
        <f>TRIM('data cleaning'!$E469)</f>
        <v>Leslie Arias</v>
      </c>
      <c r="E469" s="23" t="s">
        <v>1237</v>
      </c>
      <c r="F469" s="23" t="str">
        <f>TRIM('data cleaning'!$G469)</f>
        <v>Home Office</v>
      </c>
      <c r="G469" s="23" t="s">
        <v>1515</v>
      </c>
      <c r="H469" s="23" t="str">
        <f>TRIM('data cleaning'!$I469)</f>
        <v>South</v>
      </c>
      <c r="I469" s="23" t="s">
        <v>1517</v>
      </c>
      <c r="J469" s="23" t="str">
        <f>TRIM('data cleaning'!$K469)</f>
        <v>Technology</v>
      </c>
      <c r="K469" s="23" t="s">
        <v>1521</v>
      </c>
      <c r="L469" s="23" t="str">
        <f>TRIM('data cleaning'!$M469)</f>
        <v>Laptops</v>
      </c>
      <c r="M469" s="23" t="s">
        <v>1528</v>
      </c>
      <c r="N469" s="23" t="str">
        <f>PROPER('data cleaning'!$O469)</f>
        <v>She Laptops</v>
      </c>
      <c r="O469" s="23" t="str">
        <f>TRIM('data cleaning'!$P469)</f>
        <v>She Laptops</v>
      </c>
      <c r="P469" s="23" t="s">
        <v>1983</v>
      </c>
      <c r="Q469" s="23">
        <v>520.24</v>
      </c>
      <c r="R469" s="23">
        <v>1</v>
      </c>
      <c r="S469" s="23">
        <v>0</v>
      </c>
      <c r="T469" s="24">
        <v>139.74</v>
      </c>
    </row>
    <row r="470" spans="1:20" ht="15.6" x14ac:dyDescent="0.3">
      <c r="A470" s="13" t="s">
        <v>481</v>
      </c>
      <c r="B470" s="14">
        <v>45257</v>
      </c>
      <c r="C470" s="15">
        <v>45265</v>
      </c>
      <c r="D470" s="16" t="str">
        <f>TRIM('data cleaning'!$E470)</f>
        <v>Scott Collier</v>
      </c>
      <c r="E470" s="17" t="s">
        <v>1238</v>
      </c>
      <c r="F470" s="17" t="str">
        <f>TRIM('data cleaning'!$G470)</f>
        <v>Corporate</v>
      </c>
      <c r="G470" s="17" t="s">
        <v>1514</v>
      </c>
      <c r="H470" s="17" t="str">
        <f>TRIM('data cleaning'!$I470)</f>
        <v>South</v>
      </c>
      <c r="I470" s="17" t="s">
        <v>1517</v>
      </c>
      <c r="J470" s="17" t="str">
        <f>TRIM('data cleaning'!$K470)</f>
        <v>Technology</v>
      </c>
      <c r="K470" s="17" t="s">
        <v>1521</v>
      </c>
      <c r="L470" s="17" t="str">
        <f>TRIM('data cleaning'!$M470)</f>
        <v>Accessories</v>
      </c>
      <c r="M470" s="17" t="s">
        <v>1526</v>
      </c>
      <c r="N470" s="17" t="str">
        <f>PROPER('data cleaning'!$O470)</f>
        <v>Other Accessories</v>
      </c>
      <c r="O470" s="17" t="str">
        <f>TRIM('data cleaning'!$P470)</f>
        <v>Other Accessories</v>
      </c>
      <c r="P470" s="17" t="s">
        <v>1984</v>
      </c>
      <c r="Q470" s="17">
        <v>4777.6899999999996</v>
      </c>
      <c r="R470" s="17">
        <v>5</v>
      </c>
      <c r="S470" s="17"/>
      <c r="T470" s="18">
        <v>-711.29</v>
      </c>
    </row>
    <row r="471" spans="1:20" ht="15.6" x14ac:dyDescent="0.3">
      <c r="A471" s="19" t="s">
        <v>482</v>
      </c>
      <c r="B471" s="20">
        <v>45111</v>
      </c>
      <c r="C471" s="21">
        <v>45118</v>
      </c>
      <c r="D471" s="22" t="str">
        <f>TRIM('data cleaning'!$E471)</f>
        <v>William Miller</v>
      </c>
      <c r="E471" s="23" t="s">
        <v>1239</v>
      </c>
      <c r="F471" s="23" t="str">
        <f>TRIM('data cleaning'!$G471)</f>
        <v>Corporate</v>
      </c>
      <c r="G471" s="23" t="s">
        <v>1514</v>
      </c>
      <c r="H471" s="23" t="str">
        <f>TRIM('data cleaning'!$I471)</f>
        <v>West</v>
      </c>
      <c r="I471" s="23" t="s">
        <v>1518</v>
      </c>
      <c r="J471" s="23" t="str">
        <f>TRIM('data cleaning'!$K471)</f>
        <v>Furniture</v>
      </c>
      <c r="K471" s="23" t="s">
        <v>1522</v>
      </c>
      <c r="L471" s="23" t="str">
        <f>TRIM('data cleaning'!$M471)</f>
        <v>Tables</v>
      </c>
      <c r="M471" s="23" t="s">
        <v>1529</v>
      </c>
      <c r="N471" s="23" t="str">
        <f>PROPER('data cleaning'!$O471)</f>
        <v>Feel Tables</v>
      </c>
      <c r="O471" s="23" t="str">
        <f>TRIM('data cleaning'!$P471)</f>
        <v>Feel Tables</v>
      </c>
      <c r="P471" s="23" t="s">
        <v>1985</v>
      </c>
      <c r="Q471" s="23">
        <v>4813.43</v>
      </c>
      <c r="R471" s="23">
        <v>5</v>
      </c>
      <c r="S471" s="23">
        <v>0.15</v>
      </c>
      <c r="T471" s="24">
        <v>863.75</v>
      </c>
    </row>
    <row r="472" spans="1:20" ht="15.6" x14ac:dyDescent="0.3">
      <c r="A472" s="13" t="s">
        <v>483</v>
      </c>
      <c r="B472" s="14">
        <v>45327</v>
      </c>
      <c r="C472" s="15">
        <v>45329</v>
      </c>
      <c r="D472" s="16" t="str">
        <f>TRIM('data cleaning'!$E472)</f>
        <v>Samuel Butler</v>
      </c>
      <c r="E472" s="17" t="s">
        <v>1239</v>
      </c>
      <c r="F472" s="17" t="str">
        <f>TRIM('data cleaning'!$G472)</f>
        <v>Home Office</v>
      </c>
      <c r="G472" s="17" t="s">
        <v>1515</v>
      </c>
      <c r="H472" s="17" t="str">
        <f>TRIM('data cleaning'!$I472)</f>
        <v>West</v>
      </c>
      <c r="I472" s="17" t="s">
        <v>1518</v>
      </c>
      <c r="J472" s="17" t="str">
        <f>TRIM('data cleaning'!$K472)</f>
        <v>Office Supplies</v>
      </c>
      <c r="K472" s="17" t="s">
        <v>1520</v>
      </c>
      <c r="L472" s="17" t="str">
        <f>TRIM('data cleaning'!$M472)</f>
        <v>Binders</v>
      </c>
      <c r="M472" s="17" t="s">
        <v>1523</v>
      </c>
      <c r="N472" s="17" t="str">
        <f>PROPER('data cleaning'!$O472)</f>
        <v>Establish Binders</v>
      </c>
      <c r="O472" s="17" t="str">
        <f>TRIM('data cleaning'!$P472)</f>
        <v>Establish Binders</v>
      </c>
      <c r="P472" s="17" t="s">
        <v>1986</v>
      </c>
      <c r="Q472" s="17">
        <v>705.93</v>
      </c>
      <c r="R472" s="17">
        <v>1</v>
      </c>
      <c r="S472" s="17">
        <v>0.05</v>
      </c>
      <c r="T472" s="18">
        <v>-100.92</v>
      </c>
    </row>
    <row r="473" spans="1:20" ht="15.6" x14ac:dyDescent="0.3">
      <c r="A473" s="19" t="s">
        <v>484</v>
      </c>
      <c r="B473" s="20">
        <v>45890</v>
      </c>
      <c r="C473" s="21">
        <v>45898</v>
      </c>
      <c r="D473" s="22" t="str">
        <f>TRIM('data cleaning'!$E473)</f>
        <v>Erin Gonzalez</v>
      </c>
      <c r="E473" s="23" t="s">
        <v>1240</v>
      </c>
      <c r="F473" s="23" t="str">
        <f>TRIM('data cleaning'!$G473)</f>
        <v>Home Office</v>
      </c>
      <c r="G473" s="23" t="s">
        <v>1515</v>
      </c>
      <c r="H473" s="23" t="str">
        <f>TRIM('data cleaning'!$I473)</f>
        <v>South</v>
      </c>
      <c r="I473" s="23" t="s">
        <v>1517</v>
      </c>
      <c r="J473" s="23" t="str">
        <f>TRIM('data cleaning'!$K473)</f>
        <v>Office Supplies</v>
      </c>
      <c r="K473" s="23" t="s">
        <v>1520</v>
      </c>
      <c r="L473" s="23" t="str">
        <f>TRIM('data cleaning'!$M473)</f>
        <v>Storage</v>
      </c>
      <c r="M473" s="23" t="s">
        <v>1525</v>
      </c>
      <c r="N473" s="23" t="str">
        <f>PROPER('data cleaning'!$O473)</f>
        <v>Station Storage</v>
      </c>
      <c r="O473" s="23" t="str">
        <f>TRIM('data cleaning'!$P473)</f>
        <v>Station Storage</v>
      </c>
      <c r="P473" s="23" t="s">
        <v>1987</v>
      </c>
      <c r="Q473" s="23">
        <v>947.24</v>
      </c>
      <c r="R473" s="23">
        <v>7</v>
      </c>
      <c r="S473" s="23">
        <v>0.1</v>
      </c>
      <c r="T473" s="24">
        <v>129.06</v>
      </c>
    </row>
    <row r="474" spans="1:20" ht="15.6" x14ac:dyDescent="0.3">
      <c r="A474" s="13" t="s">
        <v>485</v>
      </c>
      <c r="B474" s="14" t="s">
        <v>774</v>
      </c>
      <c r="C474" s="15">
        <v>46039</v>
      </c>
      <c r="D474" s="16" t="str">
        <f>TRIM('data cleaning'!$E474)</f>
        <v>Jennifer Parker</v>
      </c>
      <c r="E474" s="17" t="s">
        <v>1241</v>
      </c>
      <c r="F474" s="17" t="str">
        <f>TRIM('data cleaning'!$G474)</f>
        <v>Home Office</v>
      </c>
      <c r="G474" s="17" t="s">
        <v>1515</v>
      </c>
      <c r="H474" s="17" t="str">
        <f>TRIM('data cleaning'!$I474)</f>
        <v>East</v>
      </c>
      <c r="I474" s="17" t="s">
        <v>1519</v>
      </c>
      <c r="J474" s="17" t="str">
        <f>TRIM('data cleaning'!$K474)</f>
        <v>Technology</v>
      </c>
      <c r="K474" s="17" t="s">
        <v>1521</v>
      </c>
      <c r="L474" s="17" t="str">
        <f>TRIM('data cleaning'!$M474)</f>
        <v>Accessories</v>
      </c>
      <c r="M474" s="17" t="s">
        <v>1526</v>
      </c>
      <c r="N474" s="17" t="str">
        <f>PROPER('data cleaning'!$O474)</f>
        <v>Model Accessories</v>
      </c>
      <c r="O474" s="17" t="str">
        <f>TRIM('data cleaning'!$P474)</f>
        <v>Model Accessories</v>
      </c>
      <c r="P474" s="17" t="s">
        <v>1988</v>
      </c>
      <c r="Q474" s="17">
        <v>4443.59</v>
      </c>
      <c r="R474" s="17">
        <v>8</v>
      </c>
      <c r="S474" s="17">
        <v>0</v>
      </c>
      <c r="T474" s="18">
        <v>-733.93</v>
      </c>
    </row>
    <row r="475" spans="1:20" ht="15.6" x14ac:dyDescent="0.3">
      <c r="A475" s="19" t="s">
        <v>486</v>
      </c>
      <c r="B475" s="20">
        <v>46160</v>
      </c>
      <c r="C475" s="21">
        <v>46169</v>
      </c>
      <c r="D475" s="22" t="str">
        <f>TRIM('data cleaning'!$E475)</f>
        <v>Kaylee Jones</v>
      </c>
      <c r="E475" s="23" t="s">
        <v>1242</v>
      </c>
      <c r="F475" s="23" t="str">
        <f>TRIM('data cleaning'!$G475)</f>
        <v>Home Office</v>
      </c>
      <c r="G475" s="23" t="s">
        <v>1515</v>
      </c>
      <c r="H475" s="23" t="str">
        <f>TRIM('data cleaning'!$I475)</f>
        <v>East</v>
      </c>
      <c r="I475" s="23" t="s">
        <v>1519</v>
      </c>
      <c r="J475" s="23" t="str">
        <f>TRIM('data cleaning'!$K475)</f>
        <v>Furniture</v>
      </c>
      <c r="K475" s="23" t="s">
        <v>1522</v>
      </c>
      <c r="L475" s="23" t="str">
        <f>TRIM('data cleaning'!$M475)</f>
        <v>Bookcases</v>
      </c>
      <c r="M475" s="23" t="s">
        <v>1527</v>
      </c>
      <c r="N475" s="23" t="str">
        <f>PROPER('data cleaning'!$O475)</f>
        <v>Family Bookcases</v>
      </c>
      <c r="O475" s="23" t="str">
        <f>TRIM('data cleaning'!$P475)</f>
        <v>Family Bookcases</v>
      </c>
      <c r="P475" s="23" t="s">
        <v>1989</v>
      </c>
      <c r="Q475" s="23">
        <v>3849.27</v>
      </c>
      <c r="R475" s="23">
        <v>10</v>
      </c>
      <c r="S475" s="23"/>
      <c r="T475" s="24">
        <v>426.33</v>
      </c>
    </row>
    <row r="476" spans="1:20" ht="15.6" x14ac:dyDescent="0.3">
      <c r="A476" s="13" t="s">
        <v>487</v>
      </c>
      <c r="B476" s="14">
        <v>45222</v>
      </c>
      <c r="C476" s="15">
        <v>45232</v>
      </c>
      <c r="D476" s="16" t="str">
        <f>TRIM('data cleaning'!$E476)</f>
        <v>Amanda French</v>
      </c>
      <c r="E476" s="17" t="s">
        <v>1243</v>
      </c>
      <c r="F476" s="17" t="str">
        <f>TRIM('data cleaning'!$G476)</f>
        <v/>
      </c>
      <c r="G476" s="17"/>
      <c r="H476" s="17" t="str">
        <f>TRIM('data cleaning'!$I476)</f>
        <v>West</v>
      </c>
      <c r="I476" s="17" t="s">
        <v>1518</v>
      </c>
      <c r="J476" s="17" t="str">
        <f>TRIM('data cleaning'!$K476)</f>
        <v>Office Supplies</v>
      </c>
      <c r="K476" s="17" t="s">
        <v>1520</v>
      </c>
      <c r="L476" s="17" t="str">
        <f>TRIM('data cleaning'!$M476)</f>
        <v>Storage</v>
      </c>
      <c r="M476" s="17" t="s">
        <v>1525</v>
      </c>
      <c r="N476" s="17" t="str">
        <f>PROPER('data cleaning'!$O476)</f>
        <v>See Storage</v>
      </c>
      <c r="O476" s="17" t="str">
        <f>TRIM('data cleaning'!$P476)</f>
        <v>See Storage</v>
      </c>
      <c r="P476" s="17" t="s">
        <v>1990</v>
      </c>
      <c r="Q476" s="17">
        <v>521.45000000000005</v>
      </c>
      <c r="R476" s="17">
        <v>4</v>
      </c>
      <c r="S476" s="17">
        <v>0.15</v>
      </c>
      <c r="T476" s="18">
        <v>-5.13</v>
      </c>
    </row>
    <row r="477" spans="1:20" ht="15.6" x14ac:dyDescent="0.3">
      <c r="A477" s="19" t="s">
        <v>488</v>
      </c>
      <c r="B477" s="20">
        <v>45627</v>
      </c>
      <c r="C477" s="21">
        <v>45637</v>
      </c>
      <c r="D477" s="22" t="str">
        <f>TRIM('data cleaning'!$E477)</f>
        <v>Raymond Merritt</v>
      </c>
      <c r="E477" s="23" t="s">
        <v>1244</v>
      </c>
      <c r="F477" s="23" t="str">
        <f>TRIM('data cleaning'!$G477)</f>
        <v>Corporate</v>
      </c>
      <c r="G477" s="23" t="s">
        <v>1514</v>
      </c>
      <c r="H477" s="23" t="str">
        <f>TRIM('data cleaning'!$I477)</f>
        <v>South</v>
      </c>
      <c r="I477" s="23" t="s">
        <v>1517</v>
      </c>
      <c r="J477" s="23" t="str">
        <f>TRIM('data cleaning'!$K477)</f>
        <v>Furniture</v>
      </c>
      <c r="K477" s="23" t="s">
        <v>1522</v>
      </c>
      <c r="L477" s="23" t="str">
        <f>TRIM('data cleaning'!$M477)</f>
        <v>Bookcases</v>
      </c>
      <c r="M477" s="23" t="s">
        <v>1527</v>
      </c>
      <c r="N477" s="23" t="str">
        <f>PROPER('data cleaning'!$O477)</f>
        <v>Western Bookcases</v>
      </c>
      <c r="O477" s="23" t="str">
        <f>TRIM('data cleaning'!$P477)</f>
        <v>Western Bookcases</v>
      </c>
      <c r="P477" s="23" t="s">
        <v>1991</v>
      </c>
      <c r="Q477" s="23">
        <v>320.10000000000002</v>
      </c>
      <c r="R477" s="23">
        <v>3</v>
      </c>
      <c r="S477" s="23">
        <v>0.2</v>
      </c>
      <c r="T477" s="24">
        <v>85.42</v>
      </c>
    </row>
    <row r="478" spans="1:20" ht="15.6" x14ac:dyDescent="0.3">
      <c r="A478" s="13" t="s">
        <v>489</v>
      </c>
      <c r="B478" s="14">
        <v>45348</v>
      </c>
      <c r="C478" s="15">
        <v>45354</v>
      </c>
      <c r="D478" s="16" t="str">
        <f>TRIM('data cleaning'!$E478)</f>
        <v>Paul Osborne</v>
      </c>
      <c r="E478" s="17" t="s">
        <v>1245</v>
      </c>
      <c r="F478" s="17" t="str">
        <f>TRIM('data cleaning'!$G478)</f>
        <v>Home Office</v>
      </c>
      <c r="G478" s="17" t="s">
        <v>1515</v>
      </c>
      <c r="H478" s="17" t="str">
        <f>TRIM('data cleaning'!$I478)</f>
        <v>West</v>
      </c>
      <c r="I478" s="17" t="s">
        <v>1518</v>
      </c>
      <c r="J478" s="17" t="str">
        <f>TRIM('data cleaning'!$K478)</f>
        <v>Furniture</v>
      </c>
      <c r="K478" s="17" t="s">
        <v>1522</v>
      </c>
      <c r="L478" s="17" t="str">
        <f>TRIM('data cleaning'!$M478)</f>
        <v>Tables</v>
      </c>
      <c r="M478" s="17" t="s">
        <v>1529</v>
      </c>
      <c r="N478" s="17" t="str">
        <f>PROPER('data cleaning'!$O478)</f>
        <v>Forget Tables</v>
      </c>
      <c r="O478" s="17" t="str">
        <f>TRIM('data cleaning'!$P478)</f>
        <v>Forget Tables</v>
      </c>
      <c r="P478" s="17" t="s">
        <v>1992</v>
      </c>
      <c r="Q478" s="17">
        <v>1242.4100000000001</v>
      </c>
      <c r="R478" s="17">
        <v>5</v>
      </c>
      <c r="S478" s="17">
        <v>0</v>
      </c>
      <c r="T478" s="18">
        <v>97.92</v>
      </c>
    </row>
    <row r="479" spans="1:20" ht="15.6" x14ac:dyDescent="0.3">
      <c r="A479" s="19" t="s">
        <v>490</v>
      </c>
      <c r="B479" s="20">
        <v>45822</v>
      </c>
      <c r="C479" s="21">
        <v>45824</v>
      </c>
      <c r="D479" s="22" t="str">
        <f>TRIM('data cleaning'!$E479)</f>
        <v>Ian Webb</v>
      </c>
      <c r="E479" s="23" t="s">
        <v>1246</v>
      </c>
      <c r="F479" s="23" t="str">
        <f>TRIM('data cleaning'!$G479)</f>
        <v>Corporate</v>
      </c>
      <c r="G479" s="23" t="s">
        <v>1514</v>
      </c>
      <c r="H479" s="23" t="str">
        <f>TRIM('data cleaning'!$I479)</f>
        <v>West</v>
      </c>
      <c r="I479" s="23" t="s">
        <v>1518</v>
      </c>
      <c r="J479" s="23" t="str">
        <f>TRIM('data cleaning'!$K479)</f>
        <v>Technology</v>
      </c>
      <c r="K479" s="23" t="s">
        <v>1521</v>
      </c>
      <c r="L479" s="23" t="str">
        <f>TRIM('data cleaning'!$M479)</f>
        <v>Phones</v>
      </c>
      <c r="M479" s="23" t="s">
        <v>1530</v>
      </c>
      <c r="N479" s="23" t="str">
        <f>PROPER('data cleaning'!$O479)</f>
        <v>Mother Phones</v>
      </c>
      <c r="O479" s="23" t="str">
        <f>TRIM('data cleaning'!$P479)</f>
        <v>Mother Phones</v>
      </c>
      <c r="P479" s="23" t="s">
        <v>1993</v>
      </c>
      <c r="Q479" s="23">
        <v>2322.52</v>
      </c>
      <c r="R479" s="23">
        <v>10</v>
      </c>
      <c r="S479" s="23">
        <v>0.15</v>
      </c>
      <c r="T479" s="24">
        <v>-352.07</v>
      </c>
    </row>
    <row r="480" spans="1:20" ht="15.6" x14ac:dyDescent="0.3">
      <c r="A480" s="13" t="s">
        <v>491</v>
      </c>
      <c r="B480" s="14">
        <v>45358</v>
      </c>
      <c r="C480" s="15">
        <v>45366</v>
      </c>
      <c r="D480" s="16" t="str">
        <f>TRIM('data cleaning'!$E480)</f>
        <v>Christine Martin</v>
      </c>
      <c r="E480" s="17" t="s">
        <v>1247</v>
      </c>
      <c r="F480" s="17" t="str">
        <f>TRIM('data cleaning'!$G480)</f>
        <v>Consumer</v>
      </c>
      <c r="G480" s="17" t="s">
        <v>1513</v>
      </c>
      <c r="H480" s="17" t="str">
        <f>TRIM('data cleaning'!$I480)</f>
        <v>North</v>
      </c>
      <c r="I480" s="17" t="s">
        <v>1516</v>
      </c>
      <c r="J480" s="17" t="str">
        <f>TRIM('data cleaning'!$K480)</f>
        <v>Technology</v>
      </c>
      <c r="K480" s="17" t="s">
        <v>1521</v>
      </c>
      <c r="L480" s="17" t="str">
        <f>TRIM('data cleaning'!$M480)</f>
        <v>Phones</v>
      </c>
      <c r="M480" s="17" t="s">
        <v>1530</v>
      </c>
      <c r="N480" s="17" t="str">
        <f>PROPER('data cleaning'!$O480)</f>
        <v>Country Phones</v>
      </c>
      <c r="O480" s="17" t="str">
        <f>TRIM('data cleaning'!$P480)</f>
        <v>Country Phones</v>
      </c>
      <c r="P480" s="17" t="s">
        <v>1994</v>
      </c>
      <c r="Q480" s="17">
        <v>3738.93</v>
      </c>
      <c r="R480" s="17">
        <v>1</v>
      </c>
      <c r="S480" s="17">
        <v>0</v>
      </c>
      <c r="T480" s="18">
        <v>81.849999999999994</v>
      </c>
    </row>
    <row r="481" spans="1:20" ht="15.6" x14ac:dyDescent="0.3">
      <c r="A481" s="19" t="s">
        <v>492</v>
      </c>
      <c r="B481" s="20">
        <v>46013</v>
      </c>
      <c r="C481" s="21">
        <v>46023</v>
      </c>
      <c r="D481" s="22" t="str">
        <f>TRIM('data cleaning'!$E481)</f>
        <v>Alicia Dawson</v>
      </c>
      <c r="E481" s="23" t="s">
        <v>1248</v>
      </c>
      <c r="F481" s="23" t="str">
        <f>TRIM('data cleaning'!$G481)</f>
        <v>Home Office</v>
      </c>
      <c r="G481" s="23" t="s">
        <v>1515</v>
      </c>
      <c r="H481" s="23" t="str">
        <f>TRIM('data cleaning'!$I481)</f>
        <v>West</v>
      </c>
      <c r="I481" s="23" t="s">
        <v>1518</v>
      </c>
      <c r="J481" s="23" t="str">
        <f>TRIM('data cleaning'!$K481)</f>
        <v>Furniture</v>
      </c>
      <c r="K481" s="23" t="s">
        <v>1522</v>
      </c>
      <c r="L481" s="23" t="str">
        <f>TRIM('data cleaning'!$M481)</f>
        <v>Bookcases</v>
      </c>
      <c r="M481" s="23" t="s">
        <v>1527</v>
      </c>
      <c r="N481" s="23" t="str">
        <f>PROPER('data cleaning'!$O481)</f>
        <v>My Bookcases</v>
      </c>
      <c r="O481" s="23" t="str">
        <f>TRIM('data cleaning'!$P481)</f>
        <v>My Bookcases</v>
      </c>
      <c r="P481" s="23" t="s">
        <v>1995</v>
      </c>
      <c r="Q481" s="23">
        <v>3205.81</v>
      </c>
      <c r="R481" s="23">
        <v>9</v>
      </c>
      <c r="S481" s="23">
        <v>0.2</v>
      </c>
      <c r="T481" s="24">
        <v>-276.44</v>
      </c>
    </row>
    <row r="482" spans="1:20" ht="15.6" x14ac:dyDescent="0.3">
      <c r="A482" s="13" t="s">
        <v>493</v>
      </c>
      <c r="B482" s="14">
        <v>46124</v>
      </c>
      <c r="C482" s="15">
        <v>46125</v>
      </c>
      <c r="D482" s="16" t="str">
        <f>TRIM('data cleaning'!$E482)</f>
        <v>Danny Young</v>
      </c>
      <c r="E482" s="17" t="s">
        <v>1249</v>
      </c>
      <c r="F482" s="17" t="str">
        <f>TRIM('data cleaning'!$G482)</f>
        <v>Home Office</v>
      </c>
      <c r="G482" s="17" t="s">
        <v>1515</v>
      </c>
      <c r="H482" s="17" t="str">
        <f>TRIM('data cleaning'!$I482)</f>
        <v>West</v>
      </c>
      <c r="I482" s="17" t="s">
        <v>1518</v>
      </c>
      <c r="J482" s="17" t="str">
        <f>TRIM('data cleaning'!$K482)</f>
        <v>Technology</v>
      </c>
      <c r="K482" s="17" t="s">
        <v>1521</v>
      </c>
      <c r="L482" s="17" t="str">
        <f>TRIM('data cleaning'!$M482)</f>
        <v>Accessories</v>
      </c>
      <c r="M482" s="17" t="s">
        <v>1526</v>
      </c>
      <c r="N482" s="17" t="str">
        <f>PROPER('data cleaning'!$O482)</f>
        <v>Six Accessories</v>
      </c>
      <c r="O482" s="17" t="str">
        <f>TRIM('data cleaning'!$P482)</f>
        <v>Six Accessories</v>
      </c>
      <c r="P482" s="17" t="s">
        <v>1996</v>
      </c>
      <c r="Q482" s="17">
        <v>4092.11</v>
      </c>
      <c r="R482" s="17">
        <v>8</v>
      </c>
      <c r="S482" s="17">
        <v>0.1</v>
      </c>
      <c r="T482" s="18">
        <v>442.29</v>
      </c>
    </row>
    <row r="483" spans="1:20" ht="15.6" x14ac:dyDescent="0.3">
      <c r="A483" s="19" t="s">
        <v>494</v>
      </c>
      <c r="B483" s="20">
        <v>45984</v>
      </c>
      <c r="C483" s="21">
        <v>45990</v>
      </c>
      <c r="D483" s="22" t="str">
        <f>TRIM('data cleaning'!$E483)</f>
        <v>Sharon Francis</v>
      </c>
      <c r="E483" s="23" t="s">
        <v>1250</v>
      </c>
      <c r="F483" s="23" t="str">
        <f>TRIM('data cleaning'!$G483)</f>
        <v>Consumer</v>
      </c>
      <c r="G483" s="23" t="s">
        <v>1513</v>
      </c>
      <c r="H483" s="23" t="str">
        <f>TRIM('data cleaning'!$I483)</f>
        <v>North</v>
      </c>
      <c r="I483" s="23" t="s">
        <v>1516</v>
      </c>
      <c r="J483" s="23" t="str">
        <f>TRIM('data cleaning'!$K483)</f>
        <v>Office Supplies</v>
      </c>
      <c r="K483" s="23" t="s">
        <v>1520</v>
      </c>
      <c r="L483" s="23" t="str">
        <f>TRIM('data cleaning'!$M483)</f>
        <v>Storage</v>
      </c>
      <c r="M483" s="23" t="s">
        <v>1525</v>
      </c>
      <c r="N483" s="23" t="str">
        <f>PROPER('data cleaning'!$O483)</f>
        <v>Trouble Storage</v>
      </c>
      <c r="O483" s="23" t="str">
        <f>TRIM('data cleaning'!$P483)</f>
        <v>Trouble Storage</v>
      </c>
      <c r="P483" s="23" t="s">
        <v>1997</v>
      </c>
      <c r="Q483" s="23">
        <v>3593.77</v>
      </c>
      <c r="R483" s="23">
        <v>2</v>
      </c>
      <c r="S483" s="23">
        <v>0</v>
      </c>
      <c r="T483" s="24">
        <v>782.1</v>
      </c>
    </row>
    <row r="484" spans="1:20" ht="15.6" x14ac:dyDescent="0.3">
      <c r="A484" s="13" t="s">
        <v>495</v>
      </c>
      <c r="B484" s="14">
        <v>45829</v>
      </c>
      <c r="C484" s="15">
        <v>45834</v>
      </c>
      <c r="D484" s="16" t="str">
        <f>TRIM('data cleaning'!$E484)</f>
        <v>Philip Singleton</v>
      </c>
      <c r="E484" s="17" t="s">
        <v>1251</v>
      </c>
      <c r="F484" s="17" t="str">
        <f>TRIM('data cleaning'!$G484)</f>
        <v>Consumer</v>
      </c>
      <c r="G484" s="17" t="s">
        <v>1513</v>
      </c>
      <c r="H484" s="17" t="str">
        <f>TRIM('data cleaning'!$I484)</f>
        <v>West</v>
      </c>
      <c r="I484" s="17" t="s">
        <v>1518</v>
      </c>
      <c r="J484" s="17" t="str">
        <f>TRIM('data cleaning'!$K484)</f>
        <v>Technology</v>
      </c>
      <c r="K484" s="17" t="s">
        <v>1521</v>
      </c>
      <c r="L484" s="17" t="str">
        <f>TRIM('data cleaning'!$M484)</f>
        <v>Accessories</v>
      </c>
      <c r="M484" s="17" t="s">
        <v>1526</v>
      </c>
      <c r="N484" s="17" t="str">
        <f>PROPER('data cleaning'!$O484)</f>
        <v>Support Accessories</v>
      </c>
      <c r="O484" s="17" t="str">
        <f>TRIM('data cleaning'!$P484)</f>
        <v>Support Accessories</v>
      </c>
      <c r="P484" s="17" t="s">
        <v>1998</v>
      </c>
      <c r="Q484" s="17">
        <v>2761.07</v>
      </c>
      <c r="R484" s="17">
        <v>6</v>
      </c>
      <c r="S484" s="17"/>
      <c r="T484" s="18">
        <v>-390.75</v>
      </c>
    </row>
    <row r="485" spans="1:20" ht="15.6" x14ac:dyDescent="0.3">
      <c r="A485" s="19" t="s">
        <v>496</v>
      </c>
      <c r="B485" s="20">
        <v>45127</v>
      </c>
      <c r="C485" s="21">
        <v>45134</v>
      </c>
      <c r="D485" s="22" t="str">
        <f>TRIM('data cleaning'!$E485)</f>
        <v>Amy Lee</v>
      </c>
      <c r="E485" s="23" t="s">
        <v>1252</v>
      </c>
      <c r="F485" s="23" t="str">
        <f>TRIM('data cleaning'!$G485)</f>
        <v>Corporate</v>
      </c>
      <c r="G485" s="23" t="s">
        <v>1514</v>
      </c>
      <c r="H485" s="23" t="str">
        <f>TRIM('data cleaning'!$I485)</f>
        <v>South</v>
      </c>
      <c r="I485" s="23" t="s">
        <v>1517</v>
      </c>
      <c r="J485" s="23" t="str">
        <f>TRIM('data cleaning'!$K485)</f>
        <v>Furniture</v>
      </c>
      <c r="K485" s="23" t="s">
        <v>1522</v>
      </c>
      <c r="L485" s="23" t="str">
        <f>TRIM('data cleaning'!$M485)</f>
        <v>Bookcases</v>
      </c>
      <c r="M485" s="23" t="s">
        <v>1527</v>
      </c>
      <c r="N485" s="23" t="str">
        <f>PROPER('data cleaning'!$O485)</f>
        <v>Direction Bookcases</v>
      </c>
      <c r="O485" s="23" t="str">
        <f>TRIM('data cleaning'!$P485)</f>
        <v>Direction Bookcases</v>
      </c>
      <c r="P485" s="23" t="s">
        <v>1999</v>
      </c>
      <c r="Q485" s="23">
        <v>579.46</v>
      </c>
      <c r="R485" s="23">
        <v>10</v>
      </c>
      <c r="S485" s="23">
        <v>0.05</v>
      </c>
      <c r="T485" s="24">
        <v>-56.12</v>
      </c>
    </row>
    <row r="486" spans="1:20" ht="15.6" x14ac:dyDescent="0.3">
      <c r="A486" s="13" t="s">
        <v>497</v>
      </c>
      <c r="B486" s="14">
        <v>45750</v>
      </c>
      <c r="C486" s="15">
        <v>45756</v>
      </c>
      <c r="D486" s="16" t="str">
        <f>TRIM('data cleaning'!$E486)</f>
        <v>Stephen Meyer</v>
      </c>
      <c r="E486" s="17" t="s">
        <v>1253</v>
      </c>
      <c r="F486" s="17" t="str">
        <f>TRIM('data cleaning'!$G486)</f>
        <v>Home Office</v>
      </c>
      <c r="G486" s="17" t="s">
        <v>1515</v>
      </c>
      <c r="H486" s="17" t="str">
        <f>TRIM('data cleaning'!$I486)</f>
        <v>North</v>
      </c>
      <c r="I486" s="17" t="s">
        <v>1516</v>
      </c>
      <c r="J486" s="17" t="str">
        <f>TRIM('data cleaning'!$K486)</f>
        <v>Technology</v>
      </c>
      <c r="K486" s="17" t="s">
        <v>1521</v>
      </c>
      <c r="L486" s="17" t="str">
        <f>TRIM('data cleaning'!$M486)</f>
        <v>Phones</v>
      </c>
      <c r="M486" s="17" t="s">
        <v>1530</v>
      </c>
      <c r="N486" s="17" t="str">
        <f>PROPER('data cleaning'!$O486)</f>
        <v>Remember Phones</v>
      </c>
      <c r="O486" s="17" t="str">
        <f>TRIM('data cleaning'!$P486)</f>
        <v>Remember Phones</v>
      </c>
      <c r="P486" s="17" t="s">
        <v>2000</v>
      </c>
      <c r="Q486" s="17">
        <v>583.44000000000005</v>
      </c>
      <c r="R486" s="17">
        <v>7</v>
      </c>
      <c r="S486" s="17">
        <v>0</v>
      </c>
      <c r="T486" s="18">
        <v>180.66</v>
      </c>
    </row>
    <row r="487" spans="1:20" ht="15.6" x14ac:dyDescent="0.3">
      <c r="A487" s="19" t="s">
        <v>498</v>
      </c>
      <c r="B487" s="20">
        <v>45073</v>
      </c>
      <c r="C487" s="21">
        <v>45083</v>
      </c>
      <c r="D487" s="22" t="str">
        <f>TRIM('data cleaning'!$E487)</f>
        <v>Rachel Santos</v>
      </c>
      <c r="E487" s="23" t="s">
        <v>1254</v>
      </c>
      <c r="F487" s="23" t="str">
        <f>TRIM('data cleaning'!$G487)</f>
        <v>Home Office</v>
      </c>
      <c r="G487" s="23" t="s">
        <v>1515</v>
      </c>
      <c r="H487" s="23" t="str">
        <f>TRIM('data cleaning'!$I487)</f>
        <v>North</v>
      </c>
      <c r="I487" s="23" t="s">
        <v>1516</v>
      </c>
      <c r="J487" s="23" t="str">
        <f>TRIM('data cleaning'!$K487)</f>
        <v>Technology</v>
      </c>
      <c r="K487" s="23" t="s">
        <v>1521</v>
      </c>
      <c r="L487" s="23" t="str">
        <f>TRIM('data cleaning'!$M487)</f>
        <v>Accessories</v>
      </c>
      <c r="M487" s="23" t="s">
        <v>1526</v>
      </c>
      <c r="N487" s="23" t="str">
        <f>PROPER('data cleaning'!$O487)</f>
        <v>Face Accessories</v>
      </c>
      <c r="O487" s="23" t="str">
        <f>TRIM('data cleaning'!$P487)</f>
        <v>Face Accessories</v>
      </c>
      <c r="P487" s="23" t="s">
        <v>2001</v>
      </c>
      <c r="Q487" s="23">
        <v>4783.1400000000003</v>
      </c>
      <c r="R487" s="23">
        <v>3</v>
      </c>
      <c r="S487" s="23">
        <v>0.15</v>
      </c>
      <c r="T487" s="24">
        <v>-945.22</v>
      </c>
    </row>
    <row r="488" spans="1:20" ht="15.6" x14ac:dyDescent="0.3">
      <c r="A488" s="13" t="s">
        <v>499</v>
      </c>
      <c r="B488" s="14">
        <v>45569</v>
      </c>
      <c r="C488" s="15">
        <v>45579</v>
      </c>
      <c r="D488" s="16" t="str">
        <f>TRIM('data cleaning'!$E488)</f>
        <v>Travis George</v>
      </c>
      <c r="E488" s="17" t="s">
        <v>1255</v>
      </c>
      <c r="F488" s="17" t="str">
        <f>TRIM('data cleaning'!$G488)</f>
        <v>Consumer</v>
      </c>
      <c r="G488" s="17" t="s">
        <v>1513</v>
      </c>
      <c r="H488" s="17" t="str">
        <f>TRIM('data cleaning'!$I488)</f>
        <v>South</v>
      </c>
      <c r="I488" s="17" t="s">
        <v>1517</v>
      </c>
      <c r="J488" s="17" t="str">
        <f>TRIM('data cleaning'!$K488)</f>
        <v>Office Supplies</v>
      </c>
      <c r="K488" s="17" t="s">
        <v>1520</v>
      </c>
      <c r="L488" s="17" t="str">
        <f>TRIM('data cleaning'!$M488)</f>
        <v>Paper</v>
      </c>
      <c r="M488" s="17" t="s">
        <v>1524</v>
      </c>
      <c r="N488" s="17" t="str">
        <f>PROPER('data cleaning'!$O488)</f>
        <v>Its Paper</v>
      </c>
      <c r="O488" s="17" t="str">
        <f>TRIM('data cleaning'!$P488)</f>
        <v>Its Paper</v>
      </c>
      <c r="P488" s="17" t="s">
        <v>2002</v>
      </c>
      <c r="Q488" s="17">
        <v>2440.5100000000002</v>
      </c>
      <c r="R488" s="17">
        <v>9</v>
      </c>
      <c r="S488" s="17">
        <v>0.05</v>
      </c>
      <c r="T488" s="18">
        <v>440.51</v>
      </c>
    </row>
    <row r="489" spans="1:20" ht="15.6" x14ac:dyDescent="0.3">
      <c r="A489" s="19" t="s">
        <v>500</v>
      </c>
      <c r="B489" s="20">
        <v>45992</v>
      </c>
      <c r="C489" s="21">
        <v>46002</v>
      </c>
      <c r="D489" s="22" t="str">
        <f>TRIM('data cleaning'!$E489)</f>
        <v>Steven Phillips</v>
      </c>
      <c r="E489" s="23" t="s">
        <v>1256</v>
      </c>
      <c r="F489" s="23" t="str">
        <f>TRIM('data cleaning'!$G489)</f>
        <v>Corporate</v>
      </c>
      <c r="G489" s="23" t="s">
        <v>1514</v>
      </c>
      <c r="H489" s="23" t="str">
        <f>TRIM('data cleaning'!$I489)</f>
        <v>South</v>
      </c>
      <c r="I489" s="23" t="s">
        <v>1517</v>
      </c>
      <c r="J489" s="23" t="str">
        <f>TRIM('data cleaning'!$K489)</f>
        <v>Furniture</v>
      </c>
      <c r="K489" s="23" t="s">
        <v>1522</v>
      </c>
      <c r="L489" s="23" t="str">
        <f>TRIM('data cleaning'!$M489)</f>
        <v>Tables</v>
      </c>
      <c r="M489" s="23" t="s">
        <v>1529</v>
      </c>
      <c r="N489" s="23" t="str">
        <f>PROPER('data cleaning'!$O489)</f>
        <v>Make Tables</v>
      </c>
      <c r="O489" s="23" t="str">
        <f>TRIM('data cleaning'!$P489)</f>
        <v>Make Tables</v>
      </c>
      <c r="P489" s="23" t="s">
        <v>2003</v>
      </c>
      <c r="Q489" s="23">
        <v>3050.5</v>
      </c>
      <c r="R489" s="23">
        <v>6</v>
      </c>
      <c r="S489" s="23">
        <v>0.2</v>
      </c>
      <c r="T489" s="24">
        <v>868.68</v>
      </c>
    </row>
    <row r="490" spans="1:20" ht="15.6" x14ac:dyDescent="0.3">
      <c r="A490" s="13" t="s">
        <v>501</v>
      </c>
      <c r="B490" s="14">
        <v>45932</v>
      </c>
      <c r="C490" s="15">
        <v>45938</v>
      </c>
      <c r="D490" s="16" t="str">
        <f>TRIM('data cleaning'!$E490)</f>
        <v>Karen Greene</v>
      </c>
      <c r="E490" s="17" t="s">
        <v>1257</v>
      </c>
      <c r="F490" s="17" t="str">
        <f>TRIM('data cleaning'!$G490)</f>
        <v>Home Office</v>
      </c>
      <c r="G490" s="17" t="s">
        <v>1515</v>
      </c>
      <c r="H490" s="17" t="str">
        <f>TRIM('data cleaning'!$I490)</f>
        <v>East</v>
      </c>
      <c r="I490" s="17" t="s">
        <v>1519</v>
      </c>
      <c r="J490" s="17" t="str">
        <f>TRIM('data cleaning'!$K490)</f>
        <v>Technology</v>
      </c>
      <c r="K490" s="17" t="s">
        <v>1521</v>
      </c>
      <c r="L490" s="17" t="str">
        <f>TRIM('data cleaning'!$M490)</f>
        <v>Accessories</v>
      </c>
      <c r="M490" s="17" t="s">
        <v>1526</v>
      </c>
      <c r="N490" s="17" t="str">
        <f>PROPER('data cleaning'!$O490)</f>
        <v>Listen Accessories</v>
      </c>
      <c r="O490" s="17" t="str">
        <f>TRIM('data cleaning'!$P490)</f>
        <v>Listen Accessories</v>
      </c>
      <c r="P490" s="17" t="s">
        <v>2004</v>
      </c>
      <c r="Q490" s="17">
        <v>4853.93</v>
      </c>
      <c r="R490" s="17">
        <v>8</v>
      </c>
      <c r="S490" s="17">
        <v>0.05</v>
      </c>
      <c r="T490" s="18">
        <v>-601.89</v>
      </c>
    </row>
    <row r="491" spans="1:20" ht="15.6" x14ac:dyDescent="0.3">
      <c r="A491" s="19" t="s">
        <v>502</v>
      </c>
      <c r="B491" s="20">
        <v>46054</v>
      </c>
      <c r="C491" s="21">
        <v>46060</v>
      </c>
      <c r="D491" s="22" t="str">
        <f>TRIM('data cleaning'!$E491)</f>
        <v>Lindsay Bell</v>
      </c>
      <c r="E491" s="23" t="s">
        <v>1258</v>
      </c>
      <c r="F491" s="23" t="str">
        <f>TRIM('data cleaning'!$G491)</f>
        <v>Consumer</v>
      </c>
      <c r="G491" s="23" t="s">
        <v>1513</v>
      </c>
      <c r="H491" s="23" t="str">
        <f>TRIM('data cleaning'!$I491)</f>
        <v>East</v>
      </c>
      <c r="I491" s="23" t="s">
        <v>1519</v>
      </c>
      <c r="J491" s="23" t="str">
        <f>TRIM('data cleaning'!$K491)</f>
        <v>Office Supplies</v>
      </c>
      <c r="K491" s="23" t="s">
        <v>1520</v>
      </c>
      <c r="L491" s="23" t="str">
        <f>TRIM('data cleaning'!$M491)</f>
        <v>Storage</v>
      </c>
      <c r="M491" s="23" t="s">
        <v>1525</v>
      </c>
      <c r="N491" s="23" t="str">
        <f>PROPER('data cleaning'!$O491)</f>
        <v>Wall Storage</v>
      </c>
      <c r="O491" s="23" t="str">
        <f>TRIM('data cleaning'!$P491)</f>
        <v>Wall Storage</v>
      </c>
      <c r="P491" s="23" t="s">
        <v>2005</v>
      </c>
      <c r="Q491" s="23">
        <v>3573.78</v>
      </c>
      <c r="R491" s="23">
        <v>9</v>
      </c>
      <c r="S491" s="23"/>
      <c r="T491" s="24">
        <v>-287.55</v>
      </c>
    </row>
    <row r="492" spans="1:20" ht="15.6" x14ac:dyDescent="0.3">
      <c r="A492" s="13" t="s">
        <v>503</v>
      </c>
      <c r="B492" s="14">
        <v>45402</v>
      </c>
      <c r="C492" s="15">
        <v>45405</v>
      </c>
      <c r="D492" s="16" t="str">
        <f>TRIM('data cleaning'!$E492)</f>
        <v>Joel Johnson</v>
      </c>
      <c r="E492" s="17" t="s">
        <v>1259</v>
      </c>
      <c r="F492" s="17" t="str">
        <f>TRIM('data cleaning'!$G492)</f>
        <v>Home Office</v>
      </c>
      <c r="G492" s="17" t="s">
        <v>1515</v>
      </c>
      <c r="H492" s="17" t="str">
        <f>TRIM('data cleaning'!$I492)</f>
        <v>East</v>
      </c>
      <c r="I492" s="17" t="s">
        <v>1519</v>
      </c>
      <c r="J492" s="17" t="str">
        <f>TRIM('data cleaning'!$K492)</f>
        <v>Office Supplies</v>
      </c>
      <c r="K492" s="17" t="s">
        <v>1520</v>
      </c>
      <c r="L492" s="17" t="str">
        <f>TRIM('data cleaning'!$M492)</f>
        <v>Paper</v>
      </c>
      <c r="M492" s="17" t="s">
        <v>1524</v>
      </c>
      <c r="N492" s="17" t="str">
        <f>PROPER('data cleaning'!$O492)</f>
        <v>Generation Paper</v>
      </c>
      <c r="O492" s="17" t="str">
        <f>TRIM('data cleaning'!$P492)</f>
        <v>Generation Paper</v>
      </c>
      <c r="P492" s="17" t="s">
        <v>2006</v>
      </c>
      <c r="Q492" s="17">
        <v>4907.6099999999997</v>
      </c>
      <c r="R492" s="17">
        <v>3</v>
      </c>
      <c r="S492" s="17">
        <v>0.2</v>
      </c>
      <c r="T492" s="18">
        <v>482.76</v>
      </c>
    </row>
    <row r="493" spans="1:20" ht="15.6" x14ac:dyDescent="0.3">
      <c r="A493" s="19" t="s">
        <v>504</v>
      </c>
      <c r="B493" s="20">
        <v>45452</v>
      </c>
      <c r="C493" s="21">
        <v>45458</v>
      </c>
      <c r="D493" s="22" t="str">
        <f>TRIM('data cleaning'!$E493)</f>
        <v>Devin Young</v>
      </c>
      <c r="E493" s="23" t="s">
        <v>1260</v>
      </c>
      <c r="F493" s="23" t="str">
        <f>TRIM('data cleaning'!$G493)</f>
        <v>Home Office</v>
      </c>
      <c r="G493" s="23" t="s">
        <v>1515</v>
      </c>
      <c r="H493" s="23" t="str">
        <f>TRIM('data cleaning'!$I493)</f>
        <v>West</v>
      </c>
      <c r="I493" s="23" t="s">
        <v>1518</v>
      </c>
      <c r="J493" s="23" t="str">
        <f>TRIM('data cleaning'!$K493)</f>
        <v>Office Supplies</v>
      </c>
      <c r="K493" s="23" t="s">
        <v>1520</v>
      </c>
      <c r="L493" s="23" t="str">
        <f>TRIM('data cleaning'!$M493)</f>
        <v>Binders</v>
      </c>
      <c r="M493" s="23" t="s">
        <v>1523</v>
      </c>
      <c r="N493" s="23" t="str">
        <f>PROPER('data cleaning'!$O493)</f>
        <v>Music Binders</v>
      </c>
      <c r="O493" s="23" t="str">
        <f>TRIM('data cleaning'!$P493)</f>
        <v>Music Binders</v>
      </c>
      <c r="P493" s="23" t="s">
        <v>2007</v>
      </c>
      <c r="Q493" s="23">
        <v>2833.29</v>
      </c>
      <c r="R493" s="23">
        <v>10</v>
      </c>
      <c r="S493" s="23">
        <v>0.2</v>
      </c>
      <c r="T493" s="24">
        <v>902.32</v>
      </c>
    </row>
    <row r="494" spans="1:20" ht="15.6" x14ac:dyDescent="0.3">
      <c r="A494" s="13" t="s">
        <v>505</v>
      </c>
      <c r="B494" s="14">
        <v>45109</v>
      </c>
      <c r="C494" s="15">
        <v>45118</v>
      </c>
      <c r="D494" s="16" t="str">
        <f>TRIM('data cleaning'!$E494)</f>
        <v>Jenna Walton</v>
      </c>
      <c r="E494" s="17" t="s">
        <v>1261</v>
      </c>
      <c r="F494" s="17" t="str">
        <f>TRIM('data cleaning'!$G494)</f>
        <v>Consumer</v>
      </c>
      <c r="G494" s="17" t="s">
        <v>1513</v>
      </c>
      <c r="H494" s="17" t="str">
        <f>TRIM('data cleaning'!$I494)</f>
        <v/>
      </c>
      <c r="I494" s="17"/>
      <c r="J494" s="17" t="str">
        <f>TRIM('data cleaning'!$K494)</f>
        <v>Office Supplies</v>
      </c>
      <c r="K494" s="17" t="s">
        <v>1520</v>
      </c>
      <c r="L494" s="17" t="str">
        <f>TRIM('data cleaning'!$M494)</f>
        <v>Storage</v>
      </c>
      <c r="M494" s="17" t="s">
        <v>1525</v>
      </c>
      <c r="N494" s="17" t="str">
        <f>PROPER('data cleaning'!$O494)</f>
        <v>You Storage</v>
      </c>
      <c r="O494" s="17" t="str">
        <f>TRIM('data cleaning'!$P494)</f>
        <v>You Storage</v>
      </c>
      <c r="P494" s="17" t="s">
        <v>2008</v>
      </c>
      <c r="Q494" s="17">
        <v>1465.34</v>
      </c>
      <c r="R494" s="17">
        <v>7</v>
      </c>
      <c r="S494" s="17">
        <v>0</v>
      </c>
      <c r="T494" s="18">
        <v>128.22</v>
      </c>
    </row>
    <row r="495" spans="1:20" ht="15.6" x14ac:dyDescent="0.3">
      <c r="A495" s="19" t="s">
        <v>506</v>
      </c>
      <c r="B495" s="20">
        <v>45894</v>
      </c>
      <c r="C495" s="21">
        <v>45895</v>
      </c>
      <c r="D495" s="22" t="str">
        <f>TRIM('data cleaning'!$E495)</f>
        <v>Cody Robinson</v>
      </c>
      <c r="E495" s="23" t="s">
        <v>1262</v>
      </c>
      <c r="F495" s="23" t="str">
        <f>TRIM('data cleaning'!$G495)</f>
        <v>Consumer</v>
      </c>
      <c r="G495" s="23" t="s">
        <v>1513</v>
      </c>
      <c r="H495" s="23" t="str">
        <f>TRIM('data cleaning'!$I495)</f>
        <v>North</v>
      </c>
      <c r="I495" s="23" t="s">
        <v>1516</v>
      </c>
      <c r="J495" s="23" t="str">
        <f>TRIM('data cleaning'!$K495)</f>
        <v>Furniture</v>
      </c>
      <c r="K495" s="23" t="s">
        <v>1522</v>
      </c>
      <c r="L495" s="23" t="str">
        <f>TRIM('data cleaning'!$M495)</f>
        <v>Chairs</v>
      </c>
      <c r="M495" s="23" t="s">
        <v>1531</v>
      </c>
      <c r="N495" s="23" t="str">
        <f>PROPER('data cleaning'!$O495)</f>
        <v>Child Chairs</v>
      </c>
      <c r="O495" s="23" t="str">
        <f>TRIM('data cleaning'!$P495)</f>
        <v>Child Chairs</v>
      </c>
      <c r="P495" s="23" t="s">
        <v>2009</v>
      </c>
      <c r="Q495" s="23">
        <v>1039.52</v>
      </c>
      <c r="R495" s="23">
        <v>3</v>
      </c>
      <c r="S495" s="23">
        <v>0.1</v>
      </c>
      <c r="T495" s="24">
        <v>182.81</v>
      </c>
    </row>
    <row r="496" spans="1:20" ht="15.6" x14ac:dyDescent="0.3">
      <c r="A496" s="13" t="s">
        <v>507</v>
      </c>
      <c r="B496" s="14">
        <v>46003</v>
      </c>
      <c r="C496" s="15">
        <v>46007</v>
      </c>
      <c r="D496" s="16" t="str">
        <f>TRIM('data cleaning'!$E496)</f>
        <v>Erin Moore</v>
      </c>
      <c r="E496" s="17" t="s">
        <v>1263</v>
      </c>
      <c r="F496" s="17" t="str">
        <f>TRIM('data cleaning'!$G496)</f>
        <v>Consumer</v>
      </c>
      <c r="G496" s="17" t="s">
        <v>1513</v>
      </c>
      <c r="H496" s="17" t="str">
        <f>TRIM('data cleaning'!$I496)</f>
        <v>South</v>
      </c>
      <c r="I496" s="17" t="s">
        <v>1517</v>
      </c>
      <c r="J496" s="17" t="str">
        <f>TRIM('data cleaning'!$K496)</f>
        <v>Office Supplies</v>
      </c>
      <c r="K496" s="17" t="s">
        <v>1520</v>
      </c>
      <c r="L496" s="17" t="str">
        <f>TRIM('data cleaning'!$M496)</f>
        <v>Paper</v>
      </c>
      <c r="M496" s="17" t="s">
        <v>1524</v>
      </c>
      <c r="N496" s="17" t="str">
        <f>PROPER('data cleaning'!$O496)</f>
        <v>Run Paper</v>
      </c>
      <c r="O496" s="17" t="str">
        <f>TRIM('data cleaning'!$P496)</f>
        <v>Run Paper</v>
      </c>
      <c r="P496" s="17" t="s">
        <v>2010</v>
      </c>
      <c r="Q496" s="17">
        <v>3780.29</v>
      </c>
      <c r="R496" s="17">
        <v>1</v>
      </c>
      <c r="S496" s="17">
        <v>0.1</v>
      </c>
      <c r="T496" s="18">
        <v>936.43</v>
      </c>
    </row>
    <row r="497" spans="1:20" ht="15.6" x14ac:dyDescent="0.3">
      <c r="A497" s="19" t="s">
        <v>508</v>
      </c>
      <c r="B497" s="20">
        <v>45155</v>
      </c>
      <c r="C497" s="21">
        <v>45164</v>
      </c>
      <c r="D497" s="22" t="str">
        <f>TRIM('data cleaning'!$E497)</f>
        <v>Lindsey Moore</v>
      </c>
      <c r="E497" s="23" t="s">
        <v>1264</v>
      </c>
      <c r="F497" s="23" t="str">
        <f>TRIM('data cleaning'!$G497)</f>
        <v>Home Office</v>
      </c>
      <c r="G497" s="23" t="s">
        <v>1515</v>
      </c>
      <c r="H497" s="23" t="str">
        <f>TRIM('data cleaning'!$I497)</f>
        <v>North</v>
      </c>
      <c r="I497" s="23" t="s">
        <v>1516</v>
      </c>
      <c r="J497" s="23" t="str">
        <f>TRIM('data cleaning'!$K497)</f>
        <v>Office Supplies</v>
      </c>
      <c r="K497" s="23" t="s">
        <v>1520</v>
      </c>
      <c r="L497" s="23" t="str">
        <f>TRIM('data cleaning'!$M497)</f>
        <v>Storage</v>
      </c>
      <c r="M497" s="23" t="s">
        <v>1525</v>
      </c>
      <c r="N497" s="23" t="str">
        <f>PROPER('data cleaning'!$O497)</f>
        <v>Cost Storage</v>
      </c>
      <c r="O497" s="23" t="str">
        <f>TRIM('data cleaning'!$P497)</f>
        <v>Cost Storage</v>
      </c>
      <c r="P497" s="23" t="s">
        <v>2011</v>
      </c>
      <c r="Q497" s="23">
        <v>1974.99</v>
      </c>
      <c r="R497" s="23">
        <v>9</v>
      </c>
      <c r="S497" s="23"/>
      <c r="T497" s="24">
        <v>-82.55</v>
      </c>
    </row>
    <row r="498" spans="1:20" ht="15.6" x14ac:dyDescent="0.3">
      <c r="A498" s="13" t="s">
        <v>509</v>
      </c>
      <c r="B498" s="14">
        <v>45201</v>
      </c>
      <c r="C498" s="15">
        <v>45208</v>
      </c>
      <c r="D498" s="16" t="str">
        <f>TRIM('data cleaning'!$E498)</f>
        <v>Anne Cooper</v>
      </c>
      <c r="E498" s="17" t="s">
        <v>1265</v>
      </c>
      <c r="F498" s="17" t="str">
        <f>TRIM('data cleaning'!$G498)</f>
        <v>Home Office</v>
      </c>
      <c r="G498" s="17" t="s">
        <v>1515</v>
      </c>
      <c r="H498" s="17" t="str">
        <f>TRIM('data cleaning'!$I498)</f>
        <v>East</v>
      </c>
      <c r="I498" s="17" t="s">
        <v>1519</v>
      </c>
      <c r="J498" s="17" t="str">
        <f>TRIM('data cleaning'!$K498)</f>
        <v>Technology</v>
      </c>
      <c r="K498" s="17" t="s">
        <v>1521</v>
      </c>
      <c r="L498" s="17" t="str">
        <f>TRIM('data cleaning'!$M498)</f>
        <v>Accessories</v>
      </c>
      <c r="M498" s="17" t="s">
        <v>1526</v>
      </c>
      <c r="N498" s="17" t="str">
        <f>PROPER('data cleaning'!$O498)</f>
        <v>Church Accessories</v>
      </c>
      <c r="O498" s="17" t="str">
        <f>TRIM('data cleaning'!$P498)</f>
        <v>Church Accessories</v>
      </c>
      <c r="P498" s="17" t="s">
        <v>2012</v>
      </c>
      <c r="Q498" s="17">
        <v>4785.67</v>
      </c>
      <c r="R498" s="17">
        <v>6</v>
      </c>
      <c r="S498" s="17">
        <v>0.2</v>
      </c>
      <c r="T498" s="18">
        <v>-815.52</v>
      </c>
    </row>
    <row r="499" spans="1:20" ht="15.6" x14ac:dyDescent="0.3">
      <c r="A499" s="19" t="s">
        <v>510</v>
      </c>
      <c r="B499" s="20">
        <v>45841</v>
      </c>
      <c r="C499" s="21">
        <v>45849</v>
      </c>
      <c r="D499" s="22" t="str">
        <f>TRIM('data cleaning'!$E499)</f>
        <v>Shawna Perez</v>
      </c>
      <c r="E499" s="23" t="s">
        <v>1266</v>
      </c>
      <c r="F499" s="23" t="str">
        <f>TRIM('data cleaning'!$G499)</f>
        <v>Home Office</v>
      </c>
      <c r="G499" s="23" t="s">
        <v>1515</v>
      </c>
      <c r="H499" s="23" t="str">
        <f>TRIM('data cleaning'!$I499)</f>
        <v>South</v>
      </c>
      <c r="I499" s="23" t="s">
        <v>1517</v>
      </c>
      <c r="J499" s="23" t="str">
        <f>TRIM('data cleaning'!$K499)</f>
        <v>Furniture</v>
      </c>
      <c r="K499" s="23" t="s">
        <v>1522</v>
      </c>
      <c r="L499" s="23" t="str">
        <f>TRIM('data cleaning'!$M499)</f>
        <v>Bookcases</v>
      </c>
      <c r="M499" s="23" t="s">
        <v>1527</v>
      </c>
      <c r="N499" s="23" t="str">
        <f>PROPER('data cleaning'!$O499)</f>
        <v>Window Bookcases</v>
      </c>
      <c r="O499" s="23" t="str">
        <f>TRIM('data cleaning'!$P499)</f>
        <v>Window Bookcases</v>
      </c>
      <c r="P499" s="23" t="s">
        <v>2013</v>
      </c>
      <c r="Q499" s="23">
        <v>4158.42</v>
      </c>
      <c r="R499" s="23">
        <v>6</v>
      </c>
      <c r="S499" s="23">
        <v>0.2</v>
      </c>
      <c r="T499" s="24">
        <v>418.5</v>
      </c>
    </row>
    <row r="500" spans="1:20" ht="15.6" x14ac:dyDescent="0.3">
      <c r="A500" s="13" t="s">
        <v>511</v>
      </c>
      <c r="B500" s="14">
        <v>45405</v>
      </c>
      <c r="C500" s="15">
        <v>45410</v>
      </c>
      <c r="D500" s="16" t="str">
        <f>TRIM('data cleaning'!$E500)</f>
        <v>Alyssa Martinez DVM</v>
      </c>
      <c r="E500" s="17" t="s">
        <v>1267</v>
      </c>
      <c r="F500" s="17" t="str">
        <f>TRIM('data cleaning'!$G500)</f>
        <v>Home Office</v>
      </c>
      <c r="G500" s="17" t="s">
        <v>1515</v>
      </c>
      <c r="H500" s="17" t="str">
        <f>TRIM('data cleaning'!$I500)</f>
        <v>North</v>
      </c>
      <c r="I500" s="17" t="s">
        <v>1516</v>
      </c>
      <c r="J500" s="17" t="str">
        <f>TRIM('data cleaning'!$K500)</f>
        <v>Office Supplies</v>
      </c>
      <c r="K500" s="17" t="s">
        <v>1520</v>
      </c>
      <c r="L500" s="17" t="str">
        <f>TRIM('data cleaning'!$M500)</f>
        <v>Binders</v>
      </c>
      <c r="M500" s="17" t="s">
        <v>1523</v>
      </c>
      <c r="N500" s="17" t="str">
        <f>PROPER('data cleaning'!$O500)</f>
        <v>College Binders</v>
      </c>
      <c r="O500" s="17" t="str">
        <f>TRIM('data cleaning'!$P500)</f>
        <v>College Binders</v>
      </c>
      <c r="P500" s="17" t="s">
        <v>2014</v>
      </c>
      <c r="Q500" s="17">
        <v>2271.63</v>
      </c>
      <c r="R500" s="17">
        <v>2</v>
      </c>
      <c r="S500" s="17">
        <v>0.05</v>
      </c>
      <c r="T500" s="18">
        <v>748.19</v>
      </c>
    </row>
    <row r="501" spans="1:20" ht="15.6" x14ac:dyDescent="0.3">
      <c r="A501" s="19" t="s">
        <v>512</v>
      </c>
      <c r="B501" s="20">
        <v>45154</v>
      </c>
      <c r="C501" s="21">
        <v>45161</v>
      </c>
      <c r="D501" s="22" t="str">
        <f>TRIM('data cleaning'!$E501)</f>
        <v>Brandy Vega</v>
      </c>
      <c r="E501" s="23" t="s">
        <v>1268</v>
      </c>
      <c r="F501" s="23" t="str">
        <f>TRIM('data cleaning'!$G501)</f>
        <v>Corporate</v>
      </c>
      <c r="G501" s="23" t="s">
        <v>1514</v>
      </c>
      <c r="H501" s="23" t="str">
        <f>TRIM('data cleaning'!$I501)</f>
        <v>North</v>
      </c>
      <c r="I501" s="23" t="s">
        <v>1516</v>
      </c>
      <c r="J501" s="23" t="str">
        <f>TRIM('data cleaning'!$K501)</f>
        <v>Technology</v>
      </c>
      <c r="K501" s="23" t="s">
        <v>1521</v>
      </c>
      <c r="L501" s="23" t="str">
        <f>TRIM('data cleaning'!$M501)</f>
        <v>Phones</v>
      </c>
      <c r="M501" s="23" t="s">
        <v>1530</v>
      </c>
      <c r="N501" s="23" t="str">
        <f>PROPER('data cleaning'!$O501)</f>
        <v>Memory Phones</v>
      </c>
      <c r="O501" s="23" t="str">
        <f>TRIM('data cleaning'!$P501)</f>
        <v>Memory Phones</v>
      </c>
      <c r="P501" s="23" t="s">
        <v>1590</v>
      </c>
      <c r="Q501" s="23">
        <v>1431.61</v>
      </c>
      <c r="R501" s="23">
        <v>5</v>
      </c>
      <c r="S501" s="23">
        <v>0.05</v>
      </c>
      <c r="T501" s="24">
        <v>-159.61000000000001</v>
      </c>
    </row>
    <row r="502" spans="1:20" ht="15.6" x14ac:dyDescent="0.3">
      <c r="A502" s="13" t="s">
        <v>513</v>
      </c>
      <c r="B502" s="14">
        <v>45854</v>
      </c>
      <c r="C502" s="15">
        <v>45857</v>
      </c>
      <c r="D502" s="16" t="str">
        <f>TRIM('data cleaning'!$E502)</f>
        <v>David Thomas</v>
      </c>
      <c r="E502" s="17" t="s">
        <v>1269</v>
      </c>
      <c r="F502" s="17" t="str">
        <f>TRIM('data cleaning'!$G502)</f>
        <v>Home Office</v>
      </c>
      <c r="G502" s="17" t="s">
        <v>1515</v>
      </c>
      <c r="H502" s="17" t="str">
        <f>TRIM('data cleaning'!$I502)</f>
        <v>East</v>
      </c>
      <c r="I502" s="17" t="s">
        <v>1519</v>
      </c>
      <c r="J502" s="17" t="str">
        <f>TRIM('data cleaning'!$K502)</f>
        <v>Technology</v>
      </c>
      <c r="K502" s="17" t="s">
        <v>1521</v>
      </c>
      <c r="L502" s="17" t="str">
        <f>TRIM('data cleaning'!$M502)</f>
        <v>Accessories</v>
      </c>
      <c r="M502" s="17" t="s">
        <v>1526</v>
      </c>
      <c r="N502" s="17" t="str">
        <f>PROPER('data cleaning'!$O502)</f>
        <v>Discuss Accessories</v>
      </c>
      <c r="O502" s="17" t="str">
        <f>TRIM('data cleaning'!$P502)</f>
        <v>Discuss Accessories</v>
      </c>
      <c r="P502" s="17" t="s">
        <v>2015</v>
      </c>
      <c r="Q502" s="17">
        <v>247.71</v>
      </c>
      <c r="R502" s="17">
        <v>6</v>
      </c>
      <c r="S502" s="17">
        <v>0.2</v>
      </c>
      <c r="T502" s="18">
        <v>-42.61</v>
      </c>
    </row>
    <row r="503" spans="1:20" ht="15.6" x14ac:dyDescent="0.3">
      <c r="A503" s="19" t="s">
        <v>514</v>
      </c>
      <c r="B503" s="20">
        <v>45259</v>
      </c>
      <c r="C503" s="21">
        <v>45268</v>
      </c>
      <c r="D503" s="22" t="str">
        <f>TRIM('data cleaning'!$E503)</f>
        <v>Erin Nelson</v>
      </c>
      <c r="E503" s="23" t="s">
        <v>1270</v>
      </c>
      <c r="F503" s="23" t="str">
        <f>TRIM('data cleaning'!$G503)</f>
        <v>Consumer</v>
      </c>
      <c r="G503" s="23" t="s">
        <v>1513</v>
      </c>
      <c r="H503" s="23" t="str">
        <f>TRIM('data cleaning'!$I503)</f>
        <v>North</v>
      </c>
      <c r="I503" s="23" t="s">
        <v>1516</v>
      </c>
      <c r="J503" s="23" t="str">
        <f>TRIM('data cleaning'!$K503)</f>
        <v>Technology</v>
      </c>
      <c r="K503" s="23" t="s">
        <v>1521</v>
      </c>
      <c r="L503" s="23" t="str">
        <f>TRIM('data cleaning'!$M503)</f>
        <v>Laptops</v>
      </c>
      <c r="M503" s="23" t="s">
        <v>1528</v>
      </c>
      <c r="N503" s="23" t="str">
        <f>PROPER('data cleaning'!$O503)</f>
        <v>Civil Laptops</v>
      </c>
      <c r="O503" s="23" t="str">
        <f>TRIM('data cleaning'!$P503)</f>
        <v>Civil Laptops</v>
      </c>
      <c r="P503" s="23" t="s">
        <v>2016</v>
      </c>
      <c r="Q503" s="23">
        <v>1822.52</v>
      </c>
      <c r="R503" s="23">
        <v>6</v>
      </c>
      <c r="S503" s="23">
        <v>0.2</v>
      </c>
      <c r="T503" s="24">
        <v>-144.02000000000001</v>
      </c>
    </row>
    <row r="504" spans="1:20" ht="15.6" x14ac:dyDescent="0.3">
      <c r="A504" s="13" t="s">
        <v>515</v>
      </c>
      <c r="B504" s="14">
        <v>45308</v>
      </c>
      <c r="C504" s="15">
        <v>45315</v>
      </c>
      <c r="D504" s="16" t="str">
        <f>TRIM('data cleaning'!$E504)</f>
        <v>Linda Gaines</v>
      </c>
      <c r="E504" s="17" t="s">
        <v>1271</v>
      </c>
      <c r="F504" s="17" t="str">
        <f>TRIM('data cleaning'!$G504)</f>
        <v>Consumer</v>
      </c>
      <c r="G504" s="17" t="s">
        <v>1513</v>
      </c>
      <c r="H504" s="17" t="str">
        <f>TRIM('data cleaning'!$I504)</f>
        <v>East</v>
      </c>
      <c r="I504" s="17" t="s">
        <v>1519</v>
      </c>
      <c r="J504" s="17" t="str">
        <f>TRIM('data cleaning'!$K504)</f>
        <v>Office Supplies</v>
      </c>
      <c r="K504" s="17" t="s">
        <v>1520</v>
      </c>
      <c r="L504" s="17" t="str">
        <f>TRIM('data cleaning'!$M504)</f>
        <v>Binders</v>
      </c>
      <c r="M504" s="17" t="s">
        <v>1523</v>
      </c>
      <c r="N504" s="17" t="str">
        <f>PROPER('data cleaning'!$O504)</f>
        <v>News Binders</v>
      </c>
      <c r="O504" s="17" t="str">
        <f>TRIM('data cleaning'!$P504)</f>
        <v>News Binders</v>
      </c>
      <c r="P504" s="17" t="s">
        <v>2017</v>
      </c>
      <c r="Q504" s="17">
        <v>2738.25</v>
      </c>
      <c r="R504" s="17">
        <v>7</v>
      </c>
      <c r="S504" s="17">
        <v>0</v>
      </c>
      <c r="T504" s="18">
        <v>-21.44</v>
      </c>
    </row>
    <row r="505" spans="1:20" ht="15.6" x14ac:dyDescent="0.3">
      <c r="A505" s="19" t="s">
        <v>516</v>
      </c>
      <c r="B505" s="20">
        <v>45310</v>
      </c>
      <c r="C505" s="21">
        <v>45315</v>
      </c>
      <c r="D505" s="22" t="str">
        <f>TRIM('data cleaning'!$E505)</f>
        <v>Dustin Shaw</v>
      </c>
      <c r="E505" s="23" t="s">
        <v>1272</v>
      </c>
      <c r="F505" s="23" t="str">
        <f>TRIM('data cleaning'!$G505)</f>
        <v>Home Office</v>
      </c>
      <c r="G505" s="23" t="s">
        <v>1515</v>
      </c>
      <c r="H505" s="23" t="str">
        <f>TRIM('data cleaning'!$I505)</f>
        <v>North</v>
      </c>
      <c r="I505" s="23" t="s">
        <v>1516</v>
      </c>
      <c r="J505" s="23" t="str">
        <f>TRIM('data cleaning'!$K505)</f>
        <v>Technology</v>
      </c>
      <c r="K505" s="23" t="s">
        <v>1521</v>
      </c>
      <c r="L505" s="23" t="str">
        <f>TRIM('data cleaning'!$M505)</f>
        <v>Accessories</v>
      </c>
      <c r="M505" s="23" t="s">
        <v>1526</v>
      </c>
      <c r="N505" s="23" t="str">
        <f>PROPER('data cleaning'!$O505)</f>
        <v>Country Accessories</v>
      </c>
      <c r="O505" s="23" t="str">
        <f>TRIM('data cleaning'!$P505)</f>
        <v>Country Accessories</v>
      </c>
      <c r="P505" s="23" t="s">
        <v>2018</v>
      </c>
      <c r="Q505" s="23">
        <v>1131.3</v>
      </c>
      <c r="R505" s="23">
        <v>10</v>
      </c>
      <c r="S505" s="23">
        <v>0.2</v>
      </c>
      <c r="T505" s="24">
        <v>69.2</v>
      </c>
    </row>
    <row r="506" spans="1:20" ht="15.6" x14ac:dyDescent="0.3">
      <c r="A506" s="13" t="s">
        <v>517</v>
      </c>
      <c r="B506" s="14">
        <v>46009</v>
      </c>
      <c r="C506" s="15">
        <v>46015</v>
      </c>
      <c r="D506" s="16" t="str">
        <f>TRIM('data cleaning'!$E506)</f>
        <v>Jessica Christian</v>
      </c>
      <c r="E506" s="17" t="s">
        <v>1273</v>
      </c>
      <c r="F506" s="17" t="str">
        <f>TRIM('data cleaning'!$G506)</f>
        <v>Consumer</v>
      </c>
      <c r="G506" s="17" t="s">
        <v>1513</v>
      </c>
      <c r="H506" s="17" t="str">
        <f>TRIM('data cleaning'!$I506)</f>
        <v>East</v>
      </c>
      <c r="I506" s="17" t="s">
        <v>1519</v>
      </c>
      <c r="J506" s="17" t="str">
        <f>TRIM('data cleaning'!$K506)</f>
        <v>Furniture</v>
      </c>
      <c r="K506" s="17" t="s">
        <v>1522</v>
      </c>
      <c r="L506" s="17" t="str">
        <f>TRIM('data cleaning'!$M506)</f>
        <v>Bookcases</v>
      </c>
      <c r="M506" s="17" t="s">
        <v>1527</v>
      </c>
      <c r="N506" s="17" t="str">
        <f>PROPER('data cleaning'!$O506)</f>
        <v>Civil Bookcases</v>
      </c>
      <c r="O506" s="17" t="str">
        <f>TRIM('data cleaning'!$P506)</f>
        <v>Civil Bookcases</v>
      </c>
      <c r="P506" s="17" t="s">
        <v>2019</v>
      </c>
      <c r="Q506" s="17">
        <v>2256.0500000000002</v>
      </c>
      <c r="R506" s="17">
        <v>10</v>
      </c>
      <c r="S506" s="17">
        <v>0.2</v>
      </c>
      <c r="T506" s="18">
        <v>-148.66</v>
      </c>
    </row>
    <row r="507" spans="1:20" ht="15.6" x14ac:dyDescent="0.3">
      <c r="A507" s="19" t="s">
        <v>518</v>
      </c>
      <c r="B507" s="20">
        <v>45220</v>
      </c>
      <c r="C507" s="21">
        <v>45227</v>
      </c>
      <c r="D507" s="22" t="str">
        <f>TRIM('data cleaning'!$E507)</f>
        <v>Mary Stewart</v>
      </c>
      <c r="E507" s="23" t="s">
        <v>1274</v>
      </c>
      <c r="F507" s="23" t="str">
        <f>TRIM('data cleaning'!$G507)</f>
        <v>Corporate</v>
      </c>
      <c r="G507" s="23" t="s">
        <v>1514</v>
      </c>
      <c r="H507" s="23" t="str">
        <f>TRIM('data cleaning'!$I507)</f>
        <v>West</v>
      </c>
      <c r="I507" s="23" t="s">
        <v>1518</v>
      </c>
      <c r="J507" s="23" t="str">
        <f>TRIM('data cleaning'!$K507)</f>
        <v>Technology</v>
      </c>
      <c r="K507" s="23" t="s">
        <v>1521</v>
      </c>
      <c r="L507" s="23" t="str">
        <f>TRIM('data cleaning'!$M507)</f>
        <v>Phones</v>
      </c>
      <c r="M507" s="23" t="s">
        <v>1530</v>
      </c>
      <c r="N507" s="23" t="str">
        <f>PROPER('data cleaning'!$O507)</f>
        <v>Relate Phones</v>
      </c>
      <c r="O507" s="23" t="str">
        <f>TRIM('data cleaning'!$P507)</f>
        <v>Relate Phones</v>
      </c>
      <c r="P507" s="23" t="s">
        <v>2020</v>
      </c>
      <c r="Q507" s="23">
        <v>1320.12</v>
      </c>
      <c r="R507" s="23">
        <v>5</v>
      </c>
      <c r="S507" s="23">
        <v>0</v>
      </c>
      <c r="T507" s="24">
        <v>397.67</v>
      </c>
    </row>
    <row r="508" spans="1:20" ht="15.6" x14ac:dyDescent="0.3">
      <c r="A508" s="13" t="s">
        <v>519</v>
      </c>
      <c r="B508" s="14">
        <v>45766</v>
      </c>
      <c r="C508" s="15">
        <v>45771</v>
      </c>
      <c r="D508" s="16" t="str">
        <f>TRIM('data cleaning'!$E508)</f>
        <v/>
      </c>
      <c r="E508" s="17"/>
      <c r="F508" s="17" t="str">
        <f>TRIM('data cleaning'!$G508)</f>
        <v>Consumer</v>
      </c>
      <c r="G508" s="17" t="s">
        <v>1513</v>
      </c>
      <c r="H508" s="17" t="str">
        <f>TRIM('data cleaning'!$I508)</f>
        <v>South</v>
      </c>
      <c r="I508" s="17" t="s">
        <v>1517</v>
      </c>
      <c r="J508" s="17" t="str">
        <f>TRIM('data cleaning'!$K508)</f>
        <v>Technology</v>
      </c>
      <c r="K508" s="17" t="s">
        <v>1521</v>
      </c>
      <c r="L508" s="17" t="str">
        <f>TRIM('data cleaning'!$M508)</f>
        <v>Phones</v>
      </c>
      <c r="M508" s="17" t="s">
        <v>1530</v>
      </c>
      <c r="N508" s="17" t="str">
        <f>PROPER('data cleaning'!$O508)</f>
        <v>Mrs Phones</v>
      </c>
      <c r="O508" s="17" t="str">
        <f>TRIM('data cleaning'!$P508)</f>
        <v>Mrs Phones</v>
      </c>
      <c r="P508" s="17" t="s">
        <v>2021</v>
      </c>
      <c r="Q508" s="17">
        <v>4496.49</v>
      </c>
      <c r="R508" s="17">
        <v>4</v>
      </c>
      <c r="S508" s="17">
        <v>0.1</v>
      </c>
      <c r="T508" s="18">
        <v>371.6</v>
      </c>
    </row>
    <row r="509" spans="1:20" ht="15.6" x14ac:dyDescent="0.3">
      <c r="A509" s="19" t="s">
        <v>520</v>
      </c>
      <c r="B509" s="20">
        <v>45515</v>
      </c>
      <c r="C509" s="21">
        <v>45516</v>
      </c>
      <c r="D509" s="22" t="str">
        <f>TRIM('data cleaning'!$E509)</f>
        <v>James Hall</v>
      </c>
      <c r="E509" s="23" t="s">
        <v>1275</v>
      </c>
      <c r="F509" s="23" t="str">
        <f>TRIM('data cleaning'!$G509)</f>
        <v>Consumer</v>
      </c>
      <c r="G509" s="23" t="s">
        <v>1513</v>
      </c>
      <c r="H509" s="23" t="str">
        <f>TRIM('data cleaning'!$I509)</f>
        <v>West</v>
      </c>
      <c r="I509" s="23" t="s">
        <v>1518</v>
      </c>
      <c r="J509" s="23" t="str">
        <f>TRIM('data cleaning'!$K509)</f>
        <v>Office Supplies</v>
      </c>
      <c r="K509" s="23" t="s">
        <v>1520</v>
      </c>
      <c r="L509" s="23" t="str">
        <f>TRIM('data cleaning'!$M509)</f>
        <v>Storage</v>
      </c>
      <c r="M509" s="23" t="s">
        <v>1525</v>
      </c>
      <c r="N509" s="23" t="str">
        <f>PROPER('data cleaning'!$O509)</f>
        <v>Scientist Storage</v>
      </c>
      <c r="O509" s="23" t="str">
        <f>TRIM('data cleaning'!$P509)</f>
        <v>Scientist Storage</v>
      </c>
      <c r="P509" s="23" t="s">
        <v>2022</v>
      </c>
      <c r="Q509" s="23">
        <v>3153.32</v>
      </c>
      <c r="R509" s="23">
        <v>4</v>
      </c>
      <c r="S509" s="23"/>
      <c r="T509" s="24">
        <v>461.12</v>
      </c>
    </row>
    <row r="510" spans="1:20" ht="15.6" x14ac:dyDescent="0.3">
      <c r="A510" s="13" t="s">
        <v>521</v>
      </c>
      <c r="B510" s="14">
        <v>45195</v>
      </c>
      <c r="C510" s="15">
        <v>45204</v>
      </c>
      <c r="D510" s="16" t="str">
        <f>TRIM('data cleaning'!$E510)</f>
        <v>Stephanie Howard</v>
      </c>
      <c r="E510" s="17" t="s">
        <v>1276</v>
      </c>
      <c r="F510" s="17" t="str">
        <f>TRIM('data cleaning'!$G510)</f>
        <v>Consumer</v>
      </c>
      <c r="G510" s="17" t="s">
        <v>1513</v>
      </c>
      <c r="H510" s="17" t="str">
        <f>TRIM('data cleaning'!$I510)</f>
        <v>South</v>
      </c>
      <c r="I510" s="17" t="s">
        <v>1517</v>
      </c>
      <c r="J510" s="17" t="str">
        <f>TRIM('data cleaning'!$K510)</f>
        <v>Furniture</v>
      </c>
      <c r="K510" s="17" t="s">
        <v>1522</v>
      </c>
      <c r="L510" s="17" t="str">
        <f>TRIM('data cleaning'!$M510)</f>
        <v>Chairs</v>
      </c>
      <c r="M510" s="17" t="s">
        <v>1531</v>
      </c>
      <c r="N510" s="17" t="str">
        <f>PROPER('data cleaning'!$O510)</f>
        <v>Fight Chairs</v>
      </c>
      <c r="O510" s="17" t="str">
        <f>TRIM('data cleaning'!$P510)</f>
        <v>Fight Chairs</v>
      </c>
      <c r="P510" s="17" t="s">
        <v>2023</v>
      </c>
      <c r="Q510" s="17">
        <v>4152.3100000000004</v>
      </c>
      <c r="R510" s="17">
        <v>7</v>
      </c>
      <c r="S510" s="17"/>
      <c r="T510" s="18">
        <v>1034.82</v>
      </c>
    </row>
    <row r="511" spans="1:20" ht="15.6" x14ac:dyDescent="0.3">
      <c r="A511" s="19" t="s">
        <v>522</v>
      </c>
      <c r="B511" s="20">
        <v>45368</v>
      </c>
      <c r="C511" s="21">
        <v>45374</v>
      </c>
      <c r="D511" s="22" t="str">
        <f>TRIM('data cleaning'!$E511)</f>
        <v>Ian Martinez</v>
      </c>
      <c r="E511" s="23" t="s">
        <v>1277</v>
      </c>
      <c r="F511" s="23" t="str">
        <f>TRIM('data cleaning'!$G511)</f>
        <v>Corporate</v>
      </c>
      <c r="G511" s="23" t="s">
        <v>1514</v>
      </c>
      <c r="H511" s="23" t="str">
        <f>TRIM('data cleaning'!$I511)</f>
        <v>North</v>
      </c>
      <c r="I511" s="23" t="s">
        <v>1516</v>
      </c>
      <c r="J511" s="23" t="str">
        <f>TRIM('data cleaning'!$K511)</f>
        <v>Furniture</v>
      </c>
      <c r="K511" s="23" t="s">
        <v>1522</v>
      </c>
      <c r="L511" s="23" t="str">
        <f>TRIM('data cleaning'!$M511)</f>
        <v>Tables</v>
      </c>
      <c r="M511" s="23" t="s">
        <v>1529</v>
      </c>
      <c r="N511" s="23" t="str">
        <f>PROPER('data cleaning'!$O511)</f>
        <v>Grow Tables</v>
      </c>
      <c r="O511" s="23" t="str">
        <f>TRIM('data cleaning'!$P511)</f>
        <v>Grow Tables</v>
      </c>
      <c r="P511" s="23" t="s">
        <v>2024</v>
      </c>
      <c r="Q511" s="23">
        <v>237.54</v>
      </c>
      <c r="R511" s="23">
        <v>2</v>
      </c>
      <c r="S511" s="23">
        <v>0</v>
      </c>
      <c r="T511" s="24">
        <v>-24.25</v>
      </c>
    </row>
    <row r="512" spans="1:20" ht="15.6" x14ac:dyDescent="0.3">
      <c r="A512" s="13" t="s">
        <v>523</v>
      </c>
      <c r="B512" s="14">
        <v>45297</v>
      </c>
      <c r="C512" s="15">
        <v>45302</v>
      </c>
      <c r="D512" s="16" t="str">
        <f>TRIM('data cleaning'!$E512)</f>
        <v>Ann Jones</v>
      </c>
      <c r="E512" s="17" t="s">
        <v>1278</v>
      </c>
      <c r="F512" s="17" t="str">
        <f>TRIM('data cleaning'!$G512)</f>
        <v>Corporate</v>
      </c>
      <c r="G512" s="17" t="s">
        <v>1514</v>
      </c>
      <c r="H512" s="17" t="str">
        <f>TRIM('data cleaning'!$I512)</f>
        <v>North</v>
      </c>
      <c r="I512" s="17" t="s">
        <v>1516</v>
      </c>
      <c r="J512" s="17" t="str">
        <f>TRIM('data cleaning'!$K512)</f>
        <v>Office Supplies</v>
      </c>
      <c r="K512" s="17" t="s">
        <v>1520</v>
      </c>
      <c r="L512" s="17" t="str">
        <f>TRIM('data cleaning'!$M512)</f>
        <v>Binders</v>
      </c>
      <c r="M512" s="17" t="s">
        <v>1523</v>
      </c>
      <c r="N512" s="17" t="str">
        <f>PROPER('data cleaning'!$O512)</f>
        <v>Hold Binders</v>
      </c>
      <c r="O512" s="17" t="str">
        <f>TRIM('data cleaning'!$P512)</f>
        <v>Hold Binders</v>
      </c>
      <c r="P512" s="17" t="s">
        <v>2025</v>
      </c>
      <c r="Q512" s="17">
        <v>2067.7800000000002</v>
      </c>
      <c r="R512" s="17">
        <v>8</v>
      </c>
      <c r="S512" s="17"/>
      <c r="T512" s="18">
        <v>46.41</v>
      </c>
    </row>
    <row r="513" spans="1:20" ht="15.6" x14ac:dyDescent="0.3">
      <c r="A513" s="19" t="s">
        <v>524</v>
      </c>
      <c r="B513" s="20">
        <v>46087</v>
      </c>
      <c r="C513" s="21">
        <v>46089</v>
      </c>
      <c r="D513" s="22" t="str">
        <f>TRIM('data cleaning'!$E513)</f>
        <v>Dr. Colleen Nichols DDS</v>
      </c>
      <c r="E513" s="23" t="s">
        <v>1279</v>
      </c>
      <c r="F513" s="23" t="str">
        <f>TRIM('data cleaning'!$G513)</f>
        <v>Home Office</v>
      </c>
      <c r="G513" s="23" t="s">
        <v>1515</v>
      </c>
      <c r="H513" s="23" t="str">
        <f>TRIM('data cleaning'!$I513)</f>
        <v>North</v>
      </c>
      <c r="I513" s="23" t="s">
        <v>1516</v>
      </c>
      <c r="J513" s="23" t="str">
        <f>TRIM('data cleaning'!$K513)</f>
        <v>Technology</v>
      </c>
      <c r="K513" s="23" t="s">
        <v>1521</v>
      </c>
      <c r="L513" s="23" t="str">
        <f>TRIM('data cleaning'!$M513)</f>
        <v>Laptops</v>
      </c>
      <c r="M513" s="23" t="s">
        <v>1528</v>
      </c>
      <c r="N513" s="23" t="str">
        <f>PROPER('data cleaning'!$O513)</f>
        <v>Seven Laptops</v>
      </c>
      <c r="O513" s="23" t="str">
        <f>TRIM('data cleaning'!$P513)</f>
        <v>Seven Laptops</v>
      </c>
      <c r="P513" s="23" t="s">
        <v>2026</v>
      </c>
      <c r="Q513" s="23">
        <v>2697.43</v>
      </c>
      <c r="R513" s="23">
        <v>10</v>
      </c>
      <c r="S513" s="23">
        <v>0</v>
      </c>
      <c r="T513" s="24">
        <v>582.04999999999995</v>
      </c>
    </row>
    <row r="514" spans="1:20" ht="15.6" x14ac:dyDescent="0.3">
      <c r="A514" s="13" t="s">
        <v>525</v>
      </c>
      <c r="B514" s="14" t="s">
        <v>775</v>
      </c>
      <c r="C514" s="15">
        <v>46091</v>
      </c>
      <c r="D514" s="16" t="str">
        <f>TRIM('data cleaning'!$E514)</f>
        <v>Brenda Brown</v>
      </c>
      <c r="E514" s="17" t="s">
        <v>1280</v>
      </c>
      <c r="F514" s="17" t="str">
        <f>TRIM('data cleaning'!$G514)</f>
        <v>Corporate</v>
      </c>
      <c r="G514" s="17" t="s">
        <v>1514</v>
      </c>
      <c r="H514" s="17" t="str">
        <f>TRIM('data cleaning'!$I514)</f>
        <v>North</v>
      </c>
      <c r="I514" s="17" t="s">
        <v>1516</v>
      </c>
      <c r="J514" s="17" t="str">
        <f>TRIM('data cleaning'!$K514)</f>
        <v>Office Supplies</v>
      </c>
      <c r="K514" s="17" t="s">
        <v>1520</v>
      </c>
      <c r="L514" s="17" t="str">
        <f>TRIM('data cleaning'!$M514)</f>
        <v>Binders</v>
      </c>
      <c r="M514" s="17" t="s">
        <v>1523</v>
      </c>
      <c r="N514" s="17" t="str">
        <f>PROPER('data cleaning'!$O514)</f>
        <v>Stage Binders</v>
      </c>
      <c r="O514" s="17" t="str">
        <f>TRIM('data cleaning'!$P514)</f>
        <v>Stage Binders</v>
      </c>
      <c r="P514" s="17" t="s">
        <v>2027</v>
      </c>
      <c r="Q514" s="17">
        <v>4643.84</v>
      </c>
      <c r="R514" s="17">
        <v>2</v>
      </c>
      <c r="S514" s="17">
        <v>0.1</v>
      </c>
      <c r="T514" s="18">
        <v>1081.04</v>
      </c>
    </row>
    <row r="515" spans="1:20" ht="15.6" x14ac:dyDescent="0.3">
      <c r="A515" s="19" t="s">
        <v>526</v>
      </c>
      <c r="B515" s="20">
        <v>45950</v>
      </c>
      <c r="C515" s="21">
        <v>45957</v>
      </c>
      <c r="D515" s="22" t="str">
        <f>TRIM('data cleaning'!$E515)</f>
        <v>Tony Bentley</v>
      </c>
      <c r="E515" s="23" t="s">
        <v>1281</v>
      </c>
      <c r="F515" s="23" t="str">
        <f>TRIM('data cleaning'!$G515)</f>
        <v>Consumer</v>
      </c>
      <c r="G515" s="23" t="s">
        <v>1513</v>
      </c>
      <c r="H515" s="23" t="str">
        <f>TRIM('data cleaning'!$I515)</f>
        <v>South</v>
      </c>
      <c r="I515" s="23" t="s">
        <v>1517</v>
      </c>
      <c r="J515" s="23" t="str">
        <f>TRIM('data cleaning'!$K515)</f>
        <v>Technology</v>
      </c>
      <c r="K515" s="23" t="s">
        <v>1521</v>
      </c>
      <c r="L515" s="23" t="str">
        <f>TRIM('data cleaning'!$M515)</f>
        <v>Accessories</v>
      </c>
      <c r="M515" s="23" t="s">
        <v>1526</v>
      </c>
      <c r="N515" s="23" t="str">
        <f>PROPER('data cleaning'!$O515)</f>
        <v>Can Accessories</v>
      </c>
      <c r="O515" s="23" t="str">
        <f>TRIM('data cleaning'!$P515)</f>
        <v>Can Accessories</v>
      </c>
      <c r="P515" s="23" t="s">
        <v>2028</v>
      </c>
      <c r="Q515" s="23">
        <v>2005.81</v>
      </c>
      <c r="R515" s="23">
        <v>1</v>
      </c>
      <c r="S515" s="23">
        <v>0.15</v>
      </c>
      <c r="T515" s="24">
        <v>-228.71</v>
      </c>
    </row>
    <row r="516" spans="1:20" ht="15.6" x14ac:dyDescent="0.3">
      <c r="A516" s="13" t="s">
        <v>527</v>
      </c>
      <c r="B516" s="14">
        <v>46107</v>
      </c>
      <c r="C516" s="15">
        <v>46116</v>
      </c>
      <c r="D516" s="16" t="str">
        <f>TRIM('data cleaning'!$E516)</f>
        <v>John Smith</v>
      </c>
      <c r="E516" s="17" t="s">
        <v>1282</v>
      </c>
      <c r="F516" s="17" t="str">
        <f>TRIM('data cleaning'!$G516)</f>
        <v/>
      </c>
      <c r="G516" s="17"/>
      <c r="H516" s="17" t="str">
        <f>TRIM('data cleaning'!$I516)</f>
        <v>East</v>
      </c>
      <c r="I516" s="17" t="s">
        <v>1519</v>
      </c>
      <c r="J516" s="17" t="str">
        <f>TRIM('data cleaning'!$K516)</f>
        <v>Office Supplies</v>
      </c>
      <c r="K516" s="17" t="s">
        <v>1520</v>
      </c>
      <c r="L516" s="17" t="str">
        <f>TRIM('data cleaning'!$M516)</f>
        <v>Paper</v>
      </c>
      <c r="M516" s="17" t="s">
        <v>1524</v>
      </c>
      <c r="N516" s="17" t="str">
        <f>PROPER('data cleaning'!$O516)</f>
        <v>Write Paper</v>
      </c>
      <c r="O516" s="17" t="str">
        <f>TRIM('data cleaning'!$P516)</f>
        <v>Write Paper</v>
      </c>
      <c r="P516" s="17" t="s">
        <v>1599</v>
      </c>
      <c r="Q516" s="17">
        <v>1510.14</v>
      </c>
      <c r="R516" s="17">
        <v>3</v>
      </c>
      <c r="S516" s="17">
        <v>0.1</v>
      </c>
      <c r="T516" s="18">
        <v>260.51</v>
      </c>
    </row>
    <row r="517" spans="1:20" ht="15.6" x14ac:dyDescent="0.3">
      <c r="A517" s="19" t="s">
        <v>528</v>
      </c>
      <c r="B517" s="20" t="s">
        <v>776</v>
      </c>
      <c r="C517" s="21">
        <v>45702</v>
      </c>
      <c r="D517" s="22" t="str">
        <f>TRIM('data cleaning'!$E517)</f>
        <v>Mandy Green</v>
      </c>
      <c r="E517" s="23" t="s">
        <v>1283</v>
      </c>
      <c r="F517" s="23" t="str">
        <f>TRIM('data cleaning'!$G517)</f>
        <v>Corporate</v>
      </c>
      <c r="G517" s="23" t="s">
        <v>1514</v>
      </c>
      <c r="H517" s="23" t="str">
        <f>TRIM('data cleaning'!$I517)</f>
        <v>North</v>
      </c>
      <c r="I517" s="23" t="s">
        <v>1516</v>
      </c>
      <c r="J517" s="23" t="str">
        <f>TRIM('data cleaning'!$K517)</f>
        <v>Furniture</v>
      </c>
      <c r="K517" s="23" t="s">
        <v>1522</v>
      </c>
      <c r="L517" s="23" t="str">
        <f>TRIM('data cleaning'!$M517)</f>
        <v>Bookcases</v>
      </c>
      <c r="M517" s="23" t="s">
        <v>1527</v>
      </c>
      <c r="N517" s="23" t="str">
        <f>PROPER('data cleaning'!$O517)</f>
        <v>Eat Bookcases</v>
      </c>
      <c r="O517" s="23" t="str">
        <f>TRIM('data cleaning'!$P517)</f>
        <v>Eat Bookcases</v>
      </c>
      <c r="P517" s="23" t="s">
        <v>2029</v>
      </c>
      <c r="Q517" s="23">
        <v>749.8</v>
      </c>
      <c r="R517" s="23">
        <v>1</v>
      </c>
      <c r="S517" s="23">
        <v>0</v>
      </c>
      <c r="T517" s="24">
        <v>86.22</v>
      </c>
    </row>
    <row r="518" spans="1:20" ht="15.6" x14ac:dyDescent="0.3">
      <c r="A518" s="13" t="s">
        <v>529</v>
      </c>
      <c r="B518" s="14">
        <v>46159</v>
      </c>
      <c r="C518" s="15">
        <v>46165</v>
      </c>
      <c r="D518" s="16" t="str">
        <f>TRIM('data cleaning'!$E518)</f>
        <v>Karen Harrison</v>
      </c>
      <c r="E518" s="17" t="s">
        <v>1284</v>
      </c>
      <c r="F518" s="17" t="str">
        <f>TRIM('data cleaning'!$G518)</f>
        <v>Consumer</v>
      </c>
      <c r="G518" s="17" t="s">
        <v>1513</v>
      </c>
      <c r="H518" s="17" t="str">
        <f>TRIM('data cleaning'!$I518)</f>
        <v>East</v>
      </c>
      <c r="I518" s="17" t="s">
        <v>1519</v>
      </c>
      <c r="J518" s="17" t="str">
        <f>TRIM('data cleaning'!$K518)</f>
        <v>Technology</v>
      </c>
      <c r="K518" s="17" t="s">
        <v>1521</v>
      </c>
      <c r="L518" s="17" t="str">
        <f>TRIM('data cleaning'!$M518)</f>
        <v>Phones</v>
      </c>
      <c r="M518" s="17" t="s">
        <v>1530</v>
      </c>
      <c r="N518" s="17" t="str">
        <f>PROPER('data cleaning'!$O518)</f>
        <v>Process Phones</v>
      </c>
      <c r="O518" s="17" t="str">
        <f>TRIM('data cleaning'!$P518)</f>
        <v>Process Phones</v>
      </c>
      <c r="P518" s="17" t="s">
        <v>2030</v>
      </c>
      <c r="Q518" s="17">
        <v>1098.0999999999999</v>
      </c>
      <c r="R518" s="17">
        <v>9</v>
      </c>
      <c r="S518" s="17">
        <v>0.05</v>
      </c>
      <c r="T518" s="18">
        <v>-122.41</v>
      </c>
    </row>
    <row r="519" spans="1:20" ht="15.6" x14ac:dyDescent="0.3">
      <c r="A519" s="19" t="s">
        <v>530</v>
      </c>
      <c r="B519" s="20">
        <v>45920</v>
      </c>
      <c r="C519" s="21">
        <v>45923</v>
      </c>
      <c r="D519" s="22" t="str">
        <f>TRIM('data cleaning'!$E519)</f>
        <v>Jeffrey Edwards</v>
      </c>
      <c r="E519" s="23" t="s">
        <v>1285</v>
      </c>
      <c r="F519" s="23" t="str">
        <f>TRIM('data cleaning'!$G519)</f>
        <v>Home Office</v>
      </c>
      <c r="G519" s="23" t="s">
        <v>1515</v>
      </c>
      <c r="H519" s="23" t="str">
        <f>TRIM('data cleaning'!$I519)</f>
        <v>West</v>
      </c>
      <c r="I519" s="23" t="s">
        <v>1518</v>
      </c>
      <c r="J519" s="23" t="str">
        <f>TRIM('data cleaning'!$K519)</f>
        <v>Furniture</v>
      </c>
      <c r="K519" s="23" t="s">
        <v>1522</v>
      </c>
      <c r="L519" s="23" t="str">
        <f>TRIM('data cleaning'!$M519)</f>
        <v>Chairs</v>
      </c>
      <c r="M519" s="23" t="s">
        <v>1531</v>
      </c>
      <c r="N519" s="23" t="str">
        <f>PROPER('data cleaning'!$O519)</f>
        <v>Analysis Chairs</v>
      </c>
      <c r="O519" s="23" t="str">
        <f>TRIM('data cleaning'!$P519)</f>
        <v>Analysis Chairs</v>
      </c>
      <c r="P519" s="23" t="s">
        <v>2031</v>
      </c>
      <c r="Q519" s="23">
        <v>3371.34</v>
      </c>
      <c r="R519" s="23">
        <v>10</v>
      </c>
      <c r="S519" s="23">
        <v>0</v>
      </c>
      <c r="T519" s="24">
        <v>904.41</v>
      </c>
    </row>
    <row r="520" spans="1:20" ht="15.6" x14ac:dyDescent="0.3">
      <c r="A520" s="13" t="s">
        <v>531</v>
      </c>
      <c r="B520" s="14">
        <v>45217</v>
      </c>
      <c r="C520" s="15">
        <v>45219</v>
      </c>
      <c r="D520" s="16" t="str">
        <f>TRIM('data cleaning'!$E520)</f>
        <v>Shelley Smith</v>
      </c>
      <c r="E520" s="17" t="s">
        <v>1286</v>
      </c>
      <c r="F520" s="17" t="str">
        <f>TRIM('data cleaning'!$G520)</f>
        <v>Home Office</v>
      </c>
      <c r="G520" s="17" t="s">
        <v>1515</v>
      </c>
      <c r="H520" s="17" t="str">
        <f>TRIM('data cleaning'!$I520)</f>
        <v>West</v>
      </c>
      <c r="I520" s="17" t="s">
        <v>1518</v>
      </c>
      <c r="J520" s="17" t="str">
        <f>TRIM('data cleaning'!$K520)</f>
        <v>Office Supplies</v>
      </c>
      <c r="K520" s="17" t="s">
        <v>1520</v>
      </c>
      <c r="L520" s="17" t="str">
        <f>TRIM('data cleaning'!$M520)</f>
        <v>Storage</v>
      </c>
      <c r="M520" s="17" t="s">
        <v>1525</v>
      </c>
      <c r="N520" s="17" t="str">
        <f>PROPER('data cleaning'!$O520)</f>
        <v>Age Storage</v>
      </c>
      <c r="O520" s="17" t="str">
        <f>TRIM('data cleaning'!$P520)</f>
        <v>Age Storage</v>
      </c>
      <c r="P520" s="17" t="s">
        <v>2032</v>
      </c>
      <c r="Q520" s="17">
        <v>1488.73</v>
      </c>
      <c r="R520" s="17">
        <v>2</v>
      </c>
      <c r="S520" s="17">
        <v>0.1</v>
      </c>
      <c r="T520" s="18">
        <v>-217.34</v>
      </c>
    </row>
    <row r="521" spans="1:20" ht="15.6" x14ac:dyDescent="0.3">
      <c r="A521" s="19" t="s">
        <v>532</v>
      </c>
      <c r="B521" s="20">
        <v>45749</v>
      </c>
      <c r="C521" s="21">
        <v>45752</v>
      </c>
      <c r="D521" s="22" t="str">
        <f>TRIM('data cleaning'!$E521)</f>
        <v>Stephen Fletcher</v>
      </c>
      <c r="E521" s="23" t="s">
        <v>1287</v>
      </c>
      <c r="F521" s="23" t="str">
        <f>TRIM('data cleaning'!$G521)</f>
        <v>Consumer</v>
      </c>
      <c r="G521" s="23" t="s">
        <v>1513</v>
      </c>
      <c r="H521" s="23" t="str">
        <f>TRIM('data cleaning'!$I521)</f>
        <v>South</v>
      </c>
      <c r="I521" s="23" t="s">
        <v>1517</v>
      </c>
      <c r="J521" s="23" t="str">
        <f>TRIM('data cleaning'!$K521)</f>
        <v>Technology</v>
      </c>
      <c r="K521" s="23" t="s">
        <v>1521</v>
      </c>
      <c r="L521" s="23" t="str">
        <f>TRIM('data cleaning'!$M521)</f>
        <v>Accessories</v>
      </c>
      <c r="M521" s="23" t="s">
        <v>1526</v>
      </c>
      <c r="N521" s="23" t="str">
        <f>PROPER('data cleaning'!$O521)</f>
        <v>Agent Accessories</v>
      </c>
      <c r="O521" s="23" t="str">
        <f>TRIM('data cleaning'!$P521)</f>
        <v>Agent Accessories</v>
      </c>
      <c r="P521" s="23" t="s">
        <v>2033</v>
      </c>
      <c r="Q521" s="23">
        <v>3372.91</v>
      </c>
      <c r="R521" s="23">
        <v>4</v>
      </c>
      <c r="S521" s="23">
        <v>0</v>
      </c>
      <c r="T521" s="24">
        <v>-145.62</v>
      </c>
    </row>
    <row r="522" spans="1:20" ht="15.6" x14ac:dyDescent="0.3">
      <c r="A522" s="13" t="s">
        <v>533</v>
      </c>
      <c r="B522" s="14">
        <v>45882</v>
      </c>
      <c r="C522" s="15">
        <v>45890</v>
      </c>
      <c r="D522" s="16" t="str">
        <f>TRIM('data cleaning'!$E522)</f>
        <v>Brenda Nelson</v>
      </c>
      <c r="E522" s="17" t="s">
        <v>1288</v>
      </c>
      <c r="F522" s="17" t="str">
        <f>TRIM('data cleaning'!$G522)</f>
        <v>Home Office</v>
      </c>
      <c r="G522" s="17" t="s">
        <v>1515</v>
      </c>
      <c r="H522" s="17" t="str">
        <f>TRIM('data cleaning'!$I522)</f>
        <v/>
      </c>
      <c r="I522" s="17"/>
      <c r="J522" s="17" t="str">
        <f>TRIM('data cleaning'!$K522)</f>
        <v>Technology</v>
      </c>
      <c r="K522" s="17" t="s">
        <v>1521</v>
      </c>
      <c r="L522" s="17" t="str">
        <f>TRIM('data cleaning'!$M522)</f>
        <v>Accessories</v>
      </c>
      <c r="M522" s="17" t="s">
        <v>1526</v>
      </c>
      <c r="N522" s="17" t="str">
        <f>PROPER('data cleaning'!$O522)</f>
        <v>Major Accessories</v>
      </c>
      <c r="O522" s="17" t="str">
        <f>TRIM('data cleaning'!$P522)</f>
        <v>Major Accessories</v>
      </c>
      <c r="P522" s="17" t="s">
        <v>2034</v>
      </c>
      <c r="Q522" s="17">
        <v>1675.31</v>
      </c>
      <c r="R522" s="17">
        <v>5</v>
      </c>
      <c r="S522" s="17"/>
      <c r="T522" s="18">
        <v>203.2</v>
      </c>
    </row>
    <row r="523" spans="1:20" ht="15.6" x14ac:dyDescent="0.3">
      <c r="A523" s="19" t="s">
        <v>534</v>
      </c>
      <c r="B523" s="20">
        <v>46137</v>
      </c>
      <c r="C523" s="21">
        <v>46140</v>
      </c>
      <c r="D523" s="22" t="str">
        <f>TRIM('data cleaning'!$E523)</f>
        <v>Kathryn Holder</v>
      </c>
      <c r="E523" s="23" t="s">
        <v>1289</v>
      </c>
      <c r="F523" s="23" t="str">
        <f>TRIM('data cleaning'!$G523)</f>
        <v>Home Office</v>
      </c>
      <c r="G523" s="23" t="s">
        <v>1515</v>
      </c>
      <c r="H523" s="23" t="str">
        <f>TRIM('data cleaning'!$I523)</f>
        <v>West</v>
      </c>
      <c r="I523" s="23" t="s">
        <v>1518</v>
      </c>
      <c r="J523" s="23" t="str">
        <f>TRIM('data cleaning'!$K523)</f>
        <v>Technology</v>
      </c>
      <c r="K523" s="23" t="s">
        <v>1521</v>
      </c>
      <c r="L523" s="23" t="str">
        <f>TRIM('data cleaning'!$M523)</f>
        <v>Accessories</v>
      </c>
      <c r="M523" s="23" t="s">
        <v>1526</v>
      </c>
      <c r="N523" s="23" t="str">
        <f>PROPER('data cleaning'!$O523)</f>
        <v>Measure Accessories</v>
      </c>
      <c r="O523" s="23" t="str">
        <f>TRIM('data cleaning'!$P523)</f>
        <v>Measure Accessories</v>
      </c>
      <c r="P523" s="23" t="s">
        <v>2035</v>
      </c>
      <c r="Q523" s="23">
        <v>73.92</v>
      </c>
      <c r="R523" s="23">
        <v>4</v>
      </c>
      <c r="S523" s="23">
        <v>0.05</v>
      </c>
      <c r="T523" s="24">
        <v>14.17</v>
      </c>
    </row>
    <row r="524" spans="1:20" ht="15.6" x14ac:dyDescent="0.3">
      <c r="A524" s="13" t="s">
        <v>535</v>
      </c>
      <c r="B524" s="14">
        <v>45733</v>
      </c>
      <c r="C524" s="15">
        <v>45736</v>
      </c>
      <c r="D524" s="16" t="str">
        <f>TRIM('data cleaning'!$E524)</f>
        <v>Caroline Gardner</v>
      </c>
      <c r="E524" s="17" t="s">
        <v>1290</v>
      </c>
      <c r="F524" s="17" t="str">
        <f>TRIM('data cleaning'!$G524)</f>
        <v>Corporate</v>
      </c>
      <c r="G524" s="17" t="s">
        <v>1514</v>
      </c>
      <c r="H524" s="17" t="str">
        <f>TRIM('data cleaning'!$I524)</f>
        <v>East</v>
      </c>
      <c r="I524" s="17" t="s">
        <v>1519</v>
      </c>
      <c r="J524" s="17" t="str">
        <f>TRIM('data cleaning'!$K524)</f>
        <v>Technology</v>
      </c>
      <c r="K524" s="17" t="s">
        <v>1521</v>
      </c>
      <c r="L524" s="17" t="str">
        <f>TRIM('data cleaning'!$M524)</f>
        <v>Accessories</v>
      </c>
      <c r="M524" s="17" t="s">
        <v>1526</v>
      </c>
      <c r="N524" s="17" t="str">
        <f>PROPER('data cleaning'!$O524)</f>
        <v>Can Accessories</v>
      </c>
      <c r="O524" s="17" t="str">
        <f>TRIM('data cleaning'!$P524)</f>
        <v>Can Accessories</v>
      </c>
      <c r="P524" s="17" t="s">
        <v>2028</v>
      </c>
      <c r="Q524" s="17">
        <v>3413.92</v>
      </c>
      <c r="R524" s="17">
        <v>6</v>
      </c>
      <c r="S524" s="17">
        <v>0.15</v>
      </c>
      <c r="T524" s="18">
        <v>186.29</v>
      </c>
    </row>
    <row r="525" spans="1:20" ht="15.6" x14ac:dyDescent="0.3">
      <c r="A525" s="19" t="s">
        <v>536</v>
      </c>
      <c r="B525" s="20">
        <v>45470</v>
      </c>
      <c r="C525" s="21">
        <v>45472</v>
      </c>
      <c r="D525" s="22" t="str">
        <f>TRIM('data cleaning'!$E525)</f>
        <v>Melissa Booth</v>
      </c>
      <c r="E525" s="23" t="s">
        <v>1291</v>
      </c>
      <c r="F525" s="23" t="str">
        <f>TRIM('data cleaning'!$G525)</f>
        <v>Consumer</v>
      </c>
      <c r="G525" s="23" t="s">
        <v>1513</v>
      </c>
      <c r="H525" s="23" t="str">
        <f>TRIM('data cleaning'!$I525)</f>
        <v>South</v>
      </c>
      <c r="I525" s="23" t="s">
        <v>1517</v>
      </c>
      <c r="J525" s="23" t="str">
        <f>TRIM('data cleaning'!$K525)</f>
        <v>Technology</v>
      </c>
      <c r="K525" s="23" t="s">
        <v>1521</v>
      </c>
      <c r="L525" s="23" t="str">
        <f>TRIM('data cleaning'!$M525)</f>
        <v>Laptops</v>
      </c>
      <c r="M525" s="23" t="s">
        <v>1528</v>
      </c>
      <c r="N525" s="23" t="str">
        <f>PROPER('data cleaning'!$O525)</f>
        <v>Physical Laptops</v>
      </c>
      <c r="O525" s="23" t="str">
        <f>TRIM('data cleaning'!$P525)</f>
        <v>Physical Laptops</v>
      </c>
      <c r="P525" s="23" t="s">
        <v>2036</v>
      </c>
      <c r="Q525" s="23">
        <v>920.06</v>
      </c>
      <c r="R525" s="23">
        <v>10</v>
      </c>
      <c r="S525" s="23">
        <v>0</v>
      </c>
      <c r="T525" s="24">
        <v>241.96</v>
      </c>
    </row>
    <row r="526" spans="1:20" ht="15.6" x14ac:dyDescent="0.3">
      <c r="A526" s="13" t="s">
        <v>537</v>
      </c>
      <c r="B526" s="14">
        <v>45633</v>
      </c>
      <c r="C526" s="15">
        <v>45635</v>
      </c>
      <c r="D526" s="16" t="str">
        <f>TRIM('data cleaning'!$E526)</f>
        <v>Megan Serrano</v>
      </c>
      <c r="E526" s="17" t="s">
        <v>1292</v>
      </c>
      <c r="F526" s="17" t="str">
        <f>TRIM('data cleaning'!$G526)</f>
        <v>Home Office</v>
      </c>
      <c r="G526" s="17" t="s">
        <v>1515</v>
      </c>
      <c r="H526" s="17" t="str">
        <f>TRIM('data cleaning'!$I526)</f>
        <v>West</v>
      </c>
      <c r="I526" s="17" t="s">
        <v>1518</v>
      </c>
      <c r="J526" s="17" t="str">
        <f>TRIM('data cleaning'!$K526)</f>
        <v>Technology</v>
      </c>
      <c r="K526" s="17" t="s">
        <v>1521</v>
      </c>
      <c r="L526" s="17" t="str">
        <f>TRIM('data cleaning'!$M526)</f>
        <v>Laptops</v>
      </c>
      <c r="M526" s="17" t="s">
        <v>1528</v>
      </c>
      <c r="N526" s="17" t="str">
        <f>PROPER('data cleaning'!$O526)</f>
        <v>Experience Laptops</v>
      </c>
      <c r="O526" s="17" t="str">
        <f>TRIM('data cleaning'!$P526)</f>
        <v>Experience Laptops</v>
      </c>
      <c r="P526" s="17" t="s">
        <v>2037</v>
      </c>
      <c r="Q526" s="17">
        <v>3650.76</v>
      </c>
      <c r="R526" s="17">
        <v>1</v>
      </c>
      <c r="S526" s="17">
        <v>0.2</v>
      </c>
      <c r="T526" s="18">
        <v>538.1</v>
      </c>
    </row>
    <row r="527" spans="1:20" ht="15.6" x14ac:dyDescent="0.3">
      <c r="A527" s="19" t="s">
        <v>538</v>
      </c>
      <c r="B527" s="20">
        <v>45401</v>
      </c>
      <c r="C527" s="21">
        <v>45402</v>
      </c>
      <c r="D527" s="22" t="str">
        <f>TRIM('data cleaning'!$E527)</f>
        <v>Steven Holloway</v>
      </c>
      <c r="E527" s="23" t="s">
        <v>1293</v>
      </c>
      <c r="F527" s="23" t="str">
        <f>TRIM('data cleaning'!$G527)</f>
        <v>Consumer</v>
      </c>
      <c r="G527" s="23" t="s">
        <v>1513</v>
      </c>
      <c r="H527" s="23" t="str">
        <f>TRIM('data cleaning'!$I527)</f>
        <v>East</v>
      </c>
      <c r="I527" s="23" t="s">
        <v>1519</v>
      </c>
      <c r="J527" s="23" t="str">
        <f>TRIM('data cleaning'!$K527)</f>
        <v>Office Supplies</v>
      </c>
      <c r="K527" s="23" t="s">
        <v>1520</v>
      </c>
      <c r="L527" s="23" t="str">
        <f>TRIM('data cleaning'!$M527)</f>
        <v>Binders</v>
      </c>
      <c r="M527" s="23" t="s">
        <v>1523</v>
      </c>
      <c r="N527" s="23" t="str">
        <f>PROPER('data cleaning'!$O527)</f>
        <v>Character Binders</v>
      </c>
      <c r="O527" s="23" t="str">
        <f>TRIM('data cleaning'!$P527)</f>
        <v>Character Binders</v>
      </c>
      <c r="P527" s="23" t="s">
        <v>2038</v>
      </c>
      <c r="Q527" s="23">
        <v>2780.39</v>
      </c>
      <c r="R527" s="23">
        <v>9</v>
      </c>
      <c r="S527" s="23">
        <v>0.2</v>
      </c>
      <c r="T527" s="24">
        <v>165.87</v>
      </c>
    </row>
    <row r="528" spans="1:20" ht="15.6" x14ac:dyDescent="0.3">
      <c r="A528" s="13" t="s">
        <v>539</v>
      </c>
      <c r="B528" s="14">
        <v>45702</v>
      </c>
      <c r="C528" s="15">
        <v>45712</v>
      </c>
      <c r="D528" s="16" t="str">
        <f>TRIM('data cleaning'!$E528)</f>
        <v>Angelica Taylor</v>
      </c>
      <c r="E528" s="17" t="s">
        <v>1294</v>
      </c>
      <c r="F528" s="17" t="str">
        <f>TRIM('data cleaning'!$G528)</f>
        <v>Home Office</v>
      </c>
      <c r="G528" s="17" t="s">
        <v>1515</v>
      </c>
      <c r="H528" s="17" t="str">
        <f>TRIM('data cleaning'!$I528)</f>
        <v>North</v>
      </c>
      <c r="I528" s="17" t="s">
        <v>1516</v>
      </c>
      <c r="J528" s="17" t="str">
        <f>TRIM('data cleaning'!$K528)</f>
        <v>Technology</v>
      </c>
      <c r="K528" s="17" t="s">
        <v>1521</v>
      </c>
      <c r="L528" s="17" t="str">
        <f>TRIM('data cleaning'!$M528)</f>
        <v>Phones</v>
      </c>
      <c r="M528" s="17" t="s">
        <v>1530</v>
      </c>
      <c r="N528" s="17" t="str">
        <f>PROPER('data cleaning'!$O528)</f>
        <v>Site Phones</v>
      </c>
      <c r="O528" s="17" t="str">
        <f>TRIM('data cleaning'!$P528)</f>
        <v>Site Phones</v>
      </c>
      <c r="P528" s="17" t="s">
        <v>2039</v>
      </c>
      <c r="Q528" s="17">
        <v>3679.47</v>
      </c>
      <c r="R528" s="17">
        <v>5</v>
      </c>
      <c r="S528" s="17">
        <v>0.05</v>
      </c>
      <c r="T528" s="18">
        <v>204.53</v>
      </c>
    </row>
    <row r="529" spans="1:20" ht="15.6" x14ac:dyDescent="0.3">
      <c r="A529" s="19" t="s">
        <v>540</v>
      </c>
      <c r="B529" s="20">
        <v>45296</v>
      </c>
      <c r="C529" s="21">
        <v>45305</v>
      </c>
      <c r="D529" s="22" t="str">
        <f>TRIM('data cleaning'!$E529)</f>
        <v>Robert Meyers</v>
      </c>
      <c r="E529" s="23" t="s">
        <v>1295</v>
      </c>
      <c r="F529" s="23" t="str">
        <f>TRIM('data cleaning'!$G529)</f>
        <v>Home Office</v>
      </c>
      <c r="G529" s="23" t="s">
        <v>1515</v>
      </c>
      <c r="H529" s="23" t="str">
        <f>TRIM('data cleaning'!$I529)</f>
        <v>South</v>
      </c>
      <c r="I529" s="23" t="s">
        <v>1517</v>
      </c>
      <c r="J529" s="23" t="str">
        <f>TRIM('data cleaning'!$K529)</f>
        <v>Technology</v>
      </c>
      <c r="K529" s="23" t="s">
        <v>1521</v>
      </c>
      <c r="L529" s="23" t="str">
        <f>TRIM('data cleaning'!$M529)</f>
        <v>Accessories</v>
      </c>
      <c r="M529" s="23" t="s">
        <v>1526</v>
      </c>
      <c r="N529" s="23" t="str">
        <f>PROPER('data cleaning'!$O529)</f>
        <v>Teach Accessories</v>
      </c>
      <c r="O529" s="23" t="str">
        <f>TRIM('data cleaning'!$P529)</f>
        <v>Teach Accessories</v>
      </c>
      <c r="P529" s="23" t="s">
        <v>2040</v>
      </c>
      <c r="Q529" s="23">
        <v>102.43</v>
      </c>
      <c r="R529" s="23">
        <v>4</v>
      </c>
      <c r="S529" s="23">
        <v>0.2</v>
      </c>
      <c r="T529" s="24">
        <v>18.059999999999999</v>
      </c>
    </row>
    <row r="530" spans="1:20" ht="15.6" x14ac:dyDescent="0.3">
      <c r="A530" s="13" t="s">
        <v>541</v>
      </c>
      <c r="B530" s="14">
        <v>45579</v>
      </c>
      <c r="C530" s="15">
        <v>45582</v>
      </c>
      <c r="D530" s="16" t="str">
        <f>TRIM('data cleaning'!$E530)</f>
        <v/>
      </c>
      <c r="E530" s="17"/>
      <c r="F530" s="17" t="str">
        <f>TRIM('data cleaning'!$G530)</f>
        <v>Consumer</v>
      </c>
      <c r="G530" s="17" t="s">
        <v>1513</v>
      </c>
      <c r="H530" s="17" t="str">
        <f>TRIM('data cleaning'!$I530)</f>
        <v>West</v>
      </c>
      <c r="I530" s="17" t="s">
        <v>1518</v>
      </c>
      <c r="J530" s="17" t="str">
        <f>TRIM('data cleaning'!$K530)</f>
        <v>Technology</v>
      </c>
      <c r="K530" s="17" t="s">
        <v>1521</v>
      </c>
      <c r="L530" s="17" t="str">
        <f>TRIM('data cleaning'!$M530)</f>
        <v>Phones</v>
      </c>
      <c r="M530" s="17" t="s">
        <v>1530</v>
      </c>
      <c r="N530" s="17" t="str">
        <f>PROPER('data cleaning'!$O530)</f>
        <v>Evening Phones</v>
      </c>
      <c r="O530" s="17" t="str">
        <f>TRIM('data cleaning'!$P530)</f>
        <v>Evening Phones</v>
      </c>
      <c r="P530" s="17" t="s">
        <v>2041</v>
      </c>
      <c r="Q530" s="17">
        <v>2853.47</v>
      </c>
      <c r="R530" s="17">
        <v>10</v>
      </c>
      <c r="S530" s="17"/>
      <c r="T530" s="18">
        <v>798.14</v>
      </c>
    </row>
    <row r="531" spans="1:20" ht="15.6" x14ac:dyDescent="0.3">
      <c r="A531" s="19" t="s">
        <v>542</v>
      </c>
      <c r="B531" s="20">
        <v>46031</v>
      </c>
      <c r="C531" s="21">
        <v>46035</v>
      </c>
      <c r="D531" s="22" t="str">
        <f>TRIM('data cleaning'!$E531)</f>
        <v>Jonathan Flores</v>
      </c>
      <c r="E531" s="23" t="s">
        <v>1296</v>
      </c>
      <c r="F531" s="23" t="str">
        <f>TRIM('data cleaning'!$G531)</f>
        <v>Consumer</v>
      </c>
      <c r="G531" s="23" t="s">
        <v>1513</v>
      </c>
      <c r="H531" s="23" t="str">
        <f>TRIM('data cleaning'!$I531)</f>
        <v>North</v>
      </c>
      <c r="I531" s="23" t="s">
        <v>1516</v>
      </c>
      <c r="J531" s="23" t="str">
        <f>TRIM('data cleaning'!$K531)</f>
        <v>Technology</v>
      </c>
      <c r="K531" s="23" t="s">
        <v>1521</v>
      </c>
      <c r="L531" s="23" t="str">
        <f>TRIM('data cleaning'!$M531)</f>
        <v>Phones</v>
      </c>
      <c r="M531" s="23" t="s">
        <v>1530</v>
      </c>
      <c r="N531" s="23" t="str">
        <f>PROPER('data cleaning'!$O531)</f>
        <v>Tonight Phones</v>
      </c>
      <c r="O531" s="23" t="str">
        <f>TRIM('data cleaning'!$P531)</f>
        <v>Tonight Phones</v>
      </c>
      <c r="P531" s="23" t="s">
        <v>2042</v>
      </c>
      <c r="Q531" s="23">
        <v>3819.29</v>
      </c>
      <c r="R531" s="23">
        <v>4</v>
      </c>
      <c r="S531" s="23">
        <v>0</v>
      </c>
      <c r="T531" s="24">
        <v>-208.55</v>
      </c>
    </row>
    <row r="532" spans="1:20" ht="15.6" x14ac:dyDescent="0.3">
      <c r="A532" s="13" t="s">
        <v>543</v>
      </c>
      <c r="B532" s="14">
        <v>45790</v>
      </c>
      <c r="C532" s="15">
        <v>45799</v>
      </c>
      <c r="D532" s="16" t="str">
        <f>TRIM('data cleaning'!$E532)</f>
        <v>Matthew Williams</v>
      </c>
      <c r="E532" s="17" t="s">
        <v>1297</v>
      </c>
      <c r="F532" s="17" t="str">
        <f>TRIM('data cleaning'!$G532)</f>
        <v>Corporate</v>
      </c>
      <c r="G532" s="17" t="s">
        <v>1514</v>
      </c>
      <c r="H532" s="17" t="str">
        <f>TRIM('data cleaning'!$I532)</f>
        <v>North</v>
      </c>
      <c r="I532" s="17" t="s">
        <v>1516</v>
      </c>
      <c r="J532" s="17" t="str">
        <f>TRIM('data cleaning'!$K532)</f>
        <v>Office Supplies</v>
      </c>
      <c r="K532" s="17" t="s">
        <v>1520</v>
      </c>
      <c r="L532" s="17" t="str">
        <f>TRIM('data cleaning'!$M532)</f>
        <v>Binders</v>
      </c>
      <c r="M532" s="17" t="s">
        <v>1523</v>
      </c>
      <c r="N532" s="17" t="str">
        <f>PROPER('data cleaning'!$O532)</f>
        <v>Everybody Binders</v>
      </c>
      <c r="O532" s="17" t="str">
        <f>TRIM('data cleaning'!$P532)</f>
        <v>Everybody Binders</v>
      </c>
      <c r="P532" s="17" t="s">
        <v>2043</v>
      </c>
      <c r="Q532" s="17">
        <v>4543.24</v>
      </c>
      <c r="R532" s="17">
        <v>6</v>
      </c>
      <c r="S532" s="17">
        <v>0.15</v>
      </c>
      <c r="T532" s="18">
        <v>264.97000000000003</v>
      </c>
    </row>
    <row r="533" spans="1:20" ht="15.6" x14ac:dyDescent="0.3">
      <c r="A533" s="19" t="s">
        <v>544</v>
      </c>
      <c r="B533" s="20">
        <v>45792</v>
      </c>
      <c r="C533" s="21">
        <v>45798</v>
      </c>
      <c r="D533" s="22" t="str">
        <f>TRIM('data cleaning'!$E533)</f>
        <v>Lindsay Gray</v>
      </c>
      <c r="E533" s="23" t="s">
        <v>1298</v>
      </c>
      <c r="F533" s="23" t="str">
        <f>TRIM('data cleaning'!$G533)</f>
        <v>Home Office</v>
      </c>
      <c r="G533" s="23" t="s">
        <v>1515</v>
      </c>
      <c r="H533" s="23" t="str">
        <f>TRIM('data cleaning'!$I533)</f>
        <v>East</v>
      </c>
      <c r="I533" s="23" t="s">
        <v>1519</v>
      </c>
      <c r="J533" s="23" t="str">
        <f>TRIM('data cleaning'!$K533)</f>
        <v>Furniture</v>
      </c>
      <c r="K533" s="23" t="s">
        <v>1522</v>
      </c>
      <c r="L533" s="23" t="str">
        <f>TRIM('data cleaning'!$M533)</f>
        <v>Bookcases</v>
      </c>
      <c r="M533" s="23" t="s">
        <v>1527</v>
      </c>
      <c r="N533" s="23" t="str">
        <f>PROPER('data cleaning'!$O533)</f>
        <v>Such Bookcases</v>
      </c>
      <c r="O533" s="23" t="str">
        <f>TRIM('data cleaning'!$P533)</f>
        <v>Such Bookcases</v>
      </c>
      <c r="P533" s="23" t="s">
        <v>2044</v>
      </c>
      <c r="Q533" s="23">
        <v>560.96</v>
      </c>
      <c r="R533" s="23">
        <v>9</v>
      </c>
      <c r="S533" s="23"/>
      <c r="T533" s="24">
        <v>143.78</v>
      </c>
    </row>
    <row r="534" spans="1:20" ht="15.6" x14ac:dyDescent="0.3">
      <c r="A534" s="13" t="s">
        <v>545</v>
      </c>
      <c r="B534" s="14">
        <v>45256</v>
      </c>
      <c r="C534" s="15">
        <v>45266</v>
      </c>
      <c r="D534" s="16" t="str">
        <f>TRIM('data cleaning'!$E534)</f>
        <v>Anna Wood</v>
      </c>
      <c r="E534" s="17" t="s">
        <v>1299</v>
      </c>
      <c r="F534" s="17" t="str">
        <f>TRIM('data cleaning'!$G534)</f>
        <v>Consumer</v>
      </c>
      <c r="G534" s="17" t="s">
        <v>1513</v>
      </c>
      <c r="H534" s="17" t="str">
        <f>TRIM('data cleaning'!$I534)</f>
        <v>East</v>
      </c>
      <c r="I534" s="17" t="s">
        <v>1519</v>
      </c>
      <c r="J534" s="17" t="str">
        <f>TRIM('data cleaning'!$K534)</f>
        <v>Office Supplies</v>
      </c>
      <c r="K534" s="17" t="s">
        <v>1520</v>
      </c>
      <c r="L534" s="17" t="str">
        <f>TRIM('data cleaning'!$M534)</f>
        <v>Storage</v>
      </c>
      <c r="M534" s="17" t="s">
        <v>1525</v>
      </c>
      <c r="N534" s="17" t="str">
        <f>PROPER('data cleaning'!$O534)</f>
        <v>Nothing Storage</v>
      </c>
      <c r="O534" s="17" t="str">
        <f>TRIM('data cleaning'!$P534)</f>
        <v>Nothing Storage</v>
      </c>
      <c r="P534" s="17" t="s">
        <v>2045</v>
      </c>
      <c r="Q534" s="17">
        <v>910.56</v>
      </c>
      <c r="R534" s="17">
        <v>7</v>
      </c>
      <c r="S534" s="17">
        <v>0.1</v>
      </c>
      <c r="T534" s="18">
        <v>112.2</v>
      </c>
    </row>
    <row r="535" spans="1:20" ht="15.6" x14ac:dyDescent="0.3">
      <c r="A535" s="19" t="s">
        <v>546</v>
      </c>
      <c r="B535" s="20">
        <v>45258</v>
      </c>
      <c r="C535" s="21">
        <v>45267</v>
      </c>
      <c r="D535" s="22" t="str">
        <f>TRIM('data cleaning'!$E535)</f>
        <v>Angela Mccoy</v>
      </c>
      <c r="E535" s="23" t="s">
        <v>1300</v>
      </c>
      <c r="F535" s="23" t="str">
        <f>TRIM('data cleaning'!$G535)</f>
        <v>Home Office</v>
      </c>
      <c r="G535" s="23" t="s">
        <v>1515</v>
      </c>
      <c r="H535" s="23" t="str">
        <f>TRIM('data cleaning'!$I535)</f>
        <v>North</v>
      </c>
      <c r="I535" s="23" t="s">
        <v>1516</v>
      </c>
      <c r="J535" s="23" t="str">
        <f>TRIM('data cleaning'!$K535)</f>
        <v>Technology</v>
      </c>
      <c r="K535" s="23" t="s">
        <v>1521</v>
      </c>
      <c r="L535" s="23" t="str">
        <f>TRIM('data cleaning'!$M535)</f>
        <v>Phones</v>
      </c>
      <c r="M535" s="23" t="s">
        <v>1530</v>
      </c>
      <c r="N535" s="23" t="str">
        <f>PROPER('data cleaning'!$O535)</f>
        <v>Like Phones</v>
      </c>
      <c r="O535" s="23" t="str">
        <f>TRIM('data cleaning'!$P535)</f>
        <v>Like Phones</v>
      </c>
      <c r="P535" s="23" t="s">
        <v>2046</v>
      </c>
      <c r="Q535" s="23">
        <v>2058.92</v>
      </c>
      <c r="R535" s="23">
        <v>6</v>
      </c>
      <c r="S535" s="23">
        <v>0.15</v>
      </c>
      <c r="T535" s="24">
        <v>485.83</v>
      </c>
    </row>
    <row r="536" spans="1:20" ht="15.6" x14ac:dyDescent="0.3">
      <c r="A536" s="13" t="s">
        <v>547</v>
      </c>
      <c r="B536" s="14">
        <v>45775</v>
      </c>
      <c r="C536" s="15">
        <v>45783</v>
      </c>
      <c r="D536" s="16" t="str">
        <f>TRIM('data cleaning'!$E536)</f>
        <v>Ashley Pittman</v>
      </c>
      <c r="E536" s="17" t="s">
        <v>1301</v>
      </c>
      <c r="F536" s="17" t="str">
        <f>TRIM('data cleaning'!$G536)</f>
        <v>Consumer</v>
      </c>
      <c r="G536" s="17" t="s">
        <v>1513</v>
      </c>
      <c r="H536" s="17" t="str">
        <f>TRIM('data cleaning'!$I536)</f>
        <v>South</v>
      </c>
      <c r="I536" s="17" t="s">
        <v>1517</v>
      </c>
      <c r="J536" s="17" t="str">
        <f>TRIM('data cleaning'!$K536)</f>
        <v>Office Supplies</v>
      </c>
      <c r="K536" s="17" t="s">
        <v>1520</v>
      </c>
      <c r="L536" s="17" t="str">
        <f>TRIM('data cleaning'!$M536)</f>
        <v>Binders</v>
      </c>
      <c r="M536" s="17" t="s">
        <v>1523</v>
      </c>
      <c r="N536" s="17" t="str">
        <f>PROPER('data cleaning'!$O536)</f>
        <v>Either Binders</v>
      </c>
      <c r="O536" s="17" t="str">
        <f>TRIM('data cleaning'!$P536)</f>
        <v>Either Binders</v>
      </c>
      <c r="P536" s="17" t="s">
        <v>2047</v>
      </c>
      <c r="Q536" s="17">
        <v>869.75</v>
      </c>
      <c r="R536" s="17">
        <v>2</v>
      </c>
      <c r="S536" s="17">
        <v>0.2</v>
      </c>
      <c r="T536" s="18">
        <v>133.87</v>
      </c>
    </row>
    <row r="537" spans="1:20" ht="15.6" x14ac:dyDescent="0.3">
      <c r="A537" s="19" t="s">
        <v>548</v>
      </c>
      <c r="B537" s="20">
        <v>45165</v>
      </c>
      <c r="C537" s="21">
        <v>45171</v>
      </c>
      <c r="D537" s="22" t="str">
        <f>TRIM('data cleaning'!$E537)</f>
        <v>Diana Martin</v>
      </c>
      <c r="E537" s="23" t="s">
        <v>1302</v>
      </c>
      <c r="F537" s="23" t="str">
        <f>TRIM('data cleaning'!$G537)</f>
        <v>Corporate</v>
      </c>
      <c r="G537" s="23" t="s">
        <v>1514</v>
      </c>
      <c r="H537" s="23" t="str">
        <f>TRIM('data cleaning'!$I537)</f>
        <v>North</v>
      </c>
      <c r="I537" s="23" t="s">
        <v>1516</v>
      </c>
      <c r="J537" s="23" t="str">
        <f>TRIM('data cleaning'!$K537)</f>
        <v>Furniture</v>
      </c>
      <c r="K537" s="23" t="s">
        <v>1522</v>
      </c>
      <c r="L537" s="23" t="str">
        <f>TRIM('data cleaning'!$M537)</f>
        <v>Chairs</v>
      </c>
      <c r="M537" s="23" t="s">
        <v>1531</v>
      </c>
      <c r="N537" s="23" t="str">
        <f>PROPER('data cleaning'!$O537)</f>
        <v>Understand Chairs</v>
      </c>
      <c r="O537" s="23" t="str">
        <f>TRIM('data cleaning'!$P537)</f>
        <v>Understand Chairs</v>
      </c>
      <c r="P537" s="23" t="s">
        <v>2048</v>
      </c>
      <c r="Q537" s="23">
        <v>3030</v>
      </c>
      <c r="R537" s="23">
        <v>2</v>
      </c>
      <c r="S537" s="23"/>
      <c r="T537" s="24">
        <v>-222.13</v>
      </c>
    </row>
    <row r="538" spans="1:20" ht="15.6" x14ac:dyDescent="0.3">
      <c r="A538" s="13" t="s">
        <v>549</v>
      </c>
      <c r="B538" s="14">
        <v>45920</v>
      </c>
      <c r="C538" s="15">
        <v>45928</v>
      </c>
      <c r="D538" s="16" t="str">
        <f>TRIM('data cleaning'!$E538)</f>
        <v>Roberto Vaughan</v>
      </c>
      <c r="E538" s="17" t="s">
        <v>1303</v>
      </c>
      <c r="F538" s="17" t="str">
        <f>TRIM('data cleaning'!$G538)</f>
        <v>Corporate</v>
      </c>
      <c r="G538" s="17" t="s">
        <v>1514</v>
      </c>
      <c r="H538" s="17" t="str">
        <f>TRIM('data cleaning'!$I538)</f>
        <v>North</v>
      </c>
      <c r="I538" s="17" t="s">
        <v>1516</v>
      </c>
      <c r="J538" s="17" t="str">
        <f>TRIM('data cleaning'!$K538)</f>
        <v>Technology</v>
      </c>
      <c r="K538" s="17" t="s">
        <v>1521</v>
      </c>
      <c r="L538" s="17" t="str">
        <f>TRIM('data cleaning'!$M538)</f>
        <v>Laptops</v>
      </c>
      <c r="M538" s="17" t="s">
        <v>1528</v>
      </c>
      <c r="N538" s="17" t="str">
        <f>PROPER('data cleaning'!$O538)</f>
        <v>Because Laptops</v>
      </c>
      <c r="O538" s="17" t="str">
        <f>TRIM('data cleaning'!$P538)</f>
        <v>Because Laptops</v>
      </c>
      <c r="P538" s="17" t="s">
        <v>2049</v>
      </c>
      <c r="Q538" s="17">
        <v>2421.15</v>
      </c>
      <c r="R538" s="17">
        <v>10</v>
      </c>
      <c r="S538" s="17">
        <v>0.05</v>
      </c>
      <c r="T538" s="18">
        <v>377.68</v>
      </c>
    </row>
    <row r="539" spans="1:20" ht="15.6" x14ac:dyDescent="0.3">
      <c r="A539" s="19" t="s">
        <v>550</v>
      </c>
      <c r="B539" s="20">
        <v>45673</v>
      </c>
      <c r="C539" s="21">
        <v>45676</v>
      </c>
      <c r="D539" s="22" t="str">
        <f>TRIM('data cleaning'!$E539)</f>
        <v>Loretta Roberts</v>
      </c>
      <c r="E539" s="23" t="s">
        <v>1304</v>
      </c>
      <c r="F539" s="23" t="str">
        <f>TRIM('data cleaning'!$G539)</f>
        <v>Consumer</v>
      </c>
      <c r="G539" s="23" t="s">
        <v>1513</v>
      </c>
      <c r="H539" s="23" t="str">
        <f>TRIM('data cleaning'!$I539)</f>
        <v>South</v>
      </c>
      <c r="I539" s="23" t="s">
        <v>1517</v>
      </c>
      <c r="J539" s="23" t="str">
        <f>TRIM('data cleaning'!$K539)</f>
        <v>Furniture</v>
      </c>
      <c r="K539" s="23" t="s">
        <v>1522</v>
      </c>
      <c r="L539" s="23" t="str">
        <f>TRIM('data cleaning'!$M539)</f>
        <v>Chairs</v>
      </c>
      <c r="M539" s="23" t="s">
        <v>1531</v>
      </c>
      <c r="N539" s="23" t="str">
        <f>PROPER('data cleaning'!$O539)</f>
        <v>Here Chairs</v>
      </c>
      <c r="O539" s="23" t="str">
        <f>TRIM('data cleaning'!$P539)</f>
        <v>Here Chairs</v>
      </c>
      <c r="P539" s="23" t="s">
        <v>2050</v>
      </c>
      <c r="Q539" s="23">
        <v>2888.76</v>
      </c>
      <c r="R539" s="23">
        <v>3</v>
      </c>
      <c r="S539" s="23">
        <v>0.05</v>
      </c>
      <c r="T539" s="24">
        <v>422.47</v>
      </c>
    </row>
    <row r="540" spans="1:20" ht="15.6" x14ac:dyDescent="0.3">
      <c r="A540" s="13" t="s">
        <v>551</v>
      </c>
      <c r="B540" s="14">
        <v>45278</v>
      </c>
      <c r="C540" s="15">
        <v>45283</v>
      </c>
      <c r="D540" s="16" t="str">
        <f>TRIM('data cleaning'!$E540)</f>
        <v>Casey Potts</v>
      </c>
      <c r="E540" s="17" t="s">
        <v>1305</v>
      </c>
      <c r="F540" s="17" t="str">
        <f>TRIM('data cleaning'!$G540)</f>
        <v>Home Office</v>
      </c>
      <c r="G540" s="17" t="s">
        <v>1515</v>
      </c>
      <c r="H540" s="17" t="str">
        <f>TRIM('data cleaning'!$I540)</f>
        <v>North</v>
      </c>
      <c r="I540" s="17" t="s">
        <v>1516</v>
      </c>
      <c r="J540" s="17" t="str">
        <f>TRIM('data cleaning'!$K540)</f>
        <v>Furniture</v>
      </c>
      <c r="K540" s="17" t="s">
        <v>1522</v>
      </c>
      <c r="L540" s="17" t="str">
        <f>TRIM('data cleaning'!$M540)</f>
        <v>Chairs</v>
      </c>
      <c r="M540" s="17" t="s">
        <v>1531</v>
      </c>
      <c r="N540" s="17" t="str">
        <f>PROPER('data cleaning'!$O540)</f>
        <v>Information Chairs</v>
      </c>
      <c r="O540" s="17" t="str">
        <f>TRIM('data cleaning'!$P540)</f>
        <v>Information Chairs</v>
      </c>
      <c r="P540" s="17" t="s">
        <v>2051</v>
      </c>
      <c r="Q540" s="17">
        <v>4616.1099999999997</v>
      </c>
      <c r="R540" s="17">
        <v>9</v>
      </c>
      <c r="S540" s="17">
        <v>0.15</v>
      </c>
      <c r="T540" s="18">
        <v>598.46</v>
      </c>
    </row>
    <row r="541" spans="1:20" ht="15.6" x14ac:dyDescent="0.3">
      <c r="A541" s="19" t="s">
        <v>552</v>
      </c>
      <c r="B541" s="20">
        <v>45447</v>
      </c>
      <c r="C541" s="21">
        <v>45452</v>
      </c>
      <c r="D541" s="22" t="str">
        <f>TRIM('data cleaning'!$E541)</f>
        <v>Nichole Richardson</v>
      </c>
      <c r="E541" s="23" t="s">
        <v>1306</v>
      </c>
      <c r="F541" s="23" t="str">
        <f>TRIM('data cleaning'!$G541)</f>
        <v>Corporate</v>
      </c>
      <c r="G541" s="23" t="s">
        <v>1514</v>
      </c>
      <c r="H541" s="23" t="str">
        <f>TRIM('data cleaning'!$I541)</f>
        <v>West</v>
      </c>
      <c r="I541" s="23" t="s">
        <v>1518</v>
      </c>
      <c r="J541" s="23" t="str">
        <f>TRIM('data cleaning'!$K541)</f>
        <v>Office Supplies</v>
      </c>
      <c r="K541" s="23" t="s">
        <v>1520</v>
      </c>
      <c r="L541" s="23" t="str">
        <f>TRIM('data cleaning'!$M541)</f>
        <v>Storage</v>
      </c>
      <c r="M541" s="23" t="s">
        <v>1525</v>
      </c>
      <c r="N541" s="23" t="str">
        <f>PROPER('data cleaning'!$O541)</f>
        <v>His Storage</v>
      </c>
      <c r="O541" s="23" t="str">
        <f>TRIM('data cleaning'!$P541)</f>
        <v>His Storage</v>
      </c>
      <c r="P541" s="23" t="s">
        <v>2052</v>
      </c>
      <c r="Q541" s="23">
        <v>4738.91</v>
      </c>
      <c r="R541" s="23">
        <v>4</v>
      </c>
      <c r="S541" s="23">
        <v>0.15</v>
      </c>
      <c r="T541" s="24">
        <v>633.07000000000005</v>
      </c>
    </row>
    <row r="542" spans="1:20" ht="15.6" x14ac:dyDescent="0.3">
      <c r="A542" s="13" t="s">
        <v>553</v>
      </c>
      <c r="B542" s="14">
        <v>45385</v>
      </c>
      <c r="C542" s="15">
        <v>45392</v>
      </c>
      <c r="D542" s="16" t="str">
        <f>TRIM('data cleaning'!$E542)</f>
        <v>David Cherry</v>
      </c>
      <c r="E542" s="17" t="s">
        <v>1307</v>
      </c>
      <c r="F542" s="17" t="str">
        <f>TRIM('data cleaning'!$G542)</f>
        <v>Home Office</v>
      </c>
      <c r="G542" s="17" t="s">
        <v>1515</v>
      </c>
      <c r="H542" s="17" t="str">
        <f>TRIM('data cleaning'!$I542)</f>
        <v>East</v>
      </c>
      <c r="I542" s="17" t="s">
        <v>1519</v>
      </c>
      <c r="J542" s="17" t="str">
        <f>TRIM('data cleaning'!$K542)</f>
        <v>Furniture</v>
      </c>
      <c r="K542" s="17" t="s">
        <v>1522</v>
      </c>
      <c r="L542" s="17" t="str">
        <f>TRIM('data cleaning'!$M542)</f>
        <v>Chairs</v>
      </c>
      <c r="M542" s="17" t="s">
        <v>1531</v>
      </c>
      <c r="N542" s="17" t="str">
        <f>PROPER('data cleaning'!$O542)</f>
        <v>Spring Chairs</v>
      </c>
      <c r="O542" s="17" t="str">
        <f>TRIM('data cleaning'!$P542)</f>
        <v>Spring Chairs</v>
      </c>
      <c r="P542" s="17" t="s">
        <v>2053</v>
      </c>
      <c r="Q542" s="17">
        <v>3024.15</v>
      </c>
      <c r="R542" s="17">
        <v>10</v>
      </c>
      <c r="S542" s="17">
        <v>0.05</v>
      </c>
      <c r="T542" s="18">
        <v>431.75</v>
      </c>
    </row>
    <row r="543" spans="1:20" ht="15.6" x14ac:dyDescent="0.3">
      <c r="A543" s="19" t="s">
        <v>554</v>
      </c>
      <c r="B543" s="20">
        <v>45266</v>
      </c>
      <c r="C543" s="21">
        <v>45272</v>
      </c>
      <c r="D543" s="22" t="str">
        <f>TRIM('data cleaning'!$E543)</f>
        <v>Ashley Roberts</v>
      </c>
      <c r="E543" s="23" t="s">
        <v>1308</v>
      </c>
      <c r="F543" s="23" t="str">
        <f>TRIM('data cleaning'!$G543)</f>
        <v>Corporate</v>
      </c>
      <c r="G543" s="23" t="s">
        <v>1514</v>
      </c>
      <c r="H543" s="23" t="str">
        <f>TRIM('data cleaning'!$I543)</f>
        <v>West</v>
      </c>
      <c r="I543" s="23" t="s">
        <v>1518</v>
      </c>
      <c r="J543" s="23" t="str">
        <f>TRIM('data cleaning'!$K543)</f>
        <v>Furniture</v>
      </c>
      <c r="K543" s="23" t="s">
        <v>1522</v>
      </c>
      <c r="L543" s="23" t="str">
        <f>TRIM('data cleaning'!$M543)</f>
        <v>Bookcases</v>
      </c>
      <c r="M543" s="23" t="s">
        <v>1527</v>
      </c>
      <c r="N543" s="23" t="str">
        <f>PROPER('data cleaning'!$O543)</f>
        <v>Economy Bookcases</v>
      </c>
      <c r="O543" s="23" t="str">
        <f>TRIM('data cleaning'!$P543)</f>
        <v>Economy Bookcases</v>
      </c>
      <c r="P543" s="23" t="s">
        <v>2054</v>
      </c>
      <c r="Q543" s="23">
        <v>4615.6400000000003</v>
      </c>
      <c r="R543" s="23">
        <v>10</v>
      </c>
      <c r="S543" s="23">
        <v>0.2</v>
      </c>
      <c r="T543" s="24">
        <v>-748.36</v>
      </c>
    </row>
    <row r="544" spans="1:20" ht="15.6" x14ac:dyDescent="0.3">
      <c r="A544" s="13" t="s">
        <v>555</v>
      </c>
      <c r="B544" s="14">
        <v>45478</v>
      </c>
      <c r="C544" s="15">
        <v>45479</v>
      </c>
      <c r="D544" s="16" t="str">
        <f>TRIM('data cleaning'!$E544)</f>
        <v>Grace Black</v>
      </c>
      <c r="E544" s="17" t="s">
        <v>1309</v>
      </c>
      <c r="F544" s="17" t="str">
        <f>TRIM('data cleaning'!$G544)</f>
        <v>Consumer</v>
      </c>
      <c r="G544" s="17" t="s">
        <v>1513</v>
      </c>
      <c r="H544" s="17" t="str">
        <f>TRIM('data cleaning'!$I544)</f>
        <v>North</v>
      </c>
      <c r="I544" s="17" t="s">
        <v>1516</v>
      </c>
      <c r="J544" s="17" t="str">
        <f>TRIM('data cleaning'!$K544)</f>
        <v>Furniture</v>
      </c>
      <c r="K544" s="17" t="s">
        <v>1522</v>
      </c>
      <c r="L544" s="17" t="str">
        <f>TRIM('data cleaning'!$M544)</f>
        <v>Chairs</v>
      </c>
      <c r="M544" s="17" t="s">
        <v>1531</v>
      </c>
      <c r="N544" s="17" t="str">
        <f>PROPER('data cleaning'!$O544)</f>
        <v>Foot Chairs</v>
      </c>
      <c r="O544" s="17" t="str">
        <f>TRIM('data cleaning'!$P544)</f>
        <v>Foot Chairs</v>
      </c>
      <c r="P544" s="17" t="s">
        <v>2055</v>
      </c>
      <c r="Q544" s="17">
        <v>1051.6300000000001</v>
      </c>
      <c r="R544" s="17">
        <v>9</v>
      </c>
      <c r="S544" s="17"/>
      <c r="T544" s="18">
        <v>32.479999999999997</v>
      </c>
    </row>
    <row r="545" spans="1:20" ht="15.6" x14ac:dyDescent="0.3">
      <c r="A545" s="19" t="s">
        <v>556</v>
      </c>
      <c r="B545" s="20">
        <v>45199</v>
      </c>
      <c r="C545" s="21">
        <v>45209</v>
      </c>
      <c r="D545" s="22" t="str">
        <f>TRIM('data cleaning'!$E545)</f>
        <v>Ashley Warren</v>
      </c>
      <c r="E545" s="23" t="s">
        <v>1310</v>
      </c>
      <c r="F545" s="23" t="str">
        <f>TRIM('data cleaning'!$G545)</f>
        <v>Consumer</v>
      </c>
      <c r="G545" s="23" t="s">
        <v>1513</v>
      </c>
      <c r="H545" s="23" t="str">
        <f>TRIM('data cleaning'!$I545)</f>
        <v>West</v>
      </c>
      <c r="I545" s="23" t="s">
        <v>1518</v>
      </c>
      <c r="J545" s="23" t="str">
        <f>TRIM('data cleaning'!$K545)</f>
        <v>Furniture</v>
      </c>
      <c r="K545" s="23" t="s">
        <v>1522</v>
      </c>
      <c r="L545" s="23" t="str">
        <f>TRIM('data cleaning'!$M545)</f>
        <v>Tables</v>
      </c>
      <c r="M545" s="23" t="s">
        <v>1529</v>
      </c>
      <c r="N545" s="23" t="str">
        <f>PROPER('data cleaning'!$O545)</f>
        <v>Impact Tables</v>
      </c>
      <c r="O545" s="23" t="str">
        <f>TRIM('data cleaning'!$P545)</f>
        <v>Impact Tables</v>
      </c>
      <c r="P545" s="23" t="s">
        <v>2056</v>
      </c>
      <c r="Q545" s="23">
        <v>3019.08</v>
      </c>
      <c r="R545" s="23">
        <v>9</v>
      </c>
      <c r="S545" s="23">
        <v>0.2</v>
      </c>
      <c r="T545" s="24">
        <v>645.51</v>
      </c>
    </row>
    <row r="546" spans="1:20" ht="15.6" x14ac:dyDescent="0.3">
      <c r="A546" s="13" t="s">
        <v>557</v>
      </c>
      <c r="B546" s="14">
        <v>45573</v>
      </c>
      <c r="C546" s="15">
        <v>45583</v>
      </c>
      <c r="D546" s="16" t="str">
        <f>TRIM('data cleaning'!$E546)</f>
        <v>Sarah Sloan</v>
      </c>
      <c r="E546" s="17" t="s">
        <v>1311</v>
      </c>
      <c r="F546" s="17" t="str">
        <f>TRIM('data cleaning'!$G546)</f>
        <v>Home Office</v>
      </c>
      <c r="G546" s="17" t="s">
        <v>1515</v>
      </c>
      <c r="H546" s="17" t="str">
        <f>TRIM('data cleaning'!$I546)</f>
        <v>West</v>
      </c>
      <c r="I546" s="17" t="s">
        <v>1518</v>
      </c>
      <c r="J546" s="17" t="str">
        <f>TRIM('data cleaning'!$K546)</f>
        <v>Office Supplies</v>
      </c>
      <c r="K546" s="17" t="s">
        <v>1520</v>
      </c>
      <c r="L546" s="17" t="str">
        <f>TRIM('data cleaning'!$M546)</f>
        <v>Binders</v>
      </c>
      <c r="M546" s="17" t="s">
        <v>1523</v>
      </c>
      <c r="N546" s="17" t="str">
        <f>PROPER('data cleaning'!$O546)</f>
        <v>Forget Binders</v>
      </c>
      <c r="O546" s="17" t="str">
        <f>TRIM('data cleaning'!$P546)</f>
        <v>Forget Binders</v>
      </c>
      <c r="P546" s="17" t="s">
        <v>2057</v>
      </c>
      <c r="Q546" s="17">
        <v>2719.47</v>
      </c>
      <c r="R546" s="17">
        <v>1</v>
      </c>
      <c r="S546" s="17"/>
      <c r="T546" s="18">
        <v>427.17</v>
      </c>
    </row>
    <row r="547" spans="1:20" ht="15.6" x14ac:dyDescent="0.3">
      <c r="A547" s="19" t="s">
        <v>558</v>
      </c>
      <c r="B547" s="20">
        <v>45421</v>
      </c>
      <c r="C547" s="21">
        <v>45430</v>
      </c>
      <c r="D547" s="22" t="str">
        <f>TRIM('data cleaning'!$E547)</f>
        <v>Matthew Yang</v>
      </c>
      <c r="E547" s="23" t="s">
        <v>1312</v>
      </c>
      <c r="F547" s="23" t="str">
        <f>TRIM('data cleaning'!$G547)</f>
        <v>Home Office</v>
      </c>
      <c r="G547" s="23" t="s">
        <v>1515</v>
      </c>
      <c r="H547" s="23" t="str">
        <f>TRIM('data cleaning'!$I547)</f>
        <v>North</v>
      </c>
      <c r="I547" s="23" t="s">
        <v>1516</v>
      </c>
      <c r="J547" s="23" t="str">
        <f>TRIM('data cleaning'!$K547)</f>
        <v>Technology</v>
      </c>
      <c r="K547" s="23" t="s">
        <v>1521</v>
      </c>
      <c r="L547" s="23" t="str">
        <f>TRIM('data cleaning'!$M547)</f>
        <v>Phones</v>
      </c>
      <c r="M547" s="23" t="s">
        <v>1530</v>
      </c>
      <c r="N547" s="23" t="str">
        <f>PROPER('data cleaning'!$O547)</f>
        <v>Partner Phones</v>
      </c>
      <c r="O547" s="23" t="str">
        <f>TRIM('data cleaning'!$P547)</f>
        <v>Partner Phones</v>
      </c>
      <c r="P547" s="23" t="s">
        <v>2058</v>
      </c>
      <c r="Q547" s="23">
        <v>2173.33</v>
      </c>
      <c r="R547" s="23">
        <v>8</v>
      </c>
      <c r="S547" s="23">
        <v>0.15</v>
      </c>
      <c r="T547" s="24">
        <v>-15.68</v>
      </c>
    </row>
    <row r="548" spans="1:20" ht="15.6" x14ac:dyDescent="0.3">
      <c r="A548" s="13" t="s">
        <v>559</v>
      </c>
      <c r="B548" s="14">
        <v>45595</v>
      </c>
      <c r="C548" s="15">
        <v>45600</v>
      </c>
      <c r="D548" s="16" t="str">
        <f>TRIM('data cleaning'!$E548)</f>
        <v>Kelly Moore</v>
      </c>
      <c r="E548" s="17" t="s">
        <v>1313</v>
      </c>
      <c r="F548" s="17" t="str">
        <f>TRIM('data cleaning'!$G548)</f>
        <v>Home Office</v>
      </c>
      <c r="G548" s="17" t="s">
        <v>1515</v>
      </c>
      <c r="H548" s="17" t="str">
        <f>TRIM('data cleaning'!$I548)</f>
        <v>West</v>
      </c>
      <c r="I548" s="17" t="s">
        <v>1518</v>
      </c>
      <c r="J548" s="17" t="str">
        <f>TRIM('data cleaning'!$K548)</f>
        <v>Technology</v>
      </c>
      <c r="K548" s="17" t="s">
        <v>1521</v>
      </c>
      <c r="L548" s="17" t="str">
        <f>TRIM('data cleaning'!$M548)</f>
        <v>Phones</v>
      </c>
      <c r="M548" s="17" t="s">
        <v>1530</v>
      </c>
      <c r="N548" s="17" t="str">
        <f>PROPER('data cleaning'!$O548)</f>
        <v>Material Phones</v>
      </c>
      <c r="O548" s="17" t="str">
        <f>TRIM('data cleaning'!$P548)</f>
        <v>Material Phones</v>
      </c>
      <c r="P548" s="17" t="s">
        <v>2059</v>
      </c>
      <c r="Q548" s="17">
        <v>2411.85</v>
      </c>
      <c r="R548" s="17">
        <v>4</v>
      </c>
      <c r="S548" s="17">
        <v>0</v>
      </c>
      <c r="T548" s="18">
        <v>-106.61</v>
      </c>
    </row>
    <row r="549" spans="1:20" ht="15.6" x14ac:dyDescent="0.3">
      <c r="A549" s="19" t="s">
        <v>560</v>
      </c>
      <c r="B549" s="20">
        <v>45622</v>
      </c>
      <c r="C549" s="21">
        <v>45623</v>
      </c>
      <c r="D549" s="22" t="str">
        <f>TRIM('data cleaning'!$E549)</f>
        <v>Jennifer Hudson</v>
      </c>
      <c r="E549" s="23" t="s">
        <v>1314</v>
      </c>
      <c r="F549" s="23" t="str">
        <f>TRIM('data cleaning'!$G549)</f>
        <v>Home Office</v>
      </c>
      <c r="G549" s="23" t="s">
        <v>1515</v>
      </c>
      <c r="H549" s="23" t="str">
        <f>TRIM('data cleaning'!$I549)</f>
        <v>North</v>
      </c>
      <c r="I549" s="23" t="s">
        <v>1516</v>
      </c>
      <c r="J549" s="23" t="str">
        <f>TRIM('data cleaning'!$K549)</f>
        <v>Technology</v>
      </c>
      <c r="K549" s="23" t="s">
        <v>1521</v>
      </c>
      <c r="L549" s="23" t="str">
        <f>TRIM('data cleaning'!$M549)</f>
        <v>Phones</v>
      </c>
      <c r="M549" s="23" t="s">
        <v>1530</v>
      </c>
      <c r="N549" s="23" t="str">
        <f>PROPER('data cleaning'!$O549)</f>
        <v>Plant Phones</v>
      </c>
      <c r="O549" s="23" t="str">
        <f>TRIM('data cleaning'!$P549)</f>
        <v>Plant Phones</v>
      </c>
      <c r="P549" s="23" t="s">
        <v>2060</v>
      </c>
      <c r="Q549" s="23">
        <v>3560.29</v>
      </c>
      <c r="R549" s="23">
        <v>1</v>
      </c>
      <c r="S549" s="23">
        <v>0.2</v>
      </c>
      <c r="T549" s="24">
        <v>311.16000000000003</v>
      </c>
    </row>
    <row r="550" spans="1:20" ht="15.6" x14ac:dyDescent="0.3">
      <c r="A550" s="13" t="s">
        <v>561</v>
      </c>
      <c r="B550" s="14">
        <v>45303</v>
      </c>
      <c r="C550" s="15">
        <v>45307</v>
      </c>
      <c r="D550" s="16" t="str">
        <f>TRIM('data cleaning'!$E550)</f>
        <v>Erin Anderson</v>
      </c>
      <c r="E550" s="17" t="s">
        <v>1315</v>
      </c>
      <c r="F550" s="17" t="str">
        <f>TRIM('data cleaning'!$G550)</f>
        <v>Consumer</v>
      </c>
      <c r="G550" s="17" t="s">
        <v>1513</v>
      </c>
      <c r="H550" s="17" t="str">
        <f>TRIM('data cleaning'!$I550)</f>
        <v>West</v>
      </c>
      <c r="I550" s="17" t="s">
        <v>1518</v>
      </c>
      <c r="J550" s="17" t="str">
        <f>TRIM('data cleaning'!$K550)</f>
        <v>Technology</v>
      </c>
      <c r="K550" s="17" t="s">
        <v>1521</v>
      </c>
      <c r="L550" s="17" t="str">
        <f>TRIM('data cleaning'!$M550)</f>
        <v>Laptops</v>
      </c>
      <c r="M550" s="17" t="s">
        <v>1528</v>
      </c>
      <c r="N550" s="17" t="str">
        <f>PROPER('data cleaning'!$O550)</f>
        <v>Area Laptops</v>
      </c>
      <c r="O550" s="17" t="str">
        <f>TRIM('data cleaning'!$P550)</f>
        <v>Area Laptops</v>
      </c>
      <c r="P550" s="17" t="s">
        <v>2061</v>
      </c>
      <c r="Q550" s="17">
        <v>3454.45</v>
      </c>
      <c r="R550" s="17">
        <v>6</v>
      </c>
      <c r="S550" s="17">
        <v>0.15</v>
      </c>
      <c r="T550" s="18">
        <v>-2.6</v>
      </c>
    </row>
    <row r="551" spans="1:20" ht="15.6" x14ac:dyDescent="0.3">
      <c r="A551" s="19" t="s">
        <v>562</v>
      </c>
      <c r="B551" s="20">
        <v>45235</v>
      </c>
      <c r="C551" s="21">
        <v>45240</v>
      </c>
      <c r="D551" s="22" t="str">
        <f>TRIM('data cleaning'!$E551)</f>
        <v>Angela Price</v>
      </c>
      <c r="E551" s="23" t="s">
        <v>1316</v>
      </c>
      <c r="F551" s="23" t="str">
        <f>TRIM('data cleaning'!$G551)</f>
        <v>Home Office</v>
      </c>
      <c r="G551" s="23" t="s">
        <v>1515</v>
      </c>
      <c r="H551" s="23" t="str">
        <f>TRIM('data cleaning'!$I551)</f>
        <v>East</v>
      </c>
      <c r="I551" s="23" t="s">
        <v>1519</v>
      </c>
      <c r="J551" s="23" t="str">
        <f>TRIM('data cleaning'!$K551)</f>
        <v>Office Supplies</v>
      </c>
      <c r="K551" s="23" t="s">
        <v>1520</v>
      </c>
      <c r="L551" s="23" t="str">
        <f>TRIM('data cleaning'!$M551)</f>
        <v>Storage</v>
      </c>
      <c r="M551" s="23" t="s">
        <v>1525</v>
      </c>
      <c r="N551" s="23" t="str">
        <f>PROPER('data cleaning'!$O551)</f>
        <v>Great Storage</v>
      </c>
      <c r="O551" s="23" t="str">
        <f>TRIM('data cleaning'!$P551)</f>
        <v>Great Storage</v>
      </c>
      <c r="P551" s="23" t="s">
        <v>2062</v>
      </c>
      <c r="Q551" s="23">
        <v>1343.45</v>
      </c>
      <c r="R551" s="23">
        <v>9</v>
      </c>
      <c r="S551" s="23">
        <v>0.15</v>
      </c>
      <c r="T551" s="24">
        <v>148.54</v>
      </c>
    </row>
    <row r="552" spans="1:20" ht="15.6" x14ac:dyDescent="0.3">
      <c r="A552" s="13" t="s">
        <v>563</v>
      </c>
      <c r="B552" s="14">
        <v>45896</v>
      </c>
      <c r="C552" s="15">
        <v>45900</v>
      </c>
      <c r="D552" s="16" t="str">
        <f>TRIM('data cleaning'!$E552)</f>
        <v>Brenda Ryan</v>
      </c>
      <c r="E552" s="17" t="s">
        <v>1317</v>
      </c>
      <c r="F552" s="17" t="str">
        <f>TRIM('data cleaning'!$G552)</f>
        <v>Home Office</v>
      </c>
      <c r="G552" s="17" t="s">
        <v>1515</v>
      </c>
      <c r="H552" s="17" t="str">
        <f>TRIM('data cleaning'!$I552)</f>
        <v>West</v>
      </c>
      <c r="I552" s="17" t="s">
        <v>1518</v>
      </c>
      <c r="J552" s="17" t="str">
        <f>TRIM('data cleaning'!$K552)</f>
        <v>Office Supplies</v>
      </c>
      <c r="K552" s="17" t="s">
        <v>1520</v>
      </c>
      <c r="L552" s="17" t="str">
        <f>TRIM('data cleaning'!$M552)</f>
        <v>Paper</v>
      </c>
      <c r="M552" s="17" t="s">
        <v>1524</v>
      </c>
      <c r="N552" s="17" t="str">
        <f>PROPER('data cleaning'!$O552)</f>
        <v>Produce Paper</v>
      </c>
      <c r="O552" s="17" t="str">
        <f>TRIM('data cleaning'!$P552)</f>
        <v>Produce Paper</v>
      </c>
      <c r="P552" s="17" t="s">
        <v>2063</v>
      </c>
      <c r="Q552" s="17">
        <v>2095.48</v>
      </c>
      <c r="R552" s="17">
        <v>9</v>
      </c>
      <c r="S552" s="17">
        <v>0.15</v>
      </c>
      <c r="T552" s="18">
        <v>-213.12</v>
      </c>
    </row>
    <row r="553" spans="1:20" ht="15.6" x14ac:dyDescent="0.3">
      <c r="A553" s="19" t="s">
        <v>564</v>
      </c>
      <c r="B553" s="20">
        <v>45933</v>
      </c>
      <c r="C553" s="21">
        <v>45943</v>
      </c>
      <c r="D553" s="22" t="str">
        <f>TRIM('data cleaning'!$E553)</f>
        <v>Rebecca Christensen</v>
      </c>
      <c r="E553" s="23" t="s">
        <v>1318</v>
      </c>
      <c r="F553" s="23" t="str">
        <f>TRIM('data cleaning'!$G553)</f>
        <v>Home Office</v>
      </c>
      <c r="G553" s="23" t="s">
        <v>1515</v>
      </c>
      <c r="H553" s="23" t="str">
        <f>TRIM('data cleaning'!$I553)</f>
        <v>North</v>
      </c>
      <c r="I553" s="23" t="s">
        <v>1516</v>
      </c>
      <c r="J553" s="23" t="str">
        <f>TRIM('data cleaning'!$K553)</f>
        <v>Technology</v>
      </c>
      <c r="K553" s="23" t="s">
        <v>1521</v>
      </c>
      <c r="L553" s="23" t="str">
        <f>TRIM('data cleaning'!$M553)</f>
        <v>Accessories</v>
      </c>
      <c r="M553" s="23" t="s">
        <v>1526</v>
      </c>
      <c r="N553" s="23" t="str">
        <f>PROPER('data cleaning'!$O553)</f>
        <v>Situation Accessories</v>
      </c>
      <c r="O553" s="23" t="str">
        <f>TRIM('data cleaning'!$P553)</f>
        <v>Situation Accessories</v>
      </c>
      <c r="P553" s="23" t="s">
        <v>2064</v>
      </c>
      <c r="Q553" s="23">
        <v>1754.56</v>
      </c>
      <c r="R553" s="23">
        <v>7</v>
      </c>
      <c r="S553" s="23"/>
      <c r="T553" s="24">
        <v>-217.67</v>
      </c>
    </row>
    <row r="554" spans="1:20" ht="15.6" x14ac:dyDescent="0.3">
      <c r="A554" s="13" t="s">
        <v>565</v>
      </c>
      <c r="B554" s="14">
        <v>45457</v>
      </c>
      <c r="C554" s="15">
        <v>45465</v>
      </c>
      <c r="D554" s="16" t="str">
        <f>TRIM('data cleaning'!$E554)</f>
        <v>Amy Watson</v>
      </c>
      <c r="E554" s="17" t="s">
        <v>1319</v>
      </c>
      <c r="F554" s="17" t="str">
        <f>TRIM('data cleaning'!$G554)</f>
        <v>Corporate</v>
      </c>
      <c r="G554" s="17" t="s">
        <v>1514</v>
      </c>
      <c r="H554" s="17" t="str">
        <f>TRIM('data cleaning'!$I554)</f>
        <v>East</v>
      </c>
      <c r="I554" s="17" t="s">
        <v>1519</v>
      </c>
      <c r="J554" s="17" t="str">
        <f>TRIM('data cleaning'!$K554)</f>
        <v>Office Supplies</v>
      </c>
      <c r="K554" s="17" t="s">
        <v>1520</v>
      </c>
      <c r="L554" s="17" t="str">
        <f>TRIM('data cleaning'!$M554)</f>
        <v>Binders</v>
      </c>
      <c r="M554" s="17" t="s">
        <v>1523</v>
      </c>
      <c r="N554" s="17" t="str">
        <f>PROPER('data cleaning'!$O554)</f>
        <v>Above Binders</v>
      </c>
      <c r="O554" s="17" t="str">
        <f>TRIM('data cleaning'!$P554)</f>
        <v>Above Binders</v>
      </c>
      <c r="P554" s="17" t="s">
        <v>2065</v>
      </c>
      <c r="Q554" s="17">
        <v>3926.39</v>
      </c>
      <c r="R554" s="17">
        <v>3</v>
      </c>
      <c r="S554" s="17">
        <v>0</v>
      </c>
      <c r="T554" s="18">
        <v>-322.14999999999998</v>
      </c>
    </row>
    <row r="555" spans="1:20" ht="15.6" x14ac:dyDescent="0.3">
      <c r="A555" s="19" t="s">
        <v>566</v>
      </c>
      <c r="B555" s="20">
        <v>45860</v>
      </c>
      <c r="C555" s="21">
        <v>45861</v>
      </c>
      <c r="D555" s="22" t="str">
        <f>TRIM('data cleaning'!$E555)</f>
        <v>John Day</v>
      </c>
      <c r="E555" s="23" t="s">
        <v>1320</v>
      </c>
      <c r="F555" s="23" t="str">
        <f>TRIM('data cleaning'!$G555)</f>
        <v>Corporate</v>
      </c>
      <c r="G555" s="23" t="s">
        <v>1514</v>
      </c>
      <c r="H555" s="23" t="str">
        <f>TRIM('data cleaning'!$I555)</f>
        <v>West</v>
      </c>
      <c r="I555" s="23" t="s">
        <v>1518</v>
      </c>
      <c r="J555" s="23" t="str">
        <f>TRIM('data cleaning'!$K555)</f>
        <v>Office Supplies</v>
      </c>
      <c r="K555" s="23" t="s">
        <v>1520</v>
      </c>
      <c r="L555" s="23" t="str">
        <f>TRIM('data cleaning'!$M555)</f>
        <v>Storage</v>
      </c>
      <c r="M555" s="23" t="s">
        <v>1525</v>
      </c>
      <c r="N555" s="23" t="str">
        <f>PROPER('data cleaning'!$O555)</f>
        <v>Ball Storage</v>
      </c>
      <c r="O555" s="23" t="str">
        <f>TRIM('data cleaning'!$P555)</f>
        <v>Ball Storage</v>
      </c>
      <c r="P555" s="23" t="s">
        <v>2066</v>
      </c>
      <c r="Q555" s="23">
        <v>845.65</v>
      </c>
      <c r="R555" s="23">
        <v>1</v>
      </c>
      <c r="S555" s="23">
        <v>0</v>
      </c>
      <c r="T555" s="24">
        <v>213.77</v>
      </c>
    </row>
    <row r="556" spans="1:20" ht="15.6" x14ac:dyDescent="0.3">
      <c r="A556" s="13" t="s">
        <v>567</v>
      </c>
      <c r="B556" s="14">
        <v>45866</v>
      </c>
      <c r="C556" s="15">
        <v>45871</v>
      </c>
      <c r="D556" s="16" t="str">
        <f>TRIM('data cleaning'!$E556)</f>
        <v>Gwendolyn Watson</v>
      </c>
      <c r="E556" s="17" t="s">
        <v>1321</v>
      </c>
      <c r="F556" s="17" t="str">
        <f>TRIM('data cleaning'!$G556)</f>
        <v>Corporate</v>
      </c>
      <c r="G556" s="17" t="s">
        <v>1514</v>
      </c>
      <c r="H556" s="17" t="str">
        <f>TRIM('data cleaning'!$I556)</f>
        <v>West</v>
      </c>
      <c r="I556" s="17" t="s">
        <v>1518</v>
      </c>
      <c r="J556" s="17" t="str">
        <f>TRIM('data cleaning'!$K556)</f>
        <v>Furniture</v>
      </c>
      <c r="K556" s="17" t="s">
        <v>1522</v>
      </c>
      <c r="L556" s="17" t="str">
        <f>TRIM('data cleaning'!$M556)</f>
        <v>Chairs</v>
      </c>
      <c r="M556" s="17" t="s">
        <v>1531</v>
      </c>
      <c r="N556" s="17" t="str">
        <f>PROPER('data cleaning'!$O556)</f>
        <v>Size Chairs</v>
      </c>
      <c r="O556" s="17" t="str">
        <f>TRIM('data cleaning'!$P556)</f>
        <v>Size Chairs</v>
      </c>
      <c r="P556" s="17" t="s">
        <v>2067</v>
      </c>
      <c r="Q556" s="17">
        <v>1147.76</v>
      </c>
      <c r="R556" s="17">
        <v>2</v>
      </c>
      <c r="S556" s="17">
        <v>0.2</v>
      </c>
      <c r="T556" s="18">
        <v>-205.72</v>
      </c>
    </row>
    <row r="557" spans="1:20" ht="15.6" x14ac:dyDescent="0.3">
      <c r="A557" s="19" t="s">
        <v>568</v>
      </c>
      <c r="B557" s="20">
        <v>45692</v>
      </c>
      <c r="C557" s="21">
        <v>45701</v>
      </c>
      <c r="D557" s="22" t="str">
        <f>TRIM('data cleaning'!$E557)</f>
        <v>Don Pace</v>
      </c>
      <c r="E557" s="23" t="s">
        <v>1322</v>
      </c>
      <c r="F557" s="23" t="str">
        <f>TRIM('data cleaning'!$G557)</f>
        <v>Consumer</v>
      </c>
      <c r="G557" s="23" t="s">
        <v>1513</v>
      </c>
      <c r="H557" s="23" t="str">
        <f>TRIM('data cleaning'!$I557)</f>
        <v>West</v>
      </c>
      <c r="I557" s="23" t="s">
        <v>1518</v>
      </c>
      <c r="J557" s="23" t="str">
        <f>TRIM('data cleaning'!$K557)</f>
        <v>Office Supplies</v>
      </c>
      <c r="K557" s="23" t="s">
        <v>1520</v>
      </c>
      <c r="L557" s="23" t="str">
        <f>TRIM('data cleaning'!$M557)</f>
        <v>Storage</v>
      </c>
      <c r="M557" s="23" t="s">
        <v>1525</v>
      </c>
      <c r="N557" s="23" t="str">
        <f>PROPER('data cleaning'!$O557)</f>
        <v>Over Storage</v>
      </c>
      <c r="O557" s="23" t="str">
        <f>TRIM('data cleaning'!$P557)</f>
        <v>Over Storage</v>
      </c>
      <c r="P557" s="23" t="s">
        <v>2068</v>
      </c>
      <c r="Q557" s="23">
        <v>1468.02</v>
      </c>
      <c r="R557" s="23">
        <v>10</v>
      </c>
      <c r="S557" s="23">
        <v>0</v>
      </c>
      <c r="T557" s="24">
        <v>469.98</v>
      </c>
    </row>
    <row r="558" spans="1:20" ht="15.6" x14ac:dyDescent="0.3">
      <c r="A558" s="13" t="s">
        <v>569</v>
      </c>
      <c r="B558" s="14">
        <v>46026</v>
      </c>
      <c r="C558" s="15">
        <v>46030</v>
      </c>
      <c r="D558" s="16" t="str">
        <f>TRIM('data cleaning'!$E558)</f>
        <v>Monica Bennett</v>
      </c>
      <c r="E558" s="17" t="s">
        <v>1323</v>
      </c>
      <c r="F558" s="17" t="str">
        <f>TRIM('data cleaning'!$G558)</f>
        <v>Home Office</v>
      </c>
      <c r="G558" s="17" t="s">
        <v>1515</v>
      </c>
      <c r="H558" s="17" t="str">
        <f>TRIM('data cleaning'!$I558)</f>
        <v>South</v>
      </c>
      <c r="I558" s="17" t="s">
        <v>1517</v>
      </c>
      <c r="J558" s="17" t="str">
        <f>TRIM('data cleaning'!$K558)</f>
        <v>Technology</v>
      </c>
      <c r="K558" s="17" t="s">
        <v>1521</v>
      </c>
      <c r="L558" s="17" t="str">
        <f>TRIM('data cleaning'!$M558)</f>
        <v>Phones</v>
      </c>
      <c r="M558" s="17" t="s">
        <v>1530</v>
      </c>
      <c r="N558" s="17" t="str">
        <f>PROPER('data cleaning'!$O558)</f>
        <v>Condition Phones</v>
      </c>
      <c r="O558" s="17" t="str">
        <f>TRIM('data cleaning'!$P558)</f>
        <v>Condition Phones</v>
      </c>
      <c r="P558" s="17" t="s">
        <v>2069</v>
      </c>
      <c r="Q558" s="17">
        <v>4260.3100000000004</v>
      </c>
      <c r="R558" s="17">
        <v>9</v>
      </c>
      <c r="S558" s="17">
        <v>0.1</v>
      </c>
      <c r="T558" s="18">
        <v>-395.74</v>
      </c>
    </row>
    <row r="559" spans="1:20" ht="15.6" x14ac:dyDescent="0.3">
      <c r="A559" s="19" t="s">
        <v>570</v>
      </c>
      <c r="B559" s="20">
        <v>46146</v>
      </c>
      <c r="C559" s="21">
        <v>46147</v>
      </c>
      <c r="D559" s="22" t="str">
        <f>TRIM('data cleaning'!$E559)</f>
        <v>Joseph Ramirez</v>
      </c>
      <c r="E559" s="23" t="s">
        <v>1324</v>
      </c>
      <c r="F559" s="23" t="str">
        <f>TRIM('data cleaning'!$G559)</f>
        <v>Corporate</v>
      </c>
      <c r="G559" s="23" t="s">
        <v>1514</v>
      </c>
      <c r="H559" s="23" t="str">
        <f>TRIM('data cleaning'!$I559)</f>
        <v>West</v>
      </c>
      <c r="I559" s="23" t="s">
        <v>1518</v>
      </c>
      <c r="J559" s="23" t="str">
        <f>TRIM('data cleaning'!$K559)</f>
        <v>Office Supplies</v>
      </c>
      <c r="K559" s="23" t="s">
        <v>1520</v>
      </c>
      <c r="L559" s="23" t="str">
        <f>TRIM('data cleaning'!$M559)</f>
        <v>Binders</v>
      </c>
      <c r="M559" s="23" t="s">
        <v>1523</v>
      </c>
      <c r="N559" s="23" t="str">
        <f>PROPER('data cleaning'!$O559)</f>
        <v>White Binders</v>
      </c>
      <c r="O559" s="23" t="str">
        <f>TRIM('data cleaning'!$P559)</f>
        <v>White Binders</v>
      </c>
      <c r="P559" s="23" t="s">
        <v>2070</v>
      </c>
      <c r="Q559" s="23">
        <v>1830.71</v>
      </c>
      <c r="R559" s="23">
        <v>1</v>
      </c>
      <c r="S559" s="23">
        <v>0.05</v>
      </c>
      <c r="T559" s="24">
        <v>-278.7</v>
      </c>
    </row>
    <row r="560" spans="1:20" ht="15.6" x14ac:dyDescent="0.3">
      <c r="A560" s="13" t="s">
        <v>571</v>
      </c>
      <c r="B560" s="14">
        <v>45330</v>
      </c>
      <c r="C560" s="15">
        <v>45337</v>
      </c>
      <c r="D560" s="16" t="str">
        <f>TRIM('data cleaning'!$E560)</f>
        <v>Whitney Zimmerman</v>
      </c>
      <c r="E560" s="17" t="s">
        <v>1325</v>
      </c>
      <c r="F560" s="17" t="str">
        <f>TRIM('data cleaning'!$G560)</f>
        <v>Home Office</v>
      </c>
      <c r="G560" s="17" t="s">
        <v>1515</v>
      </c>
      <c r="H560" s="17" t="str">
        <f>TRIM('data cleaning'!$I560)</f>
        <v>North</v>
      </c>
      <c r="I560" s="17" t="s">
        <v>1516</v>
      </c>
      <c r="J560" s="17" t="str">
        <f>TRIM('data cleaning'!$K560)</f>
        <v>Technology</v>
      </c>
      <c r="K560" s="17" t="s">
        <v>1521</v>
      </c>
      <c r="L560" s="17" t="str">
        <f>TRIM('data cleaning'!$M560)</f>
        <v>Laptops</v>
      </c>
      <c r="M560" s="17" t="s">
        <v>1528</v>
      </c>
      <c r="N560" s="17" t="str">
        <f>PROPER('data cleaning'!$O560)</f>
        <v>Into Laptops</v>
      </c>
      <c r="O560" s="17" t="str">
        <f>TRIM('data cleaning'!$P560)</f>
        <v>Into Laptops</v>
      </c>
      <c r="P560" s="17" t="s">
        <v>2071</v>
      </c>
      <c r="Q560" s="17">
        <v>2056.98</v>
      </c>
      <c r="R560" s="17">
        <v>4</v>
      </c>
      <c r="S560" s="17">
        <v>0.2</v>
      </c>
      <c r="T560" s="18">
        <v>-394.01</v>
      </c>
    </row>
    <row r="561" spans="1:20" ht="15.6" x14ac:dyDescent="0.3">
      <c r="A561" s="19" t="s">
        <v>572</v>
      </c>
      <c r="B561" s="20">
        <v>45201</v>
      </c>
      <c r="C561" s="21">
        <v>45206</v>
      </c>
      <c r="D561" s="22" t="str">
        <f>TRIM('data cleaning'!$E561)</f>
        <v>Thomas Nash</v>
      </c>
      <c r="E561" s="23" t="s">
        <v>1326</v>
      </c>
      <c r="F561" s="23" t="str">
        <f>TRIM('data cleaning'!$G561)</f>
        <v>Corporate</v>
      </c>
      <c r="G561" s="23" t="s">
        <v>1514</v>
      </c>
      <c r="H561" s="23" t="str">
        <f>TRIM('data cleaning'!$I561)</f>
        <v>South</v>
      </c>
      <c r="I561" s="23" t="s">
        <v>1517</v>
      </c>
      <c r="J561" s="23" t="str">
        <f>TRIM('data cleaning'!$K561)</f>
        <v>Furniture</v>
      </c>
      <c r="K561" s="23" t="s">
        <v>1522</v>
      </c>
      <c r="L561" s="23" t="str">
        <f>TRIM('data cleaning'!$M561)</f>
        <v>Bookcases</v>
      </c>
      <c r="M561" s="23" t="s">
        <v>1527</v>
      </c>
      <c r="N561" s="23" t="str">
        <f>PROPER('data cleaning'!$O561)</f>
        <v>Later Bookcases</v>
      </c>
      <c r="O561" s="23" t="str">
        <f>TRIM('data cleaning'!$P561)</f>
        <v>Later Bookcases</v>
      </c>
      <c r="P561" s="23" t="s">
        <v>2072</v>
      </c>
      <c r="Q561" s="23">
        <v>3644.39</v>
      </c>
      <c r="R561" s="23">
        <v>9</v>
      </c>
      <c r="S561" s="23">
        <v>0.2</v>
      </c>
      <c r="T561" s="24">
        <v>-31.15</v>
      </c>
    </row>
    <row r="562" spans="1:20" ht="15.6" x14ac:dyDescent="0.3">
      <c r="A562" s="13" t="s">
        <v>573</v>
      </c>
      <c r="B562" s="14">
        <v>45219</v>
      </c>
      <c r="C562" s="15">
        <v>45227</v>
      </c>
      <c r="D562" s="16" t="str">
        <f>TRIM('data cleaning'!$E562)</f>
        <v>Brenda Davis</v>
      </c>
      <c r="E562" s="17" t="s">
        <v>1327</v>
      </c>
      <c r="F562" s="17" t="str">
        <f>TRIM('data cleaning'!$G562)</f>
        <v>Corporate</v>
      </c>
      <c r="G562" s="17" t="s">
        <v>1514</v>
      </c>
      <c r="H562" s="17" t="str">
        <f>TRIM('data cleaning'!$I562)</f>
        <v>North</v>
      </c>
      <c r="I562" s="17" t="s">
        <v>1516</v>
      </c>
      <c r="J562" s="17" t="str">
        <f>TRIM('data cleaning'!$K562)</f>
        <v>Office Supplies</v>
      </c>
      <c r="K562" s="17" t="s">
        <v>1520</v>
      </c>
      <c r="L562" s="17" t="str">
        <f>TRIM('data cleaning'!$M562)</f>
        <v>Binders</v>
      </c>
      <c r="M562" s="17" t="s">
        <v>1523</v>
      </c>
      <c r="N562" s="17" t="str">
        <f>PROPER('data cleaning'!$O562)</f>
        <v>Street Binders</v>
      </c>
      <c r="O562" s="17" t="str">
        <f>TRIM('data cleaning'!$P562)</f>
        <v>Street Binders</v>
      </c>
      <c r="P562" s="17" t="s">
        <v>2073</v>
      </c>
      <c r="Q562" s="17">
        <v>4652.08</v>
      </c>
      <c r="R562" s="17">
        <v>10</v>
      </c>
      <c r="S562" s="17">
        <v>0</v>
      </c>
      <c r="T562" s="18">
        <v>-262.33</v>
      </c>
    </row>
    <row r="563" spans="1:20" ht="15.6" x14ac:dyDescent="0.3">
      <c r="A563" s="19" t="s">
        <v>574</v>
      </c>
      <c r="B563" s="20">
        <v>45881</v>
      </c>
      <c r="C563" s="21">
        <v>45890</v>
      </c>
      <c r="D563" s="22" t="str">
        <f>TRIM('data cleaning'!$E563)</f>
        <v>Logan Estrada</v>
      </c>
      <c r="E563" s="23" t="s">
        <v>1328</v>
      </c>
      <c r="F563" s="23" t="str">
        <f>TRIM('data cleaning'!$G563)</f>
        <v>Home Office</v>
      </c>
      <c r="G563" s="23" t="s">
        <v>1515</v>
      </c>
      <c r="H563" s="23" t="str">
        <f>TRIM('data cleaning'!$I563)</f>
        <v>East</v>
      </c>
      <c r="I563" s="23" t="s">
        <v>1519</v>
      </c>
      <c r="J563" s="23" t="str">
        <f>TRIM('data cleaning'!$K563)</f>
        <v>Office Supplies</v>
      </c>
      <c r="K563" s="23" t="s">
        <v>1520</v>
      </c>
      <c r="L563" s="23" t="str">
        <f>TRIM('data cleaning'!$M563)</f>
        <v>Binders</v>
      </c>
      <c r="M563" s="23" t="s">
        <v>1523</v>
      </c>
      <c r="N563" s="23" t="str">
        <f>PROPER('data cleaning'!$O563)</f>
        <v>Western Binders</v>
      </c>
      <c r="O563" s="23" t="str">
        <f>TRIM('data cleaning'!$P563)</f>
        <v>Western Binders</v>
      </c>
      <c r="P563" s="23" t="s">
        <v>2074</v>
      </c>
      <c r="Q563" s="23">
        <v>1506.55</v>
      </c>
      <c r="R563" s="23">
        <v>2</v>
      </c>
      <c r="S563" s="23">
        <v>0.2</v>
      </c>
      <c r="T563" s="24">
        <v>491.42</v>
      </c>
    </row>
    <row r="564" spans="1:20" ht="15.6" x14ac:dyDescent="0.3">
      <c r="A564" s="13" t="s">
        <v>575</v>
      </c>
      <c r="B564" s="14">
        <v>45568</v>
      </c>
      <c r="C564" s="15">
        <v>45575</v>
      </c>
      <c r="D564" s="16" t="str">
        <f>TRIM('data cleaning'!$E564)</f>
        <v>Brittany Sharp</v>
      </c>
      <c r="E564" s="17" t="s">
        <v>1329</v>
      </c>
      <c r="F564" s="17" t="str">
        <f>TRIM('data cleaning'!$G564)</f>
        <v>Corporate</v>
      </c>
      <c r="G564" s="17" t="s">
        <v>1514</v>
      </c>
      <c r="H564" s="17" t="str">
        <f>TRIM('data cleaning'!$I564)</f>
        <v>West</v>
      </c>
      <c r="I564" s="17" t="s">
        <v>1518</v>
      </c>
      <c r="J564" s="17" t="str">
        <f>TRIM('data cleaning'!$K564)</f>
        <v>Office Supplies</v>
      </c>
      <c r="K564" s="17" t="s">
        <v>1520</v>
      </c>
      <c r="L564" s="17" t="str">
        <f>TRIM('data cleaning'!$M564)</f>
        <v>Paper</v>
      </c>
      <c r="M564" s="17" t="s">
        <v>1524</v>
      </c>
      <c r="N564" s="17" t="str">
        <f>PROPER('data cleaning'!$O564)</f>
        <v>Democrat Paper</v>
      </c>
      <c r="O564" s="17" t="str">
        <f>TRIM('data cleaning'!$P564)</f>
        <v>Democrat Paper</v>
      </c>
      <c r="P564" s="17" t="s">
        <v>2075</v>
      </c>
      <c r="Q564" s="17">
        <v>2837.68</v>
      </c>
      <c r="R564" s="17">
        <v>4</v>
      </c>
      <c r="S564" s="17">
        <v>0.1</v>
      </c>
      <c r="T564" s="18">
        <v>932.69</v>
      </c>
    </row>
    <row r="565" spans="1:20" ht="15.6" x14ac:dyDescent="0.3">
      <c r="A565" s="19" t="s">
        <v>576</v>
      </c>
      <c r="B565" s="20">
        <v>45523</v>
      </c>
      <c r="C565" s="21">
        <v>45531</v>
      </c>
      <c r="D565" s="22" t="str">
        <f>TRIM('data cleaning'!$E565)</f>
        <v>Robert Livingston</v>
      </c>
      <c r="E565" s="23" t="s">
        <v>1330</v>
      </c>
      <c r="F565" s="23" t="str">
        <f>TRIM('data cleaning'!$G565)</f>
        <v>Consumer</v>
      </c>
      <c r="G565" s="23" t="s">
        <v>1513</v>
      </c>
      <c r="H565" s="23" t="str">
        <f>TRIM('data cleaning'!$I565)</f>
        <v>South</v>
      </c>
      <c r="I565" s="23" t="s">
        <v>1517</v>
      </c>
      <c r="J565" s="23" t="str">
        <f>TRIM('data cleaning'!$K565)</f>
        <v>Office Supplies</v>
      </c>
      <c r="K565" s="23" t="s">
        <v>1520</v>
      </c>
      <c r="L565" s="23" t="str">
        <f>TRIM('data cleaning'!$M565)</f>
        <v>Binders</v>
      </c>
      <c r="M565" s="23" t="s">
        <v>1523</v>
      </c>
      <c r="N565" s="23" t="str">
        <f>PROPER('data cleaning'!$O565)</f>
        <v>Between Binders</v>
      </c>
      <c r="O565" s="23" t="str">
        <f>TRIM('data cleaning'!$P565)</f>
        <v>Between Binders</v>
      </c>
      <c r="P565" s="23" t="s">
        <v>2076</v>
      </c>
      <c r="Q565" s="23">
        <v>625.53</v>
      </c>
      <c r="R565" s="23">
        <v>2</v>
      </c>
      <c r="S565" s="23">
        <v>0.15</v>
      </c>
      <c r="T565" s="24">
        <v>92.9</v>
      </c>
    </row>
    <row r="566" spans="1:20" ht="15.6" x14ac:dyDescent="0.3">
      <c r="A566" s="13" t="s">
        <v>577</v>
      </c>
      <c r="B566" s="14">
        <v>45892</v>
      </c>
      <c r="C566" s="15">
        <v>45898</v>
      </c>
      <c r="D566" s="16" t="str">
        <f>TRIM('data cleaning'!$E566)</f>
        <v>Tracy Johnson</v>
      </c>
      <c r="E566" s="17" t="s">
        <v>1331</v>
      </c>
      <c r="F566" s="17" t="str">
        <f>TRIM('data cleaning'!$G566)</f>
        <v>Consumer</v>
      </c>
      <c r="G566" s="17" t="s">
        <v>1513</v>
      </c>
      <c r="H566" s="17" t="str">
        <f>TRIM('data cleaning'!$I566)</f>
        <v>East</v>
      </c>
      <c r="I566" s="17" t="s">
        <v>1519</v>
      </c>
      <c r="J566" s="17" t="str">
        <f>TRIM('data cleaning'!$K566)</f>
        <v>Technology</v>
      </c>
      <c r="K566" s="17" t="s">
        <v>1521</v>
      </c>
      <c r="L566" s="17" t="str">
        <f>TRIM('data cleaning'!$M566)</f>
        <v>Accessories</v>
      </c>
      <c r="M566" s="17" t="s">
        <v>1526</v>
      </c>
      <c r="N566" s="17" t="str">
        <f>PROPER('data cleaning'!$O566)</f>
        <v>College Accessories</v>
      </c>
      <c r="O566" s="17" t="str">
        <f>TRIM('data cleaning'!$P566)</f>
        <v>College Accessories</v>
      </c>
      <c r="P566" s="17" t="s">
        <v>2077</v>
      </c>
      <c r="Q566" s="17">
        <v>2606.6999999999998</v>
      </c>
      <c r="R566" s="17">
        <v>1</v>
      </c>
      <c r="S566" s="17"/>
      <c r="T566" s="18">
        <v>671.74</v>
      </c>
    </row>
    <row r="567" spans="1:20" ht="15.6" x14ac:dyDescent="0.3">
      <c r="A567" s="19" t="s">
        <v>578</v>
      </c>
      <c r="B567" s="20">
        <v>45795</v>
      </c>
      <c r="C567" s="21">
        <v>45801</v>
      </c>
      <c r="D567" s="22" t="str">
        <f>TRIM('data cleaning'!$E567)</f>
        <v>James Richardson</v>
      </c>
      <c r="E567" s="23" t="s">
        <v>1332</v>
      </c>
      <c r="F567" s="23" t="str">
        <f>TRIM('data cleaning'!$G567)</f>
        <v>Consumer</v>
      </c>
      <c r="G567" s="23" t="s">
        <v>1513</v>
      </c>
      <c r="H567" s="23" t="str">
        <f>TRIM('data cleaning'!$I567)</f>
        <v>East</v>
      </c>
      <c r="I567" s="23" t="s">
        <v>1519</v>
      </c>
      <c r="J567" s="23" t="str">
        <f>TRIM('data cleaning'!$K567)</f>
        <v>Furniture</v>
      </c>
      <c r="K567" s="23" t="s">
        <v>1522</v>
      </c>
      <c r="L567" s="23" t="str">
        <f>TRIM('data cleaning'!$M567)</f>
        <v>Tables</v>
      </c>
      <c r="M567" s="23" t="s">
        <v>1529</v>
      </c>
      <c r="N567" s="23" t="str">
        <f>PROPER('data cleaning'!$O567)</f>
        <v>Toward Tables</v>
      </c>
      <c r="O567" s="23" t="str">
        <f>TRIM('data cleaning'!$P567)</f>
        <v>Toward Tables</v>
      </c>
      <c r="P567" s="23" t="s">
        <v>2078</v>
      </c>
      <c r="Q567" s="23">
        <v>426.34</v>
      </c>
      <c r="R567" s="23">
        <v>3</v>
      </c>
      <c r="S567" s="23">
        <v>0.15</v>
      </c>
      <c r="T567" s="24">
        <v>-11.67</v>
      </c>
    </row>
    <row r="568" spans="1:20" ht="15.6" x14ac:dyDescent="0.3">
      <c r="A568" s="13" t="s">
        <v>579</v>
      </c>
      <c r="B568" s="14">
        <v>45976</v>
      </c>
      <c r="C568" s="15">
        <v>45980</v>
      </c>
      <c r="D568" s="16" t="str">
        <f>TRIM('data cleaning'!$E568)</f>
        <v>Eduardo Gomez</v>
      </c>
      <c r="E568" s="17" t="s">
        <v>1333</v>
      </c>
      <c r="F568" s="17" t="str">
        <f>TRIM('data cleaning'!$G568)</f>
        <v>Corporate</v>
      </c>
      <c r="G568" s="17" t="s">
        <v>1514</v>
      </c>
      <c r="H568" s="17" t="str">
        <f>TRIM('data cleaning'!$I568)</f>
        <v>South</v>
      </c>
      <c r="I568" s="17" t="s">
        <v>1517</v>
      </c>
      <c r="J568" s="17" t="str">
        <f>TRIM('data cleaning'!$K568)</f>
        <v>Furniture</v>
      </c>
      <c r="K568" s="17" t="s">
        <v>1522</v>
      </c>
      <c r="L568" s="17" t="str">
        <f>TRIM('data cleaning'!$M568)</f>
        <v>Bookcases</v>
      </c>
      <c r="M568" s="17" t="s">
        <v>1527</v>
      </c>
      <c r="N568" s="17" t="str">
        <f>PROPER('data cleaning'!$O568)</f>
        <v>Smile Bookcases</v>
      </c>
      <c r="O568" s="17" t="str">
        <f>TRIM('data cleaning'!$P568)</f>
        <v>Smile Bookcases</v>
      </c>
      <c r="P568" s="17" t="s">
        <v>2079</v>
      </c>
      <c r="Q568" s="17">
        <v>2520.0500000000002</v>
      </c>
      <c r="R568" s="17">
        <v>4</v>
      </c>
      <c r="S568" s="17">
        <v>0.05</v>
      </c>
      <c r="T568" s="18">
        <v>515.30999999999995</v>
      </c>
    </row>
    <row r="569" spans="1:20" ht="15.6" x14ac:dyDescent="0.3">
      <c r="A569" s="19" t="s">
        <v>580</v>
      </c>
      <c r="B569" s="20">
        <v>45774</v>
      </c>
      <c r="C569" s="21">
        <v>45778</v>
      </c>
      <c r="D569" s="22" t="str">
        <f>TRIM('data cleaning'!$E569)</f>
        <v>Mr. Edward Lester</v>
      </c>
      <c r="E569" s="23" t="s">
        <v>1334</v>
      </c>
      <c r="F569" s="23" t="str">
        <f>TRIM('data cleaning'!$G569)</f>
        <v>Consumer</v>
      </c>
      <c r="G569" s="23" t="s">
        <v>1513</v>
      </c>
      <c r="H569" s="23" t="str">
        <f>TRIM('data cleaning'!$I569)</f>
        <v>North</v>
      </c>
      <c r="I569" s="23" t="s">
        <v>1516</v>
      </c>
      <c r="J569" s="23" t="str">
        <f>TRIM('data cleaning'!$K569)</f>
        <v>Furniture</v>
      </c>
      <c r="K569" s="23" t="s">
        <v>1522</v>
      </c>
      <c r="L569" s="23" t="str">
        <f>TRIM('data cleaning'!$M569)</f>
        <v>Chairs</v>
      </c>
      <c r="M569" s="23" t="s">
        <v>1531</v>
      </c>
      <c r="N569" s="23" t="str">
        <f>PROPER('data cleaning'!$O569)</f>
        <v>Machine Chairs</v>
      </c>
      <c r="O569" s="23" t="str">
        <f>TRIM('data cleaning'!$P569)</f>
        <v>Machine Chairs</v>
      </c>
      <c r="P569" s="23" t="s">
        <v>2080</v>
      </c>
      <c r="Q569" s="23">
        <v>4189.8599999999997</v>
      </c>
      <c r="R569" s="23">
        <v>6</v>
      </c>
      <c r="S569" s="23">
        <v>0.05</v>
      </c>
      <c r="T569" s="24">
        <v>957.03</v>
      </c>
    </row>
    <row r="570" spans="1:20" ht="15.6" x14ac:dyDescent="0.3">
      <c r="A570" s="13" t="s">
        <v>581</v>
      </c>
      <c r="B570" s="14">
        <v>45617</v>
      </c>
      <c r="C570" s="15">
        <v>45625</v>
      </c>
      <c r="D570" s="16" t="str">
        <f>TRIM('data cleaning'!$E570)</f>
        <v>Gregory Harding</v>
      </c>
      <c r="E570" s="17" t="s">
        <v>1335</v>
      </c>
      <c r="F570" s="17" t="str">
        <f>TRIM('data cleaning'!$G570)</f>
        <v>Corporate</v>
      </c>
      <c r="G570" s="17" t="s">
        <v>1514</v>
      </c>
      <c r="H570" s="17" t="str">
        <f>TRIM('data cleaning'!$I570)</f>
        <v>East</v>
      </c>
      <c r="I570" s="17" t="s">
        <v>1519</v>
      </c>
      <c r="J570" s="17" t="str">
        <f>TRIM('data cleaning'!$K570)</f>
        <v>Office Supplies</v>
      </c>
      <c r="K570" s="17" t="s">
        <v>1520</v>
      </c>
      <c r="L570" s="17" t="str">
        <f>TRIM('data cleaning'!$M570)</f>
        <v>Storage</v>
      </c>
      <c r="M570" s="17" t="s">
        <v>1525</v>
      </c>
      <c r="N570" s="17" t="str">
        <f>PROPER('data cleaning'!$O570)</f>
        <v>Party Storage</v>
      </c>
      <c r="O570" s="17" t="str">
        <f>TRIM('data cleaning'!$P570)</f>
        <v>Party Storage</v>
      </c>
      <c r="P570" s="17" t="s">
        <v>2081</v>
      </c>
      <c r="Q570" s="17">
        <v>3088.44</v>
      </c>
      <c r="R570" s="17">
        <v>9</v>
      </c>
      <c r="S570" s="17">
        <v>0</v>
      </c>
      <c r="T570" s="18">
        <v>822.78</v>
      </c>
    </row>
    <row r="571" spans="1:20" ht="15.6" x14ac:dyDescent="0.3">
      <c r="A571" s="19" t="s">
        <v>582</v>
      </c>
      <c r="B571" s="20">
        <v>46122</v>
      </c>
      <c r="C571" s="21">
        <v>46127</v>
      </c>
      <c r="D571" s="22" t="str">
        <f>TRIM('data cleaning'!$E571)</f>
        <v>Madeline Craig</v>
      </c>
      <c r="E571" s="23" t="s">
        <v>1336</v>
      </c>
      <c r="F571" s="23" t="str">
        <f>TRIM('data cleaning'!$G571)</f>
        <v>Home Office</v>
      </c>
      <c r="G571" s="23" t="s">
        <v>1515</v>
      </c>
      <c r="H571" s="23" t="str">
        <f>TRIM('data cleaning'!$I571)</f>
        <v>South</v>
      </c>
      <c r="I571" s="23" t="s">
        <v>1517</v>
      </c>
      <c r="J571" s="23" t="str">
        <f>TRIM('data cleaning'!$K571)</f>
        <v>Technology</v>
      </c>
      <c r="K571" s="23" t="s">
        <v>1521</v>
      </c>
      <c r="L571" s="23" t="str">
        <f>TRIM('data cleaning'!$M571)</f>
        <v>Laptops</v>
      </c>
      <c r="M571" s="23" t="s">
        <v>1528</v>
      </c>
      <c r="N571" s="23" t="str">
        <f>PROPER('data cleaning'!$O571)</f>
        <v>Better Laptops</v>
      </c>
      <c r="O571" s="23" t="str">
        <f>TRIM('data cleaning'!$P571)</f>
        <v>Better Laptops</v>
      </c>
      <c r="P571" s="23" t="s">
        <v>1756</v>
      </c>
      <c r="Q571" s="23">
        <v>2479.4899999999998</v>
      </c>
      <c r="R571" s="23">
        <v>9</v>
      </c>
      <c r="S571" s="23">
        <v>0.1</v>
      </c>
      <c r="T571" s="24">
        <v>46.7</v>
      </c>
    </row>
    <row r="572" spans="1:20" ht="15.6" x14ac:dyDescent="0.3">
      <c r="A572" s="13" t="s">
        <v>583</v>
      </c>
      <c r="B572" s="14">
        <v>45126</v>
      </c>
      <c r="C572" s="15">
        <v>45133</v>
      </c>
      <c r="D572" s="16" t="str">
        <f>TRIM('data cleaning'!$E572)</f>
        <v>Kimberly Griffith</v>
      </c>
      <c r="E572" s="17" t="s">
        <v>1337</v>
      </c>
      <c r="F572" s="17" t="str">
        <f>TRIM('data cleaning'!$G572)</f>
        <v>Corporate</v>
      </c>
      <c r="G572" s="17" t="s">
        <v>1514</v>
      </c>
      <c r="H572" s="17" t="str">
        <f>TRIM('data cleaning'!$I572)</f>
        <v>South</v>
      </c>
      <c r="I572" s="17" t="s">
        <v>1517</v>
      </c>
      <c r="J572" s="17" t="str">
        <f>TRIM('data cleaning'!$K572)</f>
        <v>Furniture</v>
      </c>
      <c r="K572" s="17" t="s">
        <v>1522</v>
      </c>
      <c r="L572" s="17" t="str">
        <f>TRIM('data cleaning'!$M572)</f>
        <v>Bookcases</v>
      </c>
      <c r="M572" s="17" t="s">
        <v>1527</v>
      </c>
      <c r="N572" s="17" t="str">
        <f>PROPER('data cleaning'!$O572)</f>
        <v>During Bookcases</v>
      </c>
      <c r="O572" s="17" t="str">
        <f>TRIM('data cleaning'!$P572)</f>
        <v>During Bookcases</v>
      </c>
      <c r="P572" s="17" t="s">
        <v>2082</v>
      </c>
      <c r="Q572" s="17">
        <v>2417.6799999999998</v>
      </c>
      <c r="R572" s="17">
        <v>9</v>
      </c>
      <c r="S572" s="17">
        <v>0</v>
      </c>
      <c r="T572" s="18">
        <v>184.62</v>
      </c>
    </row>
    <row r="573" spans="1:20" ht="15.6" x14ac:dyDescent="0.3">
      <c r="A573" s="19" t="s">
        <v>584</v>
      </c>
      <c r="B573" s="20">
        <v>45174</v>
      </c>
      <c r="C573" s="21">
        <v>45183</v>
      </c>
      <c r="D573" s="22" t="str">
        <f>TRIM('data cleaning'!$E573)</f>
        <v>Anthony Rose</v>
      </c>
      <c r="E573" s="23" t="s">
        <v>1338</v>
      </c>
      <c r="F573" s="23" t="str">
        <f>TRIM('data cleaning'!$G573)</f>
        <v>Corporate</v>
      </c>
      <c r="G573" s="23" t="s">
        <v>1514</v>
      </c>
      <c r="H573" s="23" t="str">
        <f>TRIM('data cleaning'!$I573)</f>
        <v>North</v>
      </c>
      <c r="I573" s="23" t="s">
        <v>1516</v>
      </c>
      <c r="J573" s="23" t="str">
        <f>TRIM('data cleaning'!$K573)</f>
        <v>Technology</v>
      </c>
      <c r="K573" s="23" t="s">
        <v>1521</v>
      </c>
      <c r="L573" s="23" t="str">
        <f>TRIM('data cleaning'!$M573)</f>
        <v>Phones</v>
      </c>
      <c r="M573" s="23" t="s">
        <v>1530</v>
      </c>
      <c r="N573" s="23" t="str">
        <f>PROPER('data cleaning'!$O573)</f>
        <v>Early Phones</v>
      </c>
      <c r="O573" s="23" t="str">
        <f>TRIM('data cleaning'!$P573)</f>
        <v>Early Phones</v>
      </c>
      <c r="P573" s="23" t="s">
        <v>2083</v>
      </c>
      <c r="Q573" s="23">
        <v>2327.35</v>
      </c>
      <c r="R573" s="23">
        <v>1</v>
      </c>
      <c r="S573" s="23">
        <v>0</v>
      </c>
      <c r="T573" s="24">
        <v>397.41</v>
      </c>
    </row>
    <row r="574" spans="1:20" ht="15.6" x14ac:dyDescent="0.3">
      <c r="A574" s="13" t="s">
        <v>585</v>
      </c>
      <c r="B574" s="14">
        <v>45476</v>
      </c>
      <c r="C574" s="15">
        <v>45486</v>
      </c>
      <c r="D574" s="16" t="str">
        <f>TRIM('data cleaning'!$E574)</f>
        <v>Kristina Salas</v>
      </c>
      <c r="E574" s="17" t="s">
        <v>1339</v>
      </c>
      <c r="F574" s="17" t="str">
        <f>TRIM('data cleaning'!$G574)</f>
        <v>Corporate</v>
      </c>
      <c r="G574" s="17" t="s">
        <v>1514</v>
      </c>
      <c r="H574" s="17" t="str">
        <f>TRIM('data cleaning'!$I574)</f>
        <v>West</v>
      </c>
      <c r="I574" s="17" t="s">
        <v>1518</v>
      </c>
      <c r="J574" s="17" t="str">
        <f>TRIM('data cleaning'!$K574)</f>
        <v>Technology</v>
      </c>
      <c r="K574" s="17" t="s">
        <v>1521</v>
      </c>
      <c r="L574" s="17" t="str">
        <f>TRIM('data cleaning'!$M574)</f>
        <v>Accessories</v>
      </c>
      <c r="M574" s="17" t="s">
        <v>1526</v>
      </c>
      <c r="N574" s="17" t="str">
        <f>PROPER('data cleaning'!$O574)</f>
        <v>Bad Accessories</v>
      </c>
      <c r="O574" s="17" t="str">
        <f>TRIM('data cleaning'!$P574)</f>
        <v>Bad Accessories</v>
      </c>
      <c r="P574" s="17" t="s">
        <v>2084</v>
      </c>
      <c r="Q574" s="17">
        <v>4316.12</v>
      </c>
      <c r="R574" s="17">
        <v>3</v>
      </c>
      <c r="S574" s="17">
        <v>0.2</v>
      </c>
      <c r="T574" s="18">
        <v>-239.26</v>
      </c>
    </row>
    <row r="575" spans="1:20" ht="15.6" x14ac:dyDescent="0.3">
      <c r="A575" s="19" t="s">
        <v>586</v>
      </c>
      <c r="B575" s="20">
        <v>45125</v>
      </c>
      <c r="C575" s="21">
        <v>45131</v>
      </c>
      <c r="D575" s="22" t="str">
        <f>TRIM('data cleaning'!$E575)</f>
        <v>Denise Romero</v>
      </c>
      <c r="E575" s="23" t="s">
        <v>1340</v>
      </c>
      <c r="F575" s="23" t="str">
        <f>TRIM('data cleaning'!$G575)</f>
        <v>Corporate</v>
      </c>
      <c r="G575" s="23" t="s">
        <v>1514</v>
      </c>
      <c r="H575" s="23" t="str">
        <f>TRIM('data cleaning'!$I575)</f>
        <v>East</v>
      </c>
      <c r="I575" s="23" t="s">
        <v>1519</v>
      </c>
      <c r="J575" s="23" t="str">
        <f>TRIM('data cleaning'!$K575)</f>
        <v>Office Supplies</v>
      </c>
      <c r="K575" s="23" t="s">
        <v>1520</v>
      </c>
      <c r="L575" s="23" t="str">
        <f>TRIM('data cleaning'!$M575)</f>
        <v>Paper</v>
      </c>
      <c r="M575" s="23" t="s">
        <v>1524</v>
      </c>
      <c r="N575" s="23" t="str">
        <f>PROPER('data cleaning'!$O575)</f>
        <v>Us Paper</v>
      </c>
      <c r="O575" s="23" t="str">
        <f>TRIM('data cleaning'!$P575)</f>
        <v>Us Paper</v>
      </c>
      <c r="P575" s="23" t="s">
        <v>2085</v>
      </c>
      <c r="Q575" s="23">
        <v>960.37</v>
      </c>
      <c r="R575" s="23">
        <v>7</v>
      </c>
      <c r="S575" s="23">
        <v>0.05</v>
      </c>
      <c r="T575" s="24">
        <v>29.29</v>
      </c>
    </row>
    <row r="576" spans="1:20" ht="15.6" x14ac:dyDescent="0.3">
      <c r="A576" s="13" t="s">
        <v>587</v>
      </c>
      <c r="B576" s="14">
        <v>45692</v>
      </c>
      <c r="C576" s="15">
        <v>45700</v>
      </c>
      <c r="D576" s="16" t="str">
        <f>TRIM('data cleaning'!$E576)</f>
        <v>Patricia Robinson</v>
      </c>
      <c r="E576" s="17" t="s">
        <v>1341</v>
      </c>
      <c r="F576" s="17" t="str">
        <f>TRIM('data cleaning'!$G576)</f>
        <v>Consumer</v>
      </c>
      <c r="G576" s="17" t="s">
        <v>1513</v>
      </c>
      <c r="H576" s="17" t="str">
        <f>TRIM('data cleaning'!$I576)</f>
        <v>East</v>
      </c>
      <c r="I576" s="17" t="s">
        <v>1519</v>
      </c>
      <c r="J576" s="17" t="str">
        <f>TRIM('data cleaning'!$K576)</f>
        <v>Technology</v>
      </c>
      <c r="K576" s="17" t="s">
        <v>1521</v>
      </c>
      <c r="L576" s="17" t="str">
        <f>TRIM('data cleaning'!$M576)</f>
        <v>Accessories</v>
      </c>
      <c r="M576" s="17" t="s">
        <v>1526</v>
      </c>
      <c r="N576" s="17" t="str">
        <f>PROPER('data cleaning'!$O576)</f>
        <v>All Accessories</v>
      </c>
      <c r="O576" s="17" t="str">
        <f>TRIM('data cleaning'!$P576)</f>
        <v>All Accessories</v>
      </c>
      <c r="P576" s="17" t="s">
        <v>2086</v>
      </c>
      <c r="Q576" s="17">
        <v>940.45</v>
      </c>
      <c r="R576" s="17">
        <v>3</v>
      </c>
      <c r="S576" s="17">
        <v>0.2</v>
      </c>
      <c r="T576" s="18">
        <v>166.75</v>
      </c>
    </row>
    <row r="577" spans="1:20" ht="15.6" x14ac:dyDescent="0.3">
      <c r="A577" s="19" t="s">
        <v>588</v>
      </c>
      <c r="B577" s="20">
        <v>45097</v>
      </c>
      <c r="C577" s="21">
        <v>45104</v>
      </c>
      <c r="D577" s="22" t="str">
        <f>TRIM('data cleaning'!$E577)</f>
        <v>Rachel Terry</v>
      </c>
      <c r="E577" s="23" t="s">
        <v>1342</v>
      </c>
      <c r="F577" s="23" t="str">
        <f>TRIM('data cleaning'!$G577)</f>
        <v>Home Office</v>
      </c>
      <c r="G577" s="23" t="s">
        <v>1515</v>
      </c>
      <c r="H577" s="23" t="str">
        <f>TRIM('data cleaning'!$I577)</f>
        <v>South</v>
      </c>
      <c r="I577" s="23" t="s">
        <v>1517</v>
      </c>
      <c r="J577" s="23" t="str">
        <f>TRIM('data cleaning'!$K577)</f>
        <v>Furniture</v>
      </c>
      <c r="K577" s="23" t="s">
        <v>1522</v>
      </c>
      <c r="L577" s="23" t="str">
        <f>TRIM('data cleaning'!$M577)</f>
        <v>Bookcases</v>
      </c>
      <c r="M577" s="23" t="s">
        <v>1527</v>
      </c>
      <c r="N577" s="23" t="str">
        <f>PROPER('data cleaning'!$O577)</f>
        <v>Institution Bookcases</v>
      </c>
      <c r="O577" s="23" t="str">
        <f>TRIM('data cleaning'!$P577)</f>
        <v>Institution Bookcases</v>
      </c>
      <c r="P577" s="23" t="s">
        <v>2087</v>
      </c>
      <c r="Q577" s="23">
        <v>4288.7299999999996</v>
      </c>
      <c r="R577" s="23">
        <v>4</v>
      </c>
      <c r="S577" s="23">
        <v>0.05</v>
      </c>
      <c r="T577" s="24">
        <v>1029.3800000000001</v>
      </c>
    </row>
    <row r="578" spans="1:20" ht="15.6" x14ac:dyDescent="0.3">
      <c r="A578" s="13" t="s">
        <v>589</v>
      </c>
      <c r="B578" s="14">
        <v>46024</v>
      </c>
      <c r="C578" s="15">
        <v>46027</v>
      </c>
      <c r="D578" s="16" t="str">
        <f>TRIM('data cleaning'!$E578)</f>
        <v>Shawn Walker</v>
      </c>
      <c r="E578" s="17" t="s">
        <v>1343</v>
      </c>
      <c r="F578" s="17" t="str">
        <f>TRIM('data cleaning'!$G578)</f>
        <v>Home Office</v>
      </c>
      <c r="G578" s="17" t="s">
        <v>1515</v>
      </c>
      <c r="H578" s="17" t="str">
        <f>TRIM('data cleaning'!$I578)</f>
        <v>East</v>
      </c>
      <c r="I578" s="17" t="s">
        <v>1519</v>
      </c>
      <c r="J578" s="17" t="str">
        <f>TRIM('data cleaning'!$K578)</f>
        <v>Technology</v>
      </c>
      <c r="K578" s="17" t="s">
        <v>1521</v>
      </c>
      <c r="L578" s="17" t="str">
        <f>TRIM('data cleaning'!$M578)</f>
        <v>Phones</v>
      </c>
      <c r="M578" s="17" t="s">
        <v>1530</v>
      </c>
      <c r="N578" s="17" t="str">
        <f>PROPER('data cleaning'!$O578)</f>
        <v>Political Phones</v>
      </c>
      <c r="O578" s="17" t="str">
        <f>TRIM('data cleaning'!$P578)</f>
        <v>Political Phones</v>
      </c>
      <c r="P578" s="17" t="s">
        <v>2088</v>
      </c>
      <c r="Q578" s="17">
        <v>2136.5300000000002</v>
      </c>
      <c r="R578" s="17">
        <v>3</v>
      </c>
      <c r="S578" s="17"/>
      <c r="T578" s="18">
        <v>180.22</v>
      </c>
    </row>
    <row r="579" spans="1:20" ht="15.6" x14ac:dyDescent="0.3">
      <c r="A579" s="19" t="s">
        <v>590</v>
      </c>
      <c r="B579" s="20">
        <v>45926</v>
      </c>
      <c r="C579" s="21">
        <v>45931</v>
      </c>
      <c r="D579" s="22" t="str">
        <f>TRIM('data cleaning'!$E579)</f>
        <v>Samantha Macdonald</v>
      </c>
      <c r="E579" s="23" t="s">
        <v>1344</v>
      </c>
      <c r="F579" s="23" t="str">
        <f>TRIM('data cleaning'!$G579)</f>
        <v>Home Office</v>
      </c>
      <c r="G579" s="23" t="s">
        <v>1515</v>
      </c>
      <c r="H579" s="23" t="str">
        <f>TRIM('data cleaning'!$I579)</f>
        <v>South</v>
      </c>
      <c r="I579" s="23" t="s">
        <v>1517</v>
      </c>
      <c r="J579" s="23" t="str">
        <f>TRIM('data cleaning'!$K579)</f>
        <v>Technology</v>
      </c>
      <c r="K579" s="23" t="s">
        <v>1521</v>
      </c>
      <c r="L579" s="23" t="str">
        <f>TRIM('data cleaning'!$M579)</f>
        <v>Accessories</v>
      </c>
      <c r="M579" s="23" t="s">
        <v>1526</v>
      </c>
      <c r="N579" s="23" t="str">
        <f>PROPER('data cleaning'!$O579)</f>
        <v>Eat Accessories</v>
      </c>
      <c r="O579" s="23" t="str">
        <f>TRIM('data cleaning'!$P579)</f>
        <v>Eat Accessories</v>
      </c>
      <c r="P579" s="23" t="s">
        <v>2089</v>
      </c>
      <c r="Q579" s="23">
        <v>2832.59</v>
      </c>
      <c r="R579" s="23">
        <v>10</v>
      </c>
      <c r="S579" s="23">
        <v>0</v>
      </c>
      <c r="T579" s="24">
        <v>54.16</v>
      </c>
    </row>
    <row r="580" spans="1:20" ht="15.6" x14ac:dyDescent="0.3">
      <c r="A580" s="13" t="s">
        <v>591</v>
      </c>
      <c r="B580" s="14">
        <v>45604</v>
      </c>
      <c r="C580" s="15">
        <v>45609</v>
      </c>
      <c r="D580" s="16" t="str">
        <f>TRIM('data cleaning'!$E580)</f>
        <v>Leslie Gordon</v>
      </c>
      <c r="E580" s="17" t="s">
        <v>1345</v>
      </c>
      <c r="F580" s="17" t="str">
        <f>TRIM('data cleaning'!$G580)</f>
        <v>Corporate</v>
      </c>
      <c r="G580" s="17" t="s">
        <v>1514</v>
      </c>
      <c r="H580" s="17" t="str">
        <f>TRIM('data cleaning'!$I580)</f>
        <v>East</v>
      </c>
      <c r="I580" s="17" t="s">
        <v>1519</v>
      </c>
      <c r="J580" s="17" t="str">
        <f>TRIM('data cleaning'!$K580)</f>
        <v>Furniture</v>
      </c>
      <c r="K580" s="17" t="s">
        <v>1522</v>
      </c>
      <c r="L580" s="17" t="str">
        <f>TRIM('data cleaning'!$M580)</f>
        <v>Chairs</v>
      </c>
      <c r="M580" s="17" t="s">
        <v>1531</v>
      </c>
      <c r="N580" s="17" t="str">
        <f>PROPER('data cleaning'!$O580)</f>
        <v>Power Chairs</v>
      </c>
      <c r="O580" s="17" t="str">
        <f>TRIM('data cleaning'!$P580)</f>
        <v>Power Chairs</v>
      </c>
      <c r="P580" s="17" t="s">
        <v>2090</v>
      </c>
      <c r="Q580" s="17">
        <v>2408.87</v>
      </c>
      <c r="R580" s="17">
        <v>2</v>
      </c>
      <c r="S580" s="17">
        <v>0.15</v>
      </c>
      <c r="T580" s="18">
        <v>504.72</v>
      </c>
    </row>
    <row r="581" spans="1:20" ht="15.6" x14ac:dyDescent="0.3">
      <c r="A581" s="19" t="s">
        <v>592</v>
      </c>
      <c r="B581" s="20">
        <v>45777</v>
      </c>
      <c r="C581" s="21">
        <v>45786</v>
      </c>
      <c r="D581" s="22" t="str">
        <f>TRIM('data cleaning'!$E581)</f>
        <v>Rachael Johnston</v>
      </c>
      <c r="E581" s="23" t="s">
        <v>1346</v>
      </c>
      <c r="F581" s="23" t="str">
        <f>TRIM('data cleaning'!$G581)</f>
        <v>Consumer</v>
      </c>
      <c r="G581" s="23" t="s">
        <v>1513</v>
      </c>
      <c r="H581" s="23" t="str">
        <f>TRIM('data cleaning'!$I581)</f>
        <v>East</v>
      </c>
      <c r="I581" s="23" t="s">
        <v>1519</v>
      </c>
      <c r="J581" s="23" t="str">
        <f>TRIM('data cleaning'!$K581)</f>
        <v>Technology</v>
      </c>
      <c r="K581" s="23" t="s">
        <v>1521</v>
      </c>
      <c r="L581" s="23" t="str">
        <f>TRIM('data cleaning'!$M581)</f>
        <v>Laptops</v>
      </c>
      <c r="M581" s="23" t="s">
        <v>1528</v>
      </c>
      <c r="N581" s="23" t="str">
        <f>PROPER('data cleaning'!$O581)</f>
        <v>Experience Laptops</v>
      </c>
      <c r="O581" s="23" t="str">
        <f>TRIM('data cleaning'!$P581)</f>
        <v>Experience Laptops</v>
      </c>
      <c r="P581" s="23" t="s">
        <v>2037</v>
      </c>
      <c r="Q581" s="23">
        <v>4662.63</v>
      </c>
      <c r="R581" s="23">
        <v>5</v>
      </c>
      <c r="S581" s="23">
        <v>0.1</v>
      </c>
      <c r="T581" s="24">
        <v>-881.66</v>
      </c>
    </row>
    <row r="582" spans="1:20" ht="15.6" x14ac:dyDescent="0.3">
      <c r="A582" s="13" t="s">
        <v>593</v>
      </c>
      <c r="B582" s="14">
        <v>45660</v>
      </c>
      <c r="C582" s="15">
        <v>45664</v>
      </c>
      <c r="D582" s="16" t="str">
        <f>TRIM('data cleaning'!$E582)</f>
        <v>Brandy Thomas</v>
      </c>
      <c r="E582" s="17" t="s">
        <v>1347</v>
      </c>
      <c r="F582" s="17" t="str">
        <f>TRIM('data cleaning'!$G582)</f>
        <v>Corporate</v>
      </c>
      <c r="G582" s="17" t="s">
        <v>1514</v>
      </c>
      <c r="H582" s="17" t="str">
        <f>TRIM('data cleaning'!$I582)</f>
        <v>East</v>
      </c>
      <c r="I582" s="17" t="s">
        <v>1519</v>
      </c>
      <c r="J582" s="17" t="str">
        <f>TRIM('data cleaning'!$K582)</f>
        <v>Office Supplies</v>
      </c>
      <c r="K582" s="17" t="s">
        <v>1520</v>
      </c>
      <c r="L582" s="17" t="str">
        <f>TRIM('data cleaning'!$M582)</f>
        <v>Storage</v>
      </c>
      <c r="M582" s="17" t="s">
        <v>1525</v>
      </c>
      <c r="N582" s="17" t="str">
        <f>PROPER('data cleaning'!$O582)</f>
        <v>Season Storage</v>
      </c>
      <c r="O582" s="17" t="str">
        <f>TRIM('data cleaning'!$P582)</f>
        <v>Season Storage</v>
      </c>
      <c r="P582" s="17" t="s">
        <v>2091</v>
      </c>
      <c r="Q582" s="17">
        <v>2905.43</v>
      </c>
      <c r="R582" s="17">
        <v>9</v>
      </c>
      <c r="S582" s="17">
        <v>0.05</v>
      </c>
      <c r="T582" s="18">
        <v>983.94</v>
      </c>
    </row>
    <row r="583" spans="1:20" ht="15.6" x14ac:dyDescent="0.3">
      <c r="A583" s="19" t="s">
        <v>594</v>
      </c>
      <c r="B583" s="20" t="s">
        <v>777</v>
      </c>
      <c r="C583" s="21">
        <v>45247</v>
      </c>
      <c r="D583" s="22" t="str">
        <f>TRIM('data cleaning'!$E583)</f>
        <v>Daniel Bowman</v>
      </c>
      <c r="E583" s="23" t="s">
        <v>1348</v>
      </c>
      <c r="F583" s="23" t="str">
        <f>TRIM('data cleaning'!$G583)</f>
        <v>Corporate</v>
      </c>
      <c r="G583" s="23" t="s">
        <v>1514</v>
      </c>
      <c r="H583" s="23" t="str">
        <f>TRIM('data cleaning'!$I583)</f>
        <v>West</v>
      </c>
      <c r="I583" s="23" t="s">
        <v>1518</v>
      </c>
      <c r="J583" s="23" t="str">
        <f>TRIM('data cleaning'!$K583)</f>
        <v>Technology</v>
      </c>
      <c r="K583" s="23" t="s">
        <v>1521</v>
      </c>
      <c r="L583" s="23" t="str">
        <f>TRIM('data cleaning'!$M583)</f>
        <v>Laptops</v>
      </c>
      <c r="M583" s="23" t="s">
        <v>1528</v>
      </c>
      <c r="N583" s="23" t="str">
        <f>PROPER('data cleaning'!$O583)</f>
        <v>Career Laptops</v>
      </c>
      <c r="O583" s="23" t="str">
        <f>TRIM('data cleaning'!$P583)</f>
        <v>Career Laptops</v>
      </c>
      <c r="P583" s="23" t="s">
        <v>2092</v>
      </c>
      <c r="Q583" s="23">
        <v>2463.09</v>
      </c>
      <c r="R583" s="23">
        <v>8</v>
      </c>
      <c r="S583" s="23">
        <v>0</v>
      </c>
      <c r="T583" s="24">
        <v>23.62</v>
      </c>
    </row>
    <row r="584" spans="1:20" ht="15.6" x14ac:dyDescent="0.3">
      <c r="A584" s="13" t="s">
        <v>595</v>
      </c>
      <c r="B584" s="14">
        <v>45662</v>
      </c>
      <c r="C584" s="15">
        <v>45665</v>
      </c>
      <c r="D584" s="16" t="str">
        <f>TRIM('data cleaning'!$E584)</f>
        <v>Andrew Bennett</v>
      </c>
      <c r="E584" s="17" t="s">
        <v>1349</v>
      </c>
      <c r="F584" s="17" t="str">
        <f>TRIM('data cleaning'!$G584)</f>
        <v>Home Office</v>
      </c>
      <c r="G584" s="17" t="s">
        <v>1515</v>
      </c>
      <c r="H584" s="17" t="str">
        <f>TRIM('data cleaning'!$I584)</f>
        <v>West</v>
      </c>
      <c r="I584" s="17" t="s">
        <v>1518</v>
      </c>
      <c r="J584" s="17" t="str">
        <f>TRIM('data cleaning'!$K584)</f>
        <v>Office Supplies</v>
      </c>
      <c r="K584" s="17" t="s">
        <v>1520</v>
      </c>
      <c r="L584" s="17" t="str">
        <f>TRIM('data cleaning'!$M584)</f>
        <v>Binders</v>
      </c>
      <c r="M584" s="17" t="s">
        <v>1523</v>
      </c>
      <c r="N584" s="17" t="str">
        <f>PROPER('data cleaning'!$O584)</f>
        <v>Manage Binders</v>
      </c>
      <c r="O584" s="17" t="str">
        <f>TRIM('data cleaning'!$P584)</f>
        <v>Manage Binders</v>
      </c>
      <c r="P584" s="17" t="s">
        <v>2093</v>
      </c>
      <c r="Q584" s="17">
        <v>3220.87</v>
      </c>
      <c r="R584" s="17">
        <v>6</v>
      </c>
      <c r="S584" s="17">
        <v>0.15</v>
      </c>
      <c r="T584" s="18">
        <v>474.11</v>
      </c>
    </row>
    <row r="585" spans="1:20" ht="15.6" x14ac:dyDescent="0.3">
      <c r="A585" s="19" t="s">
        <v>596</v>
      </c>
      <c r="B585" s="20">
        <v>45571</v>
      </c>
      <c r="C585" s="21">
        <v>45574</v>
      </c>
      <c r="D585" s="22" t="str">
        <f>TRIM('data cleaning'!$E585)</f>
        <v>Brent Morris</v>
      </c>
      <c r="E585" s="23" t="s">
        <v>1350</v>
      </c>
      <c r="F585" s="23" t="str">
        <f>TRIM('data cleaning'!$G585)</f>
        <v>Home Office</v>
      </c>
      <c r="G585" s="23" t="s">
        <v>1515</v>
      </c>
      <c r="H585" s="23" t="str">
        <f>TRIM('data cleaning'!$I585)</f>
        <v>East</v>
      </c>
      <c r="I585" s="23" t="s">
        <v>1519</v>
      </c>
      <c r="J585" s="23" t="str">
        <f>TRIM('data cleaning'!$K585)</f>
        <v>Furniture</v>
      </c>
      <c r="K585" s="23" t="s">
        <v>1522</v>
      </c>
      <c r="L585" s="23" t="str">
        <f>TRIM('data cleaning'!$M585)</f>
        <v>Chairs</v>
      </c>
      <c r="M585" s="23" t="s">
        <v>1531</v>
      </c>
      <c r="N585" s="23" t="str">
        <f>PROPER('data cleaning'!$O585)</f>
        <v>Product Chairs</v>
      </c>
      <c r="O585" s="23" t="str">
        <f>TRIM('data cleaning'!$P585)</f>
        <v>Product Chairs</v>
      </c>
      <c r="P585" s="23" t="s">
        <v>2094</v>
      </c>
      <c r="Q585" s="23">
        <v>1750.95</v>
      </c>
      <c r="R585" s="23">
        <v>6</v>
      </c>
      <c r="S585" s="23">
        <v>0.1</v>
      </c>
      <c r="T585" s="24">
        <v>278.68</v>
      </c>
    </row>
    <row r="586" spans="1:20" ht="15.6" x14ac:dyDescent="0.3">
      <c r="A586" s="13" t="s">
        <v>597</v>
      </c>
      <c r="B586" s="14">
        <v>45157</v>
      </c>
      <c r="C586" s="15">
        <v>45164</v>
      </c>
      <c r="D586" s="16" t="str">
        <f>TRIM('data cleaning'!$E586)</f>
        <v>Justin Pennington</v>
      </c>
      <c r="E586" s="17" t="s">
        <v>1351</v>
      </c>
      <c r="F586" s="17" t="str">
        <f>TRIM('data cleaning'!$G586)</f>
        <v>Home Office</v>
      </c>
      <c r="G586" s="17" t="s">
        <v>1515</v>
      </c>
      <c r="H586" s="17" t="str">
        <f>TRIM('data cleaning'!$I586)</f>
        <v>West</v>
      </c>
      <c r="I586" s="17" t="s">
        <v>1518</v>
      </c>
      <c r="J586" s="17" t="str">
        <f>TRIM('data cleaning'!$K586)</f>
        <v>Office Supplies</v>
      </c>
      <c r="K586" s="17" t="s">
        <v>1520</v>
      </c>
      <c r="L586" s="17" t="str">
        <f>TRIM('data cleaning'!$M586)</f>
        <v>Storage</v>
      </c>
      <c r="M586" s="17" t="s">
        <v>1525</v>
      </c>
      <c r="N586" s="17" t="str">
        <f>PROPER('data cleaning'!$O586)</f>
        <v>Difficult Storage</v>
      </c>
      <c r="O586" s="17" t="str">
        <f>TRIM('data cleaning'!$P586)</f>
        <v>Difficult Storage</v>
      </c>
      <c r="P586" s="17" t="s">
        <v>2095</v>
      </c>
      <c r="Q586" s="17">
        <v>1392.68</v>
      </c>
      <c r="R586" s="17">
        <v>8</v>
      </c>
      <c r="S586" s="17">
        <v>0.1</v>
      </c>
      <c r="T586" s="18">
        <v>294.33</v>
      </c>
    </row>
    <row r="587" spans="1:20" ht="15.6" x14ac:dyDescent="0.3">
      <c r="A587" s="19" t="s">
        <v>598</v>
      </c>
      <c r="B587" s="20">
        <v>45545</v>
      </c>
      <c r="C587" s="21">
        <v>45548</v>
      </c>
      <c r="D587" s="22" t="str">
        <f>TRIM('data cleaning'!$E587)</f>
        <v>Derek Dougherty</v>
      </c>
      <c r="E587" s="23" t="s">
        <v>1352</v>
      </c>
      <c r="F587" s="23" t="str">
        <f>TRIM('data cleaning'!$G587)</f>
        <v>Corporate</v>
      </c>
      <c r="G587" s="23" t="s">
        <v>1514</v>
      </c>
      <c r="H587" s="23" t="str">
        <f>TRIM('data cleaning'!$I587)</f>
        <v>North</v>
      </c>
      <c r="I587" s="23" t="s">
        <v>1516</v>
      </c>
      <c r="J587" s="23" t="str">
        <f>TRIM('data cleaning'!$K587)</f>
        <v>Technology</v>
      </c>
      <c r="K587" s="23" t="s">
        <v>1521</v>
      </c>
      <c r="L587" s="23" t="str">
        <f>TRIM('data cleaning'!$M587)</f>
        <v>Phones</v>
      </c>
      <c r="M587" s="23" t="s">
        <v>1530</v>
      </c>
      <c r="N587" s="23" t="str">
        <f>PROPER('data cleaning'!$O587)</f>
        <v>Past Phones</v>
      </c>
      <c r="O587" s="23" t="str">
        <f>TRIM('data cleaning'!$P587)</f>
        <v>Past Phones</v>
      </c>
      <c r="P587" s="23" t="s">
        <v>2096</v>
      </c>
      <c r="Q587" s="23">
        <v>4278.3500000000004</v>
      </c>
      <c r="R587" s="23">
        <v>3</v>
      </c>
      <c r="S587" s="23"/>
      <c r="T587" s="24">
        <v>-303.57</v>
      </c>
    </row>
    <row r="588" spans="1:20" ht="15.6" x14ac:dyDescent="0.3">
      <c r="A588" s="13" t="s">
        <v>599</v>
      </c>
      <c r="B588" s="14">
        <v>45173</v>
      </c>
      <c r="C588" s="15">
        <v>45180</v>
      </c>
      <c r="D588" s="16" t="str">
        <f>TRIM('data cleaning'!$E588)</f>
        <v>David Pace</v>
      </c>
      <c r="E588" s="17" t="s">
        <v>1353</v>
      </c>
      <c r="F588" s="17" t="str">
        <f>TRIM('data cleaning'!$G588)</f>
        <v>Consumer</v>
      </c>
      <c r="G588" s="17" t="s">
        <v>1513</v>
      </c>
      <c r="H588" s="17" t="str">
        <f>TRIM('data cleaning'!$I588)</f>
        <v>West</v>
      </c>
      <c r="I588" s="17" t="s">
        <v>1518</v>
      </c>
      <c r="J588" s="17" t="str">
        <f>TRIM('data cleaning'!$K588)</f>
        <v>Furniture</v>
      </c>
      <c r="K588" s="17" t="s">
        <v>1522</v>
      </c>
      <c r="L588" s="17" t="str">
        <f>TRIM('data cleaning'!$M588)</f>
        <v>Chairs</v>
      </c>
      <c r="M588" s="17" t="s">
        <v>1531</v>
      </c>
      <c r="N588" s="17" t="str">
        <f>PROPER('data cleaning'!$O588)</f>
        <v>Executive Chairs</v>
      </c>
      <c r="O588" s="17" t="str">
        <f>TRIM('data cleaning'!$P588)</f>
        <v>Executive Chairs</v>
      </c>
      <c r="P588" s="17" t="s">
        <v>2097</v>
      </c>
      <c r="Q588" s="17">
        <v>559.9</v>
      </c>
      <c r="R588" s="17">
        <v>2</v>
      </c>
      <c r="S588" s="17">
        <v>0.15</v>
      </c>
      <c r="T588" s="18">
        <v>56.91</v>
      </c>
    </row>
    <row r="589" spans="1:20" ht="15.6" x14ac:dyDescent="0.3">
      <c r="A589" s="19" t="s">
        <v>600</v>
      </c>
      <c r="B589" s="20">
        <v>46087</v>
      </c>
      <c r="C589" s="21">
        <v>46089</v>
      </c>
      <c r="D589" s="22" t="str">
        <f>TRIM('data cleaning'!$E589)</f>
        <v>Gina Kent</v>
      </c>
      <c r="E589" s="23" t="s">
        <v>1354</v>
      </c>
      <c r="F589" s="23" t="str">
        <f>TRIM('data cleaning'!$G589)</f>
        <v>Corporate</v>
      </c>
      <c r="G589" s="23" t="s">
        <v>1514</v>
      </c>
      <c r="H589" s="23" t="str">
        <f>TRIM('data cleaning'!$I589)</f>
        <v>East</v>
      </c>
      <c r="I589" s="23" t="s">
        <v>1519</v>
      </c>
      <c r="J589" s="23" t="str">
        <f>TRIM('data cleaning'!$K589)</f>
        <v>Office Supplies</v>
      </c>
      <c r="K589" s="23" t="s">
        <v>1520</v>
      </c>
      <c r="L589" s="23" t="str">
        <f>TRIM('data cleaning'!$M589)</f>
        <v>Binders</v>
      </c>
      <c r="M589" s="23" t="s">
        <v>1523</v>
      </c>
      <c r="N589" s="23" t="str">
        <f>PROPER('data cleaning'!$O589)</f>
        <v>Second Binders</v>
      </c>
      <c r="O589" s="23" t="str">
        <f>TRIM('data cleaning'!$P589)</f>
        <v>Second Binders</v>
      </c>
      <c r="P589" s="23" t="s">
        <v>2098</v>
      </c>
      <c r="Q589" s="23">
        <v>1349.14</v>
      </c>
      <c r="R589" s="23">
        <v>3</v>
      </c>
      <c r="S589" s="23">
        <v>0</v>
      </c>
      <c r="T589" s="24">
        <v>216.08</v>
      </c>
    </row>
    <row r="590" spans="1:20" ht="15.6" x14ac:dyDescent="0.3">
      <c r="A590" s="13" t="s">
        <v>601</v>
      </c>
      <c r="B590" s="14">
        <v>45676</v>
      </c>
      <c r="C590" s="15">
        <v>45681</v>
      </c>
      <c r="D590" s="16" t="str">
        <f>TRIM('data cleaning'!$E590)</f>
        <v>Kelly Wilson</v>
      </c>
      <c r="E590" s="17" t="s">
        <v>1355</v>
      </c>
      <c r="F590" s="17" t="str">
        <f>TRIM('data cleaning'!$G590)</f>
        <v>Consumer</v>
      </c>
      <c r="G590" s="17" t="s">
        <v>1513</v>
      </c>
      <c r="H590" s="17" t="str">
        <f>TRIM('data cleaning'!$I590)</f>
        <v>North</v>
      </c>
      <c r="I590" s="17" t="s">
        <v>1516</v>
      </c>
      <c r="J590" s="17" t="str">
        <f>TRIM('data cleaning'!$K590)</f>
        <v>Furniture</v>
      </c>
      <c r="K590" s="17" t="s">
        <v>1522</v>
      </c>
      <c r="L590" s="17" t="str">
        <f>TRIM('data cleaning'!$M590)</f>
        <v>Chairs</v>
      </c>
      <c r="M590" s="17" t="s">
        <v>1531</v>
      </c>
      <c r="N590" s="17" t="str">
        <f>PROPER('data cleaning'!$O590)</f>
        <v>Sort Chairs</v>
      </c>
      <c r="O590" s="17" t="str">
        <f>TRIM('data cleaning'!$P590)</f>
        <v>Sort Chairs</v>
      </c>
      <c r="P590" s="17" t="s">
        <v>2099</v>
      </c>
      <c r="Q590" s="17">
        <v>2243.64</v>
      </c>
      <c r="R590" s="17">
        <v>3</v>
      </c>
      <c r="S590" s="17">
        <v>0.05</v>
      </c>
      <c r="T590" s="18">
        <v>201.27</v>
      </c>
    </row>
    <row r="591" spans="1:20" ht="15.6" x14ac:dyDescent="0.3">
      <c r="A591" s="19" t="s">
        <v>602</v>
      </c>
      <c r="B591" s="20">
        <v>45074</v>
      </c>
      <c r="C591" s="21">
        <v>45080</v>
      </c>
      <c r="D591" s="22" t="str">
        <f>TRIM('data cleaning'!$E591)</f>
        <v>Jeremy Norris</v>
      </c>
      <c r="E591" s="23" t="s">
        <v>1356</v>
      </c>
      <c r="F591" s="23" t="str">
        <f>TRIM('data cleaning'!$G591)</f>
        <v>Home Office</v>
      </c>
      <c r="G591" s="23" t="s">
        <v>1515</v>
      </c>
      <c r="H591" s="23" t="str">
        <f>TRIM('data cleaning'!$I591)</f>
        <v>East</v>
      </c>
      <c r="I591" s="23" t="s">
        <v>1519</v>
      </c>
      <c r="J591" s="23" t="str">
        <f>TRIM('data cleaning'!$K591)</f>
        <v>Furniture</v>
      </c>
      <c r="K591" s="23" t="s">
        <v>1522</v>
      </c>
      <c r="L591" s="23" t="str">
        <f>TRIM('data cleaning'!$M591)</f>
        <v>Bookcases</v>
      </c>
      <c r="M591" s="23" t="s">
        <v>1527</v>
      </c>
      <c r="N591" s="23" t="str">
        <f>PROPER('data cleaning'!$O591)</f>
        <v>Explain Bookcases</v>
      </c>
      <c r="O591" s="23" t="str">
        <f>TRIM('data cleaning'!$P591)</f>
        <v>Explain Bookcases</v>
      </c>
      <c r="P591" s="23" t="s">
        <v>2100</v>
      </c>
      <c r="Q591" s="23">
        <v>4308.83</v>
      </c>
      <c r="R591" s="23">
        <v>6</v>
      </c>
      <c r="S591" s="23">
        <v>0.15</v>
      </c>
      <c r="T591" s="24">
        <v>245.42</v>
      </c>
    </row>
    <row r="592" spans="1:20" ht="15.6" x14ac:dyDescent="0.3">
      <c r="A592" s="13" t="s">
        <v>603</v>
      </c>
      <c r="B592" s="14">
        <v>45336</v>
      </c>
      <c r="C592" s="15">
        <v>45339</v>
      </c>
      <c r="D592" s="16" t="str">
        <f>TRIM('data cleaning'!$E592)</f>
        <v>Lisa Nguyen</v>
      </c>
      <c r="E592" s="17" t="s">
        <v>1357</v>
      </c>
      <c r="F592" s="17" t="str">
        <f>TRIM('data cleaning'!$G592)</f>
        <v>Corporate</v>
      </c>
      <c r="G592" s="17" t="s">
        <v>1514</v>
      </c>
      <c r="H592" s="17" t="str">
        <f>TRIM('data cleaning'!$I592)</f>
        <v>West</v>
      </c>
      <c r="I592" s="17" t="s">
        <v>1518</v>
      </c>
      <c r="J592" s="17" t="str">
        <f>TRIM('data cleaning'!$K592)</f>
        <v>Office Supplies</v>
      </c>
      <c r="K592" s="17" t="s">
        <v>1520</v>
      </c>
      <c r="L592" s="17" t="str">
        <f>TRIM('data cleaning'!$M592)</f>
        <v>Paper</v>
      </c>
      <c r="M592" s="17" t="s">
        <v>1524</v>
      </c>
      <c r="N592" s="17" t="str">
        <f>PROPER('data cleaning'!$O592)</f>
        <v>Heavy Paper</v>
      </c>
      <c r="O592" s="17" t="str">
        <f>TRIM('data cleaning'!$P592)</f>
        <v>Heavy Paper</v>
      </c>
      <c r="P592" s="17" t="s">
        <v>2101</v>
      </c>
      <c r="Q592" s="17">
        <v>4849.2299999999996</v>
      </c>
      <c r="R592" s="17">
        <v>9</v>
      </c>
      <c r="S592" s="17">
        <v>0.05</v>
      </c>
      <c r="T592" s="18">
        <v>605.95000000000005</v>
      </c>
    </row>
    <row r="593" spans="1:20" ht="15.6" x14ac:dyDescent="0.3">
      <c r="A593" s="19" t="s">
        <v>604</v>
      </c>
      <c r="B593" s="20">
        <v>45858</v>
      </c>
      <c r="C593" s="21">
        <v>45867</v>
      </c>
      <c r="D593" s="22" t="str">
        <f>TRIM('data cleaning'!$E593)</f>
        <v>Angela Rivas DVM</v>
      </c>
      <c r="E593" s="23" t="s">
        <v>1358</v>
      </c>
      <c r="F593" s="23" t="str">
        <f>TRIM('data cleaning'!$G593)</f>
        <v>Consumer</v>
      </c>
      <c r="G593" s="23" t="s">
        <v>1513</v>
      </c>
      <c r="H593" s="23" t="str">
        <f>TRIM('data cleaning'!$I593)</f>
        <v>West</v>
      </c>
      <c r="I593" s="23" t="s">
        <v>1518</v>
      </c>
      <c r="J593" s="23" t="str">
        <f>TRIM('data cleaning'!$K593)</f>
        <v>Office Supplies</v>
      </c>
      <c r="K593" s="23" t="s">
        <v>1520</v>
      </c>
      <c r="L593" s="23" t="str">
        <f>TRIM('data cleaning'!$M593)</f>
        <v>Storage</v>
      </c>
      <c r="M593" s="23" t="s">
        <v>1525</v>
      </c>
      <c r="N593" s="23" t="str">
        <f>PROPER('data cleaning'!$O593)</f>
        <v>Not Storage</v>
      </c>
      <c r="O593" s="23" t="str">
        <f>TRIM('data cleaning'!$P593)</f>
        <v>Not Storage</v>
      </c>
      <c r="P593" s="23" t="s">
        <v>2102</v>
      </c>
      <c r="Q593" s="23">
        <v>1582.82</v>
      </c>
      <c r="R593" s="23">
        <v>6</v>
      </c>
      <c r="S593" s="23">
        <v>0.15</v>
      </c>
      <c r="T593" s="24">
        <v>153.24</v>
      </c>
    </row>
    <row r="594" spans="1:20" ht="15.6" x14ac:dyDescent="0.3">
      <c r="A594" s="13" t="s">
        <v>605</v>
      </c>
      <c r="B594" s="14">
        <v>46039</v>
      </c>
      <c r="C594" s="15">
        <v>46046</v>
      </c>
      <c r="D594" s="16" t="str">
        <f>TRIM('data cleaning'!$E594)</f>
        <v>Alexander Patterson</v>
      </c>
      <c r="E594" s="17" t="s">
        <v>1359</v>
      </c>
      <c r="F594" s="17" t="str">
        <f>TRIM('data cleaning'!$G594)</f>
        <v>Consumer</v>
      </c>
      <c r="G594" s="17" t="s">
        <v>1513</v>
      </c>
      <c r="H594" s="17" t="str">
        <f>TRIM('data cleaning'!$I594)</f>
        <v>East</v>
      </c>
      <c r="I594" s="17" t="s">
        <v>1519</v>
      </c>
      <c r="J594" s="17" t="str">
        <f>TRIM('data cleaning'!$K594)</f>
        <v>Technology</v>
      </c>
      <c r="K594" s="17" t="s">
        <v>1521</v>
      </c>
      <c r="L594" s="17" t="str">
        <f>TRIM('data cleaning'!$M594)</f>
        <v>Accessories</v>
      </c>
      <c r="M594" s="17" t="s">
        <v>1526</v>
      </c>
      <c r="N594" s="17" t="str">
        <f>PROPER('data cleaning'!$O594)</f>
        <v>Thank Accessories</v>
      </c>
      <c r="O594" s="17" t="str">
        <f>TRIM('data cleaning'!$P594)</f>
        <v>Thank Accessories</v>
      </c>
      <c r="P594" s="17" t="s">
        <v>2103</v>
      </c>
      <c r="Q594" s="17">
        <v>1336.04</v>
      </c>
      <c r="R594" s="17">
        <v>5</v>
      </c>
      <c r="S594" s="17">
        <v>0</v>
      </c>
      <c r="T594" s="18">
        <v>-267.14</v>
      </c>
    </row>
    <row r="595" spans="1:20" ht="15.6" x14ac:dyDescent="0.3">
      <c r="A595" s="19" t="s">
        <v>606</v>
      </c>
      <c r="B595" s="20">
        <v>45794</v>
      </c>
      <c r="C595" s="21">
        <v>45803</v>
      </c>
      <c r="D595" s="22" t="str">
        <f>TRIM('data cleaning'!$E595)</f>
        <v>Emily Davis</v>
      </c>
      <c r="E595" s="23" t="s">
        <v>1360</v>
      </c>
      <c r="F595" s="23" t="str">
        <f>TRIM('data cleaning'!$G595)</f>
        <v>Corporate</v>
      </c>
      <c r="G595" s="23" t="s">
        <v>1514</v>
      </c>
      <c r="H595" s="23" t="str">
        <f>TRIM('data cleaning'!$I595)</f>
        <v>East</v>
      </c>
      <c r="I595" s="23" t="s">
        <v>1519</v>
      </c>
      <c r="J595" s="23" t="str">
        <f>TRIM('data cleaning'!$K595)</f>
        <v>Technology</v>
      </c>
      <c r="K595" s="23" t="s">
        <v>1521</v>
      </c>
      <c r="L595" s="23" t="str">
        <f>TRIM('data cleaning'!$M595)</f>
        <v>Accessories</v>
      </c>
      <c r="M595" s="23" t="s">
        <v>1526</v>
      </c>
      <c r="N595" s="23" t="str">
        <f>PROPER('data cleaning'!$O595)</f>
        <v>Head Accessories</v>
      </c>
      <c r="O595" s="23" t="str">
        <f>TRIM('data cleaning'!$P595)</f>
        <v>Head Accessories</v>
      </c>
      <c r="P595" s="23" t="s">
        <v>2104</v>
      </c>
      <c r="Q595" s="23">
        <v>91.17</v>
      </c>
      <c r="R595" s="23">
        <v>8</v>
      </c>
      <c r="S595" s="23">
        <v>0.15</v>
      </c>
      <c r="T595" s="24">
        <v>-3.21</v>
      </c>
    </row>
    <row r="596" spans="1:20" ht="15.6" x14ac:dyDescent="0.3">
      <c r="A596" s="13" t="s">
        <v>607</v>
      </c>
      <c r="B596" s="14">
        <v>45087</v>
      </c>
      <c r="C596" s="15">
        <v>45088</v>
      </c>
      <c r="D596" s="16" t="str">
        <f>TRIM('data cleaning'!$E596)</f>
        <v>Felicia Jones</v>
      </c>
      <c r="E596" s="17" t="s">
        <v>1361</v>
      </c>
      <c r="F596" s="17" t="str">
        <f>TRIM('data cleaning'!$G596)</f>
        <v>Corporate</v>
      </c>
      <c r="G596" s="17" t="s">
        <v>1514</v>
      </c>
      <c r="H596" s="17" t="str">
        <f>TRIM('data cleaning'!$I596)</f>
        <v>West</v>
      </c>
      <c r="I596" s="17" t="s">
        <v>1518</v>
      </c>
      <c r="J596" s="17" t="str">
        <f>TRIM('data cleaning'!$K596)</f>
        <v>Office Supplies</v>
      </c>
      <c r="K596" s="17" t="s">
        <v>1520</v>
      </c>
      <c r="L596" s="17" t="str">
        <f>TRIM('data cleaning'!$M596)</f>
        <v>Binders</v>
      </c>
      <c r="M596" s="17" t="s">
        <v>1523</v>
      </c>
      <c r="N596" s="17" t="str">
        <f>PROPER('data cleaning'!$O596)</f>
        <v>Quite Binders</v>
      </c>
      <c r="O596" s="17" t="str">
        <f>TRIM('data cleaning'!$P596)</f>
        <v>Quite Binders</v>
      </c>
      <c r="P596" s="17" t="s">
        <v>2105</v>
      </c>
      <c r="Q596" s="17">
        <v>2763.65</v>
      </c>
      <c r="R596" s="17">
        <v>4</v>
      </c>
      <c r="S596" s="17">
        <v>0.15</v>
      </c>
      <c r="T596" s="18">
        <v>788.16</v>
      </c>
    </row>
    <row r="597" spans="1:20" ht="15.6" x14ac:dyDescent="0.3">
      <c r="A597" s="19" t="s">
        <v>608</v>
      </c>
      <c r="B597" s="20">
        <v>45113</v>
      </c>
      <c r="C597" s="21">
        <v>45120</v>
      </c>
      <c r="D597" s="22" t="str">
        <f>TRIM('data cleaning'!$E597)</f>
        <v>Robert Davis</v>
      </c>
      <c r="E597" s="23" t="s">
        <v>1362</v>
      </c>
      <c r="F597" s="23" t="str">
        <f>TRIM('data cleaning'!$G597)</f>
        <v>Home Office</v>
      </c>
      <c r="G597" s="23" t="s">
        <v>1515</v>
      </c>
      <c r="H597" s="23" t="str">
        <f>TRIM('data cleaning'!$I597)</f>
        <v>South</v>
      </c>
      <c r="I597" s="23" t="s">
        <v>1517</v>
      </c>
      <c r="J597" s="23" t="str">
        <f>TRIM('data cleaning'!$K597)</f>
        <v>Furniture</v>
      </c>
      <c r="K597" s="23" t="s">
        <v>1522</v>
      </c>
      <c r="L597" s="23" t="str">
        <f>TRIM('data cleaning'!$M597)</f>
        <v>Chairs</v>
      </c>
      <c r="M597" s="23" t="s">
        <v>1531</v>
      </c>
      <c r="N597" s="23" t="str">
        <f>PROPER('data cleaning'!$O597)</f>
        <v>Turn Chairs</v>
      </c>
      <c r="O597" s="23" t="str">
        <f>TRIM('data cleaning'!$P597)</f>
        <v>Turn Chairs</v>
      </c>
      <c r="P597" s="23" t="s">
        <v>2106</v>
      </c>
      <c r="Q597" s="23">
        <v>4150.71</v>
      </c>
      <c r="R597" s="23">
        <v>4</v>
      </c>
      <c r="S597" s="23">
        <v>0.1</v>
      </c>
      <c r="T597" s="24">
        <v>-649.30999999999995</v>
      </c>
    </row>
    <row r="598" spans="1:20" ht="15.6" x14ac:dyDescent="0.3">
      <c r="A598" s="13" t="s">
        <v>609</v>
      </c>
      <c r="B598" s="14">
        <v>45375</v>
      </c>
      <c r="C598" s="15">
        <v>45380</v>
      </c>
      <c r="D598" s="16" t="str">
        <f>TRIM('data cleaning'!$E598)</f>
        <v>Jose Johnson</v>
      </c>
      <c r="E598" s="17" t="s">
        <v>1363</v>
      </c>
      <c r="F598" s="17" t="str">
        <f>TRIM('data cleaning'!$G598)</f>
        <v>Consumer</v>
      </c>
      <c r="G598" s="17" t="s">
        <v>1513</v>
      </c>
      <c r="H598" s="17" t="str">
        <f>TRIM('data cleaning'!$I598)</f>
        <v>South</v>
      </c>
      <c r="I598" s="17" t="s">
        <v>1517</v>
      </c>
      <c r="J598" s="17" t="str">
        <f>TRIM('data cleaning'!$K598)</f>
        <v>Office Supplies</v>
      </c>
      <c r="K598" s="17" t="s">
        <v>1520</v>
      </c>
      <c r="L598" s="17" t="str">
        <f>TRIM('data cleaning'!$M598)</f>
        <v>Storage</v>
      </c>
      <c r="M598" s="17" t="s">
        <v>1525</v>
      </c>
      <c r="N598" s="17" t="str">
        <f>PROPER('data cleaning'!$O598)</f>
        <v>True Storage</v>
      </c>
      <c r="O598" s="17" t="str">
        <f>TRIM('data cleaning'!$P598)</f>
        <v>True Storage</v>
      </c>
      <c r="P598" s="17" t="s">
        <v>2107</v>
      </c>
      <c r="Q598" s="17">
        <v>1459.15</v>
      </c>
      <c r="R598" s="17">
        <v>9</v>
      </c>
      <c r="S598" s="17">
        <v>0.1</v>
      </c>
      <c r="T598" s="18">
        <v>39.54</v>
      </c>
    </row>
    <row r="599" spans="1:20" ht="15.6" x14ac:dyDescent="0.3">
      <c r="A599" s="19" t="s">
        <v>610</v>
      </c>
      <c r="B599" s="20">
        <v>46061</v>
      </c>
      <c r="C599" s="21">
        <v>46063</v>
      </c>
      <c r="D599" s="22" t="str">
        <f>TRIM('data cleaning'!$E599)</f>
        <v>Tony Conrad</v>
      </c>
      <c r="E599" s="23" t="s">
        <v>1364</v>
      </c>
      <c r="F599" s="23" t="str">
        <f>TRIM('data cleaning'!$G599)</f>
        <v>Home Office</v>
      </c>
      <c r="G599" s="23" t="s">
        <v>1515</v>
      </c>
      <c r="H599" s="23" t="str">
        <f>TRIM('data cleaning'!$I599)</f>
        <v>West</v>
      </c>
      <c r="I599" s="23" t="s">
        <v>1518</v>
      </c>
      <c r="J599" s="23" t="str">
        <f>TRIM('data cleaning'!$K599)</f>
        <v>Furniture</v>
      </c>
      <c r="K599" s="23" t="s">
        <v>1522</v>
      </c>
      <c r="L599" s="23" t="str">
        <f>TRIM('data cleaning'!$M599)</f>
        <v>Tables</v>
      </c>
      <c r="M599" s="23" t="s">
        <v>1529</v>
      </c>
      <c r="N599" s="23" t="str">
        <f>PROPER('data cleaning'!$O599)</f>
        <v>Of Tables</v>
      </c>
      <c r="O599" s="23" t="str">
        <f>TRIM('data cleaning'!$P599)</f>
        <v>Of Tables</v>
      </c>
      <c r="P599" s="23" t="s">
        <v>2108</v>
      </c>
      <c r="Q599" s="23">
        <v>3202.62</v>
      </c>
      <c r="R599" s="23">
        <v>10</v>
      </c>
      <c r="S599" s="23">
        <v>0.15</v>
      </c>
      <c r="T599" s="24">
        <v>-161.18</v>
      </c>
    </row>
    <row r="600" spans="1:20" ht="15.6" x14ac:dyDescent="0.3">
      <c r="A600" s="13" t="s">
        <v>611</v>
      </c>
      <c r="B600" s="14">
        <v>45174</v>
      </c>
      <c r="C600" s="15">
        <v>45175</v>
      </c>
      <c r="D600" s="16" t="str">
        <f>TRIM('data cleaning'!$E600)</f>
        <v>Raymond Jenkins</v>
      </c>
      <c r="E600" s="17" t="s">
        <v>1365</v>
      </c>
      <c r="F600" s="17" t="str">
        <f>TRIM('data cleaning'!$G600)</f>
        <v>Consumer</v>
      </c>
      <c r="G600" s="17" t="s">
        <v>1513</v>
      </c>
      <c r="H600" s="17" t="str">
        <f>TRIM('data cleaning'!$I600)</f>
        <v>East</v>
      </c>
      <c r="I600" s="17" t="s">
        <v>1519</v>
      </c>
      <c r="J600" s="17" t="str">
        <f>TRIM('data cleaning'!$K600)</f>
        <v>Furniture</v>
      </c>
      <c r="K600" s="17" t="s">
        <v>1522</v>
      </c>
      <c r="L600" s="17" t="str">
        <f>TRIM('data cleaning'!$M600)</f>
        <v>Tables</v>
      </c>
      <c r="M600" s="17" t="s">
        <v>1529</v>
      </c>
      <c r="N600" s="17" t="str">
        <f>PROPER('data cleaning'!$O600)</f>
        <v>Above Tables</v>
      </c>
      <c r="O600" s="17" t="str">
        <f>TRIM('data cleaning'!$P600)</f>
        <v>Above Tables</v>
      </c>
      <c r="P600" s="17" t="s">
        <v>2109</v>
      </c>
      <c r="Q600" s="17">
        <v>803.14</v>
      </c>
      <c r="R600" s="17">
        <v>9</v>
      </c>
      <c r="S600" s="17">
        <v>0</v>
      </c>
      <c r="T600" s="18">
        <v>-78.489999999999995</v>
      </c>
    </row>
    <row r="601" spans="1:20" ht="15.6" x14ac:dyDescent="0.3">
      <c r="A601" s="19" t="s">
        <v>612</v>
      </c>
      <c r="B601" s="20">
        <v>46070</v>
      </c>
      <c r="C601" s="21">
        <v>46078</v>
      </c>
      <c r="D601" s="22" t="str">
        <f>TRIM('data cleaning'!$E601)</f>
        <v>Penny Cobb</v>
      </c>
      <c r="E601" s="23" t="s">
        <v>1366</v>
      </c>
      <c r="F601" s="23" t="str">
        <f>TRIM('data cleaning'!$G601)</f>
        <v>Corporate</v>
      </c>
      <c r="G601" s="23" t="s">
        <v>1514</v>
      </c>
      <c r="H601" s="23" t="str">
        <f>TRIM('data cleaning'!$I601)</f>
        <v>South</v>
      </c>
      <c r="I601" s="23" t="s">
        <v>1517</v>
      </c>
      <c r="J601" s="23" t="str">
        <f>TRIM('data cleaning'!$K601)</f>
        <v>Technology</v>
      </c>
      <c r="K601" s="23" t="s">
        <v>1521</v>
      </c>
      <c r="L601" s="23" t="str">
        <f>TRIM('data cleaning'!$M601)</f>
        <v>Phones</v>
      </c>
      <c r="M601" s="23" t="s">
        <v>1530</v>
      </c>
      <c r="N601" s="23" t="str">
        <f>PROPER('data cleaning'!$O601)</f>
        <v>Yes Phones</v>
      </c>
      <c r="O601" s="23" t="str">
        <f>TRIM('data cleaning'!$P601)</f>
        <v>Yes Phones</v>
      </c>
      <c r="P601" s="23" t="s">
        <v>2110</v>
      </c>
      <c r="Q601" s="23">
        <v>3649.18</v>
      </c>
      <c r="R601" s="23">
        <v>4</v>
      </c>
      <c r="S601" s="23">
        <v>0</v>
      </c>
      <c r="T601" s="24">
        <v>-427.41</v>
      </c>
    </row>
    <row r="602" spans="1:20" ht="15.6" x14ac:dyDescent="0.3">
      <c r="A602" s="13" t="s">
        <v>613</v>
      </c>
      <c r="B602" s="14">
        <v>45195</v>
      </c>
      <c r="C602" s="15">
        <v>45200</v>
      </c>
      <c r="D602" s="16" t="str">
        <f>TRIM('data cleaning'!$E602)</f>
        <v>Andrea Sandoval</v>
      </c>
      <c r="E602" s="17" t="s">
        <v>1367</v>
      </c>
      <c r="F602" s="17" t="str">
        <f>TRIM('data cleaning'!$G602)</f>
        <v>Consumer</v>
      </c>
      <c r="G602" s="17" t="s">
        <v>1513</v>
      </c>
      <c r="H602" s="17" t="str">
        <f>TRIM('data cleaning'!$I602)</f>
        <v>East</v>
      </c>
      <c r="I602" s="17" t="s">
        <v>1519</v>
      </c>
      <c r="J602" s="17" t="str">
        <f>TRIM('data cleaning'!$K602)</f>
        <v>Technology</v>
      </c>
      <c r="K602" s="17" t="s">
        <v>1521</v>
      </c>
      <c r="L602" s="17" t="str">
        <f>TRIM('data cleaning'!$M602)</f>
        <v>Accessories</v>
      </c>
      <c r="M602" s="17" t="s">
        <v>1526</v>
      </c>
      <c r="N602" s="17" t="str">
        <f>PROPER('data cleaning'!$O602)</f>
        <v>Rock Accessories</v>
      </c>
      <c r="O602" s="17" t="str">
        <f>TRIM('data cleaning'!$P602)</f>
        <v>Rock Accessories</v>
      </c>
      <c r="P602" s="17" t="s">
        <v>2111</v>
      </c>
      <c r="Q602" s="17">
        <v>3939.34</v>
      </c>
      <c r="R602" s="17">
        <v>8</v>
      </c>
      <c r="S602" s="17">
        <v>0.1</v>
      </c>
      <c r="T602" s="18">
        <v>216.77</v>
      </c>
    </row>
    <row r="603" spans="1:20" ht="15.6" x14ac:dyDescent="0.3">
      <c r="A603" s="19" t="s">
        <v>614</v>
      </c>
      <c r="B603" s="20">
        <v>45911</v>
      </c>
      <c r="C603" s="21">
        <v>45912</v>
      </c>
      <c r="D603" s="22" t="str">
        <f>TRIM('data cleaning'!$E603)</f>
        <v>Cindy Rogers</v>
      </c>
      <c r="E603" s="23" t="s">
        <v>1368</v>
      </c>
      <c r="F603" s="23" t="str">
        <f>TRIM('data cleaning'!$G603)</f>
        <v>Consumer</v>
      </c>
      <c r="G603" s="23" t="s">
        <v>1513</v>
      </c>
      <c r="H603" s="23" t="str">
        <f>TRIM('data cleaning'!$I603)</f>
        <v>South</v>
      </c>
      <c r="I603" s="23" t="s">
        <v>1517</v>
      </c>
      <c r="J603" s="23" t="str">
        <f>TRIM('data cleaning'!$K603)</f>
        <v>Furniture</v>
      </c>
      <c r="K603" s="23" t="s">
        <v>1522</v>
      </c>
      <c r="L603" s="23" t="str">
        <f>TRIM('data cleaning'!$M603)</f>
        <v>Chairs</v>
      </c>
      <c r="M603" s="23" t="s">
        <v>1531</v>
      </c>
      <c r="N603" s="23" t="str">
        <f>PROPER('data cleaning'!$O603)</f>
        <v>Law Chairs</v>
      </c>
      <c r="O603" s="23" t="str">
        <f>TRIM('data cleaning'!$P603)</f>
        <v>Law Chairs</v>
      </c>
      <c r="P603" s="23" t="s">
        <v>2112</v>
      </c>
      <c r="Q603" s="23">
        <v>1369.19</v>
      </c>
      <c r="R603" s="23">
        <v>7</v>
      </c>
      <c r="S603" s="23">
        <v>0</v>
      </c>
      <c r="T603" s="24">
        <v>135.22</v>
      </c>
    </row>
    <row r="604" spans="1:20" ht="15.6" x14ac:dyDescent="0.3">
      <c r="A604" s="13" t="s">
        <v>615</v>
      </c>
      <c r="B604" s="14">
        <v>45079</v>
      </c>
      <c r="C604" s="15">
        <v>45080</v>
      </c>
      <c r="D604" s="16" t="str">
        <f>TRIM('data cleaning'!$E604)</f>
        <v>Tina Santos</v>
      </c>
      <c r="E604" s="17" t="s">
        <v>1369</v>
      </c>
      <c r="F604" s="17" t="str">
        <f>TRIM('data cleaning'!$G604)</f>
        <v>Corporate</v>
      </c>
      <c r="G604" s="17" t="s">
        <v>1514</v>
      </c>
      <c r="H604" s="17" t="str">
        <f>TRIM('data cleaning'!$I604)</f>
        <v>South</v>
      </c>
      <c r="I604" s="17" t="s">
        <v>1517</v>
      </c>
      <c r="J604" s="17" t="str">
        <f>TRIM('data cleaning'!$K604)</f>
        <v>Technology</v>
      </c>
      <c r="K604" s="17" t="s">
        <v>1521</v>
      </c>
      <c r="L604" s="17" t="str">
        <f>TRIM('data cleaning'!$M604)</f>
        <v>Accessories</v>
      </c>
      <c r="M604" s="17" t="s">
        <v>1526</v>
      </c>
      <c r="N604" s="17" t="str">
        <f>PROPER('data cleaning'!$O604)</f>
        <v>Consumer Accessories</v>
      </c>
      <c r="O604" s="17" t="str">
        <f>TRIM('data cleaning'!$P604)</f>
        <v>Consumer Accessories</v>
      </c>
      <c r="P604" s="17" t="s">
        <v>1653</v>
      </c>
      <c r="Q604" s="17">
        <v>653.71</v>
      </c>
      <c r="R604" s="17">
        <v>4</v>
      </c>
      <c r="S604" s="17">
        <v>0.15</v>
      </c>
      <c r="T604" s="18">
        <v>146.54</v>
      </c>
    </row>
    <row r="605" spans="1:20" ht="15.6" x14ac:dyDescent="0.3">
      <c r="A605" s="19" t="s">
        <v>616</v>
      </c>
      <c r="B605" s="20">
        <v>45882</v>
      </c>
      <c r="C605" s="21">
        <v>45886</v>
      </c>
      <c r="D605" s="22" t="str">
        <f>TRIM('data cleaning'!$E605)</f>
        <v>Trevor Hubbard</v>
      </c>
      <c r="E605" s="23" t="s">
        <v>1370</v>
      </c>
      <c r="F605" s="23" t="str">
        <f>TRIM('data cleaning'!$G605)</f>
        <v>Consumer</v>
      </c>
      <c r="G605" s="23" t="s">
        <v>1513</v>
      </c>
      <c r="H605" s="23" t="str">
        <f>TRIM('data cleaning'!$I605)</f>
        <v>West</v>
      </c>
      <c r="I605" s="23" t="s">
        <v>1518</v>
      </c>
      <c r="J605" s="23" t="str">
        <f>TRIM('data cleaning'!$K605)</f>
        <v>Office Supplies</v>
      </c>
      <c r="K605" s="23" t="s">
        <v>1520</v>
      </c>
      <c r="L605" s="23" t="str">
        <f>TRIM('data cleaning'!$M605)</f>
        <v>Binders</v>
      </c>
      <c r="M605" s="23" t="s">
        <v>1523</v>
      </c>
      <c r="N605" s="23" t="str">
        <f>PROPER('data cleaning'!$O605)</f>
        <v>News Binders</v>
      </c>
      <c r="O605" s="23" t="str">
        <f>TRIM('data cleaning'!$P605)</f>
        <v>News Binders</v>
      </c>
      <c r="P605" s="23" t="s">
        <v>2017</v>
      </c>
      <c r="Q605" s="23">
        <v>2331.13</v>
      </c>
      <c r="R605" s="23">
        <v>2</v>
      </c>
      <c r="S605" s="23">
        <v>0.2</v>
      </c>
      <c r="T605" s="24">
        <v>387.68</v>
      </c>
    </row>
    <row r="606" spans="1:20" ht="15.6" x14ac:dyDescent="0.3">
      <c r="A606" s="13" t="s">
        <v>617</v>
      </c>
      <c r="B606" s="14">
        <v>45813</v>
      </c>
      <c r="C606" s="15">
        <v>45818</v>
      </c>
      <c r="D606" s="16" t="str">
        <f>TRIM('data cleaning'!$E606)</f>
        <v>Richard White</v>
      </c>
      <c r="E606" s="17" t="s">
        <v>1371</v>
      </c>
      <c r="F606" s="17" t="str">
        <f>TRIM('data cleaning'!$G606)</f>
        <v>Home Office</v>
      </c>
      <c r="G606" s="17" t="s">
        <v>1515</v>
      </c>
      <c r="H606" s="17" t="str">
        <f>TRIM('data cleaning'!$I606)</f>
        <v>North</v>
      </c>
      <c r="I606" s="17" t="s">
        <v>1516</v>
      </c>
      <c r="J606" s="17" t="str">
        <f>TRIM('data cleaning'!$K606)</f>
        <v>Technology</v>
      </c>
      <c r="K606" s="17" t="s">
        <v>1521</v>
      </c>
      <c r="L606" s="17" t="str">
        <f>TRIM('data cleaning'!$M606)</f>
        <v>Laptops</v>
      </c>
      <c r="M606" s="17" t="s">
        <v>1528</v>
      </c>
      <c r="N606" s="17" t="str">
        <f>PROPER('data cleaning'!$O606)</f>
        <v>Require Laptops</v>
      </c>
      <c r="O606" s="17" t="str">
        <f>TRIM('data cleaning'!$P606)</f>
        <v>Require Laptops</v>
      </c>
      <c r="P606" s="17" t="s">
        <v>2113</v>
      </c>
      <c r="Q606" s="17">
        <v>4684.2700000000004</v>
      </c>
      <c r="R606" s="17">
        <v>3</v>
      </c>
      <c r="S606" s="17"/>
      <c r="T606" s="18">
        <v>939.34</v>
      </c>
    </row>
    <row r="607" spans="1:20" ht="15.6" x14ac:dyDescent="0.3">
      <c r="A607" s="19" t="s">
        <v>618</v>
      </c>
      <c r="B607" s="20">
        <v>45512</v>
      </c>
      <c r="C607" s="21">
        <v>45517</v>
      </c>
      <c r="D607" s="22" t="str">
        <f>TRIM('data cleaning'!$E607)</f>
        <v>John Roy</v>
      </c>
      <c r="E607" s="23" t="s">
        <v>1372</v>
      </c>
      <c r="F607" s="23" t="str">
        <f>TRIM('data cleaning'!$G607)</f>
        <v>Consumer</v>
      </c>
      <c r="G607" s="23" t="s">
        <v>1513</v>
      </c>
      <c r="H607" s="23" t="str">
        <f>TRIM('data cleaning'!$I607)</f>
        <v>South</v>
      </c>
      <c r="I607" s="23" t="s">
        <v>1517</v>
      </c>
      <c r="J607" s="23" t="str">
        <f>TRIM('data cleaning'!$K607)</f>
        <v>Technology</v>
      </c>
      <c r="K607" s="23" t="s">
        <v>1521</v>
      </c>
      <c r="L607" s="23" t="str">
        <f>TRIM('data cleaning'!$M607)</f>
        <v>Accessories</v>
      </c>
      <c r="M607" s="23" t="s">
        <v>1526</v>
      </c>
      <c r="N607" s="23" t="str">
        <f>PROPER('data cleaning'!$O607)</f>
        <v>Entire Accessories</v>
      </c>
      <c r="O607" s="23" t="str">
        <f>TRIM('data cleaning'!$P607)</f>
        <v>Entire Accessories</v>
      </c>
      <c r="P607" s="23" t="s">
        <v>2114</v>
      </c>
      <c r="Q607" s="23">
        <v>1033.68</v>
      </c>
      <c r="R607" s="23">
        <v>1</v>
      </c>
      <c r="S607" s="23"/>
      <c r="T607" s="24">
        <v>-82.92</v>
      </c>
    </row>
    <row r="608" spans="1:20" ht="15.6" x14ac:dyDescent="0.3">
      <c r="A608" s="13" t="s">
        <v>619</v>
      </c>
      <c r="B608" s="14">
        <v>45725</v>
      </c>
      <c r="C608" s="15">
        <v>45731</v>
      </c>
      <c r="D608" s="16" t="str">
        <f>TRIM('data cleaning'!$E608)</f>
        <v>Megan Collins</v>
      </c>
      <c r="E608" s="17" t="s">
        <v>1373</v>
      </c>
      <c r="F608" s="17" t="str">
        <f>TRIM('data cleaning'!$G608)</f>
        <v>Consumer</v>
      </c>
      <c r="G608" s="17" t="s">
        <v>1513</v>
      </c>
      <c r="H608" s="17" t="str">
        <f>TRIM('data cleaning'!$I608)</f>
        <v>North</v>
      </c>
      <c r="I608" s="17" t="s">
        <v>1516</v>
      </c>
      <c r="J608" s="17" t="str">
        <f>TRIM('data cleaning'!$K608)</f>
        <v>Office Supplies</v>
      </c>
      <c r="K608" s="17" t="s">
        <v>1520</v>
      </c>
      <c r="L608" s="17" t="str">
        <f>TRIM('data cleaning'!$M608)</f>
        <v>Paper</v>
      </c>
      <c r="M608" s="17" t="s">
        <v>1524</v>
      </c>
      <c r="N608" s="17" t="str">
        <f>PROPER('data cleaning'!$O608)</f>
        <v>Word Paper</v>
      </c>
      <c r="O608" s="17" t="str">
        <f>TRIM('data cleaning'!$P608)</f>
        <v>Word Paper</v>
      </c>
      <c r="P608" s="17" t="s">
        <v>2115</v>
      </c>
      <c r="Q608" s="17">
        <v>124.59</v>
      </c>
      <c r="R608" s="17">
        <v>5</v>
      </c>
      <c r="S608" s="17">
        <v>0.2</v>
      </c>
      <c r="T608" s="18">
        <v>-16.72</v>
      </c>
    </row>
    <row r="609" spans="1:20" ht="15.6" x14ac:dyDescent="0.3">
      <c r="A609" s="19" t="s">
        <v>620</v>
      </c>
      <c r="B609" s="20">
        <v>46081</v>
      </c>
      <c r="C609" s="21">
        <v>46089</v>
      </c>
      <c r="D609" s="22" t="str">
        <f>TRIM('data cleaning'!$E609)</f>
        <v>Robert Cummings</v>
      </c>
      <c r="E609" s="23" t="s">
        <v>1374</v>
      </c>
      <c r="F609" s="23" t="str">
        <f>TRIM('data cleaning'!$G609)</f>
        <v>Consumer</v>
      </c>
      <c r="G609" s="23" t="s">
        <v>1513</v>
      </c>
      <c r="H609" s="23" t="str">
        <f>TRIM('data cleaning'!$I609)</f>
        <v>South</v>
      </c>
      <c r="I609" s="23" t="s">
        <v>1517</v>
      </c>
      <c r="J609" s="23" t="str">
        <f>TRIM('data cleaning'!$K609)</f>
        <v>Furniture</v>
      </c>
      <c r="K609" s="23" t="s">
        <v>1522</v>
      </c>
      <c r="L609" s="23" t="str">
        <f>TRIM('data cleaning'!$M609)</f>
        <v>Bookcases</v>
      </c>
      <c r="M609" s="23" t="s">
        <v>1527</v>
      </c>
      <c r="N609" s="23" t="str">
        <f>PROPER('data cleaning'!$O609)</f>
        <v>Tend Bookcases</v>
      </c>
      <c r="O609" s="23" t="str">
        <f>TRIM('data cleaning'!$P609)</f>
        <v>Tend Bookcases</v>
      </c>
      <c r="P609" s="23" t="s">
        <v>2116</v>
      </c>
      <c r="Q609" s="23">
        <v>3457.61</v>
      </c>
      <c r="R609" s="23">
        <v>3</v>
      </c>
      <c r="S609" s="23">
        <v>0.1</v>
      </c>
      <c r="T609" s="24">
        <v>774.29</v>
      </c>
    </row>
    <row r="610" spans="1:20" ht="15.6" x14ac:dyDescent="0.3">
      <c r="A610" s="13" t="s">
        <v>621</v>
      </c>
      <c r="B610" s="14">
        <v>45923</v>
      </c>
      <c r="C610" s="15">
        <v>45933</v>
      </c>
      <c r="D610" s="16" t="str">
        <f>TRIM('data cleaning'!$E610)</f>
        <v>Carlos Estrada</v>
      </c>
      <c r="E610" s="17" t="s">
        <v>1375</v>
      </c>
      <c r="F610" s="17" t="str">
        <f>TRIM('data cleaning'!$G610)</f>
        <v>Consumer</v>
      </c>
      <c r="G610" s="17" t="s">
        <v>1513</v>
      </c>
      <c r="H610" s="17" t="str">
        <f>TRIM('data cleaning'!$I610)</f>
        <v>North</v>
      </c>
      <c r="I610" s="17" t="s">
        <v>1516</v>
      </c>
      <c r="J610" s="17" t="str">
        <f>TRIM('data cleaning'!$K610)</f>
        <v>Technology</v>
      </c>
      <c r="K610" s="17" t="s">
        <v>1521</v>
      </c>
      <c r="L610" s="17" t="str">
        <f>TRIM('data cleaning'!$M610)</f>
        <v>Phones</v>
      </c>
      <c r="M610" s="17" t="s">
        <v>1530</v>
      </c>
      <c r="N610" s="17" t="str">
        <f>PROPER('data cleaning'!$O610)</f>
        <v>Quite Phones</v>
      </c>
      <c r="O610" s="17" t="str">
        <f>TRIM('data cleaning'!$P610)</f>
        <v>Quite Phones</v>
      </c>
      <c r="P610" s="17" t="s">
        <v>2117</v>
      </c>
      <c r="Q610" s="17">
        <v>1725.19</v>
      </c>
      <c r="R610" s="17">
        <v>1</v>
      </c>
      <c r="S610" s="17">
        <v>0</v>
      </c>
      <c r="T610" s="18">
        <v>-7.7</v>
      </c>
    </row>
    <row r="611" spans="1:20" ht="15.6" x14ac:dyDescent="0.3">
      <c r="A611" s="19" t="s">
        <v>622</v>
      </c>
      <c r="B611" s="20">
        <v>45537</v>
      </c>
      <c r="C611" s="21">
        <v>45541</v>
      </c>
      <c r="D611" s="22" t="str">
        <f>TRIM('data cleaning'!$E611)</f>
        <v>Jennifer Peterson</v>
      </c>
      <c r="E611" s="23" t="s">
        <v>1376</v>
      </c>
      <c r="F611" s="23" t="str">
        <f>TRIM('data cleaning'!$G611)</f>
        <v>Corporate</v>
      </c>
      <c r="G611" s="23" t="s">
        <v>1514</v>
      </c>
      <c r="H611" s="23" t="str">
        <f>TRIM('data cleaning'!$I611)</f>
        <v>South</v>
      </c>
      <c r="I611" s="23" t="s">
        <v>1517</v>
      </c>
      <c r="J611" s="23" t="str">
        <f>TRIM('data cleaning'!$K611)</f>
        <v>Furniture</v>
      </c>
      <c r="K611" s="23" t="s">
        <v>1522</v>
      </c>
      <c r="L611" s="23" t="str">
        <f>TRIM('data cleaning'!$M611)</f>
        <v>Tables</v>
      </c>
      <c r="M611" s="23" t="s">
        <v>1529</v>
      </c>
      <c r="N611" s="23" t="str">
        <f>PROPER('data cleaning'!$O611)</f>
        <v>Choose Tables</v>
      </c>
      <c r="O611" s="23" t="str">
        <f>TRIM('data cleaning'!$P611)</f>
        <v>Choose Tables</v>
      </c>
      <c r="P611" s="23" t="s">
        <v>2118</v>
      </c>
      <c r="Q611" s="23">
        <v>1617.86</v>
      </c>
      <c r="R611" s="23">
        <v>9</v>
      </c>
      <c r="S611" s="23"/>
      <c r="T611" s="24">
        <v>349.75</v>
      </c>
    </row>
    <row r="612" spans="1:20" ht="15.6" x14ac:dyDescent="0.3">
      <c r="A612" s="13" t="s">
        <v>623</v>
      </c>
      <c r="B612" s="14">
        <v>45686</v>
      </c>
      <c r="C612" s="15">
        <v>45693</v>
      </c>
      <c r="D612" s="16" t="str">
        <f>TRIM('data cleaning'!$E612)</f>
        <v>Louis Foster</v>
      </c>
      <c r="E612" s="17" t="s">
        <v>1377</v>
      </c>
      <c r="F612" s="17" t="str">
        <f>TRIM('data cleaning'!$G612)</f>
        <v>Corporate</v>
      </c>
      <c r="G612" s="17" t="s">
        <v>1514</v>
      </c>
      <c r="H612" s="17" t="str">
        <f>TRIM('data cleaning'!$I612)</f>
        <v>West</v>
      </c>
      <c r="I612" s="17" t="s">
        <v>1518</v>
      </c>
      <c r="J612" s="17" t="str">
        <f>TRIM('data cleaning'!$K612)</f>
        <v>Furniture</v>
      </c>
      <c r="K612" s="17" t="s">
        <v>1522</v>
      </c>
      <c r="L612" s="17" t="str">
        <f>TRIM('data cleaning'!$M612)</f>
        <v>Bookcases</v>
      </c>
      <c r="M612" s="17" t="s">
        <v>1527</v>
      </c>
      <c r="N612" s="17" t="str">
        <f>PROPER('data cleaning'!$O612)</f>
        <v>Tree Bookcases</v>
      </c>
      <c r="O612" s="17" t="str">
        <f>TRIM('data cleaning'!$P612)</f>
        <v>Tree Bookcases</v>
      </c>
      <c r="P612" s="17" t="s">
        <v>2119</v>
      </c>
      <c r="Q612" s="17">
        <v>1822.93</v>
      </c>
      <c r="R612" s="17">
        <v>3</v>
      </c>
      <c r="S612" s="17">
        <v>0.1</v>
      </c>
      <c r="T612" s="18">
        <v>536.41999999999996</v>
      </c>
    </row>
    <row r="613" spans="1:20" ht="15.6" x14ac:dyDescent="0.3">
      <c r="A613" s="19" t="s">
        <v>624</v>
      </c>
      <c r="B613" s="20">
        <v>45482</v>
      </c>
      <c r="C613" s="21">
        <v>45491</v>
      </c>
      <c r="D613" s="22" t="str">
        <f>TRIM('data cleaning'!$E613)</f>
        <v>Matthew Allen</v>
      </c>
      <c r="E613" s="23" t="s">
        <v>1378</v>
      </c>
      <c r="F613" s="23" t="str">
        <f>TRIM('data cleaning'!$G613)</f>
        <v>Corporate</v>
      </c>
      <c r="G613" s="23" t="s">
        <v>1514</v>
      </c>
      <c r="H613" s="23" t="str">
        <f>TRIM('data cleaning'!$I613)</f>
        <v>East</v>
      </c>
      <c r="I613" s="23" t="s">
        <v>1519</v>
      </c>
      <c r="J613" s="23" t="str">
        <f>TRIM('data cleaning'!$K613)</f>
        <v>Office Supplies</v>
      </c>
      <c r="K613" s="23" t="s">
        <v>1520</v>
      </c>
      <c r="L613" s="23" t="str">
        <f>TRIM('data cleaning'!$M613)</f>
        <v>Paper</v>
      </c>
      <c r="M613" s="23" t="s">
        <v>1524</v>
      </c>
      <c r="N613" s="23" t="str">
        <f>PROPER('data cleaning'!$O613)</f>
        <v>Begin Paper</v>
      </c>
      <c r="O613" s="23" t="str">
        <f>TRIM('data cleaning'!$P613)</f>
        <v>Begin Paper</v>
      </c>
      <c r="P613" s="23" t="s">
        <v>2120</v>
      </c>
      <c r="Q613" s="23">
        <v>3500.34</v>
      </c>
      <c r="R613" s="23">
        <v>4</v>
      </c>
      <c r="S613" s="23">
        <v>0.2</v>
      </c>
      <c r="T613" s="24">
        <v>-340.78</v>
      </c>
    </row>
    <row r="614" spans="1:20" ht="15.6" x14ac:dyDescent="0.3">
      <c r="A614" s="13" t="s">
        <v>625</v>
      </c>
      <c r="B614" s="14" t="s">
        <v>778</v>
      </c>
      <c r="C614" s="15">
        <v>45837</v>
      </c>
      <c r="D614" s="16" t="str">
        <f>TRIM('data cleaning'!$E614)</f>
        <v>Jeffrey Smith</v>
      </c>
      <c r="E614" s="17" t="s">
        <v>1379</v>
      </c>
      <c r="F614" s="17" t="str">
        <f>TRIM('data cleaning'!$G614)</f>
        <v>Home Office</v>
      </c>
      <c r="G614" s="17" t="s">
        <v>1515</v>
      </c>
      <c r="H614" s="17" t="str">
        <f>TRIM('data cleaning'!$I614)</f>
        <v>South</v>
      </c>
      <c r="I614" s="17" t="s">
        <v>1517</v>
      </c>
      <c r="J614" s="17" t="str">
        <f>TRIM('data cleaning'!$K614)</f>
        <v>Office Supplies</v>
      </c>
      <c r="K614" s="17" t="s">
        <v>1520</v>
      </c>
      <c r="L614" s="17" t="str">
        <f>TRIM('data cleaning'!$M614)</f>
        <v>Paper</v>
      </c>
      <c r="M614" s="17" t="s">
        <v>1524</v>
      </c>
      <c r="N614" s="17" t="str">
        <f>PROPER('data cleaning'!$O614)</f>
        <v>Risk Paper</v>
      </c>
      <c r="O614" s="17" t="str">
        <f>TRIM('data cleaning'!$P614)</f>
        <v>Risk Paper</v>
      </c>
      <c r="P614" s="17" t="s">
        <v>2121</v>
      </c>
      <c r="Q614" s="17">
        <v>4344.93</v>
      </c>
      <c r="R614" s="17">
        <v>10</v>
      </c>
      <c r="S614" s="17">
        <v>0.2</v>
      </c>
      <c r="T614" s="18">
        <v>-485.81</v>
      </c>
    </row>
    <row r="615" spans="1:20" ht="15.6" x14ac:dyDescent="0.3">
      <c r="A615" s="19" t="s">
        <v>626</v>
      </c>
      <c r="B615" s="20">
        <v>45201</v>
      </c>
      <c r="C615" s="21">
        <v>45206</v>
      </c>
      <c r="D615" s="22" t="str">
        <f>TRIM('data cleaning'!$E615)</f>
        <v>Mr. Michael Blake</v>
      </c>
      <c r="E615" s="23" t="s">
        <v>1380</v>
      </c>
      <c r="F615" s="23" t="str">
        <f>TRIM('data cleaning'!$G615)</f>
        <v>Home Office</v>
      </c>
      <c r="G615" s="23" t="s">
        <v>1515</v>
      </c>
      <c r="H615" s="23" t="str">
        <f>TRIM('data cleaning'!$I615)</f>
        <v>West</v>
      </c>
      <c r="I615" s="23" t="s">
        <v>1518</v>
      </c>
      <c r="J615" s="23" t="str">
        <f>TRIM('data cleaning'!$K615)</f>
        <v>Technology</v>
      </c>
      <c r="K615" s="23" t="s">
        <v>1521</v>
      </c>
      <c r="L615" s="23" t="str">
        <f>TRIM('data cleaning'!$M615)</f>
        <v>Accessories</v>
      </c>
      <c r="M615" s="23" t="s">
        <v>1526</v>
      </c>
      <c r="N615" s="23" t="str">
        <f>PROPER('data cleaning'!$O615)</f>
        <v>Focus Accessories</v>
      </c>
      <c r="O615" s="23" t="str">
        <f>TRIM('data cleaning'!$P615)</f>
        <v>Focus Accessories</v>
      </c>
      <c r="P615" s="23" t="s">
        <v>2122</v>
      </c>
      <c r="Q615" s="23">
        <v>2730.95</v>
      </c>
      <c r="R615" s="23">
        <v>8</v>
      </c>
      <c r="S615" s="23">
        <v>0</v>
      </c>
      <c r="T615" s="24">
        <v>619.26</v>
      </c>
    </row>
    <row r="616" spans="1:20" ht="15.6" x14ac:dyDescent="0.3">
      <c r="A616" s="13" t="s">
        <v>627</v>
      </c>
      <c r="B616" s="14">
        <v>45689</v>
      </c>
      <c r="C616" s="15">
        <v>45690</v>
      </c>
      <c r="D616" s="16" t="str">
        <f>TRIM('data cleaning'!$E616)</f>
        <v>Julia Jones</v>
      </c>
      <c r="E616" s="17" t="s">
        <v>1381</v>
      </c>
      <c r="F616" s="17" t="str">
        <f>TRIM('data cleaning'!$G616)</f>
        <v>Home Office</v>
      </c>
      <c r="G616" s="17" t="s">
        <v>1515</v>
      </c>
      <c r="H616" s="17" t="str">
        <f>TRIM('data cleaning'!$I616)</f>
        <v>North</v>
      </c>
      <c r="I616" s="17" t="s">
        <v>1516</v>
      </c>
      <c r="J616" s="17" t="str">
        <f>TRIM('data cleaning'!$K616)</f>
        <v>Office Supplies</v>
      </c>
      <c r="K616" s="17" t="s">
        <v>1520</v>
      </c>
      <c r="L616" s="17" t="str">
        <f>TRIM('data cleaning'!$M616)</f>
        <v>Binders</v>
      </c>
      <c r="M616" s="17" t="s">
        <v>1523</v>
      </c>
      <c r="N616" s="17" t="str">
        <f>PROPER('data cleaning'!$O616)</f>
        <v>Phone Binders</v>
      </c>
      <c r="O616" s="17" t="str">
        <f>TRIM('data cleaning'!$P616)</f>
        <v>Phone Binders</v>
      </c>
      <c r="P616" s="17" t="s">
        <v>2123</v>
      </c>
      <c r="Q616" s="17">
        <v>3117.69</v>
      </c>
      <c r="R616" s="17">
        <v>6</v>
      </c>
      <c r="S616" s="17">
        <v>0.2</v>
      </c>
      <c r="T616" s="18">
        <v>-214.08</v>
      </c>
    </row>
    <row r="617" spans="1:20" ht="15.6" x14ac:dyDescent="0.3">
      <c r="A617" s="19" t="s">
        <v>628</v>
      </c>
      <c r="B617" s="20">
        <v>45551</v>
      </c>
      <c r="C617" s="21">
        <v>45558</v>
      </c>
      <c r="D617" s="22" t="str">
        <f>TRIM('data cleaning'!$E617)</f>
        <v>Cynthia Roberts</v>
      </c>
      <c r="E617" s="23" t="s">
        <v>1382</v>
      </c>
      <c r="F617" s="23" t="str">
        <f>TRIM('data cleaning'!$G617)</f>
        <v>Corporate</v>
      </c>
      <c r="G617" s="23" t="s">
        <v>1514</v>
      </c>
      <c r="H617" s="23" t="str">
        <f>TRIM('data cleaning'!$I617)</f>
        <v>East</v>
      </c>
      <c r="I617" s="23" t="s">
        <v>1519</v>
      </c>
      <c r="J617" s="23" t="str">
        <f>TRIM('data cleaning'!$K617)</f>
        <v>Office Supplies</v>
      </c>
      <c r="K617" s="23" t="s">
        <v>1520</v>
      </c>
      <c r="L617" s="23" t="str">
        <f>TRIM('data cleaning'!$M617)</f>
        <v>Storage</v>
      </c>
      <c r="M617" s="23" t="s">
        <v>1525</v>
      </c>
      <c r="N617" s="23" t="str">
        <f>PROPER('data cleaning'!$O617)</f>
        <v>Argue Storage</v>
      </c>
      <c r="O617" s="23" t="str">
        <f>TRIM('data cleaning'!$P617)</f>
        <v>Argue Storage</v>
      </c>
      <c r="P617" s="23" t="s">
        <v>2124</v>
      </c>
      <c r="Q617" s="23">
        <v>989.85</v>
      </c>
      <c r="R617" s="23">
        <v>8</v>
      </c>
      <c r="S617" s="23">
        <v>0.2</v>
      </c>
      <c r="T617" s="24">
        <v>-114.06</v>
      </c>
    </row>
    <row r="618" spans="1:20" ht="15.6" x14ac:dyDescent="0.3">
      <c r="A618" s="13" t="s">
        <v>629</v>
      </c>
      <c r="B618" s="14">
        <v>45254</v>
      </c>
      <c r="C618" s="15">
        <v>45260</v>
      </c>
      <c r="D618" s="16" t="str">
        <f>TRIM('data cleaning'!$E618)</f>
        <v>Andrew Schneider</v>
      </c>
      <c r="E618" s="17" t="s">
        <v>1383</v>
      </c>
      <c r="F618" s="17" t="str">
        <f>TRIM('data cleaning'!$G618)</f>
        <v>Consumer</v>
      </c>
      <c r="G618" s="17" t="s">
        <v>1513</v>
      </c>
      <c r="H618" s="17" t="str">
        <f>TRIM('data cleaning'!$I618)</f>
        <v>South</v>
      </c>
      <c r="I618" s="17" t="s">
        <v>1517</v>
      </c>
      <c r="J618" s="17" t="str">
        <f>TRIM('data cleaning'!$K618)</f>
        <v>Technology</v>
      </c>
      <c r="K618" s="17" t="s">
        <v>1521</v>
      </c>
      <c r="L618" s="17" t="str">
        <f>TRIM('data cleaning'!$M618)</f>
        <v>Laptops</v>
      </c>
      <c r="M618" s="17" t="s">
        <v>1528</v>
      </c>
      <c r="N618" s="17" t="str">
        <f>PROPER('data cleaning'!$O618)</f>
        <v>When Laptops</v>
      </c>
      <c r="O618" s="17" t="str">
        <f>TRIM('data cleaning'!$P618)</f>
        <v>When Laptops</v>
      </c>
      <c r="P618" s="17" t="s">
        <v>2125</v>
      </c>
      <c r="Q618" s="17">
        <v>596.79999999999995</v>
      </c>
      <c r="R618" s="17">
        <v>9</v>
      </c>
      <c r="S618" s="17"/>
      <c r="T618" s="18">
        <v>-97.47</v>
      </c>
    </row>
    <row r="619" spans="1:20" ht="15.6" x14ac:dyDescent="0.3">
      <c r="A619" s="19" t="s">
        <v>630</v>
      </c>
      <c r="B619" s="20" t="s">
        <v>779</v>
      </c>
      <c r="C619" s="21">
        <v>45994</v>
      </c>
      <c r="D619" s="22" t="str">
        <f>TRIM('data cleaning'!$E619)</f>
        <v>Jennifer Jacobs</v>
      </c>
      <c r="E619" s="23" t="s">
        <v>1384</v>
      </c>
      <c r="F619" s="23" t="str">
        <f>TRIM('data cleaning'!$G619)</f>
        <v>Corporate</v>
      </c>
      <c r="G619" s="23" t="s">
        <v>1514</v>
      </c>
      <c r="H619" s="23" t="str">
        <f>TRIM('data cleaning'!$I619)</f>
        <v>West</v>
      </c>
      <c r="I619" s="23" t="s">
        <v>1518</v>
      </c>
      <c r="J619" s="23" t="str">
        <f>TRIM('data cleaning'!$K619)</f>
        <v>Furniture</v>
      </c>
      <c r="K619" s="23" t="s">
        <v>1522</v>
      </c>
      <c r="L619" s="23" t="str">
        <f>TRIM('data cleaning'!$M619)</f>
        <v>Chairs</v>
      </c>
      <c r="M619" s="23" t="s">
        <v>1531</v>
      </c>
      <c r="N619" s="23" t="str">
        <f>PROPER('data cleaning'!$O619)</f>
        <v>Buy Chairs</v>
      </c>
      <c r="O619" s="23" t="str">
        <f>TRIM('data cleaning'!$P619)</f>
        <v>Buy Chairs</v>
      </c>
      <c r="P619" s="23" t="s">
        <v>2126</v>
      </c>
      <c r="Q619" s="23">
        <v>2452.58</v>
      </c>
      <c r="R619" s="23">
        <v>2</v>
      </c>
      <c r="S619" s="23">
        <v>0</v>
      </c>
      <c r="T619" s="24">
        <v>279.73</v>
      </c>
    </row>
    <row r="620" spans="1:20" ht="15.6" x14ac:dyDescent="0.3">
      <c r="A620" s="13" t="s">
        <v>631</v>
      </c>
      <c r="B620" s="14">
        <v>45123</v>
      </c>
      <c r="C620" s="15">
        <v>45133</v>
      </c>
      <c r="D620" s="16" t="str">
        <f>TRIM('data cleaning'!$E620)</f>
        <v>Derek Alvarado</v>
      </c>
      <c r="E620" s="17" t="s">
        <v>1385</v>
      </c>
      <c r="F620" s="17" t="str">
        <f>TRIM('data cleaning'!$G620)</f>
        <v>Consumer</v>
      </c>
      <c r="G620" s="17" t="s">
        <v>1513</v>
      </c>
      <c r="H620" s="17" t="str">
        <f>TRIM('data cleaning'!$I620)</f>
        <v>North</v>
      </c>
      <c r="I620" s="17" t="s">
        <v>1516</v>
      </c>
      <c r="J620" s="17" t="str">
        <f>TRIM('data cleaning'!$K620)</f>
        <v>Office Supplies</v>
      </c>
      <c r="K620" s="17" t="s">
        <v>1520</v>
      </c>
      <c r="L620" s="17" t="str">
        <f>TRIM('data cleaning'!$M620)</f>
        <v>Storage</v>
      </c>
      <c r="M620" s="17" t="s">
        <v>1525</v>
      </c>
      <c r="N620" s="17" t="str">
        <f>PROPER('data cleaning'!$O620)</f>
        <v>Anything Storage</v>
      </c>
      <c r="O620" s="17" t="str">
        <f>TRIM('data cleaning'!$P620)</f>
        <v>Anything Storage</v>
      </c>
      <c r="P620" s="17" t="s">
        <v>2127</v>
      </c>
      <c r="Q620" s="17">
        <v>1316.9</v>
      </c>
      <c r="R620" s="17">
        <v>6</v>
      </c>
      <c r="S620" s="17">
        <v>0.05</v>
      </c>
      <c r="T620" s="18">
        <v>175.51</v>
      </c>
    </row>
    <row r="621" spans="1:20" ht="15.6" x14ac:dyDescent="0.3">
      <c r="A621" s="19" t="s">
        <v>632</v>
      </c>
      <c r="B621" s="20">
        <v>45261</v>
      </c>
      <c r="C621" s="21">
        <v>45269</v>
      </c>
      <c r="D621" s="22" t="str">
        <f>TRIM('data cleaning'!$E621)</f>
        <v>Pamela Taylor</v>
      </c>
      <c r="E621" s="23" t="s">
        <v>1386</v>
      </c>
      <c r="F621" s="23" t="str">
        <f>TRIM('data cleaning'!$G621)</f>
        <v>Consumer</v>
      </c>
      <c r="G621" s="23" t="s">
        <v>1513</v>
      </c>
      <c r="H621" s="23" t="str">
        <f>TRIM('data cleaning'!$I621)</f>
        <v>East</v>
      </c>
      <c r="I621" s="23" t="s">
        <v>1519</v>
      </c>
      <c r="J621" s="23" t="str">
        <f>TRIM('data cleaning'!$K621)</f>
        <v>Furniture</v>
      </c>
      <c r="K621" s="23" t="s">
        <v>1522</v>
      </c>
      <c r="L621" s="23" t="str">
        <f>TRIM('data cleaning'!$M621)</f>
        <v>Bookcases</v>
      </c>
      <c r="M621" s="23" t="s">
        <v>1527</v>
      </c>
      <c r="N621" s="23" t="str">
        <f>PROPER('data cleaning'!$O621)</f>
        <v>Outside Bookcases</v>
      </c>
      <c r="O621" s="23" t="str">
        <f>TRIM('data cleaning'!$P621)</f>
        <v>Outside Bookcases</v>
      </c>
      <c r="P621" s="23" t="s">
        <v>2128</v>
      </c>
      <c r="Q621" s="23">
        <v>4645.6000000000004</v>
      </c>
      <c r="R621" s="23">
        <v>2</v>
      </c>
      <c r="S621" s="23">
        <v>0.15</v>
      </c>
      <c r="T621" s="24">
        <v>1117.55</v>
      </c>
    </row>
    <row r="622" spans="1:20" ht="15.6" x14ac:dyDescent="0.3">
      <c r="A622" s="13" t="s">
        <v>633</v>
      </c>
      <c r="B622" s="14">
        <v>45526</v>
      </c>
      <c r="C622" s="15">
        <v>45533</v>
      </c>
      <c r="D622" s="16" t="str">
        <f>TRIM('data cleaning'!$E622)</f>
        <v>Kristina Kennedy</v>
      </c>
      <c r="E622" s="17" t="s">
        <v>1387</v>
      </c>
      <c r="F622" s="17" t="str">
        <f>TRIM('data cleaning'!$G622)</f>
        <v>Consumer</v>
      </c>
      <c r="G622" s="17" t="s">
        <v>1513</v>
      </c>
      <c r="H622" s="17" t="str">
        <f>TRIM('data cleaning'!$I622)</f>
        <v>North</v>
      </c>
      <c r="I622" s="17" t="s">
        <v>1516</v>
      </c>
      <c r="J622" s="17" t="str">
        <f>TRIM('data cleaning'!$K622)</f>
        <v>Office Supplies</v>
      </c>
      <c r="K622" s="17" t="s">
        <v>1520</v>
      </c>
      <c r="L622" s="17" t="str">
        <f>TRIM('data cleaning'!$M622)</f>
        <v>Storage</v>
      </c>
      <c r="M622" s="17" t="s">
        <v>1525</v>
      </c>
      <c r="N622" s="17" t="str">
        <f>PROPER('data cleaning'!$O622)</f>
        <v>Minute Storage</v>
      </c>
      <c r="O622" s="17" t="str">
        <f>TRIM('data cleaning'!$P622)</f>
        <v>Minute Storage</v>
      </c>
      <c r="P622" s="17" t="s">
        <v>2129</v>
      </c>
      <c r="Q622" s="17">
        <v>4119.03</v>
      </c>
      <c r="R622" s="17">
        <v>1</v>
      </c>
      <c r="S622" s="17">
        <v>0.2</v>
      </c>
      <c r="T622" s="18">
        <v>-221.61</v>
      </c>
    </row>
    <row r="623" spans="1:20" ht="15.6" x14ac:dyDescent="0.3">
      <c r="A623" s="19" t="s">
        <v>634</v>
      </c>
      <c r="B623" s="20">
        <v>45168</v>
      </c>
      <c r="C623" s="21">
        <v>45172</v>
      </c>
      <c r="D623" s="22" t="str">
        <f>TRIM('data cleaning'!$E623)</f>
        <v>Jillian Lawrence</v>
      </c>
      <c r="E623" s="23" t="s">
        <v>1388</v>
      </c>
      <c r="F623" s="23" t="str">
        <f>TRIM('data cleaning'!$G623)</f>
        <v>Home Office</v>
      </c>
      <c r="G623" s="23" t="s">
        <v>1515</v>
      </c>
      <c r="H623" s="23" t="str">
        <f>TRIM('data cleaning'!$I623)</f>
        <v>West</v>
      </c>
      <c r="I623" s="23" t="s">
        <v>1518</v>
      </c>
      <c r="J623" s="23" t="str">
        <f>TRIM('data cleaning'!$K623)</f>
        <v>Technology</v>
      </c>
      <c r="K623" s="23" t="s">
        <v>1521</v>
      </c>
      <c r="L623" s="23" t="str">
        <f>TRIM('data cleaning'!$M623)</f>
        <v>Phones</v>
      </c>
      <c r="M623" s="23" t="s">
        <v>1530</v>
      </c>
      <c r="N623" s="23" t="str">
        <f>PROPER('data cleaning'!$O623)</f>
        <v>Couple Phones</v>
      </c>
      <c r="O623" s="23" t="str">
        <f>TRIM('data cleaning'!$P623)</f>
        <v>Couple Phones</v>
      </c>
      <c r="P623" s="23" t="s">
        <v>2130</v>
      </c>
      <c r="Q623" s="23">
        <v>4804.8999999999996</v>
      </c>
      <c r="R623" s="23">
        <v>2</v>
      </c>
      <c r="S623" s="23">
        <v>0</v>
      </c>
      <c r="T623" s="24">
        <v>955.43</v>
      </c>
    </row>
    <row r="624" spans="1:20" ht="15.6" x14ac:dyDescent="0.3">
      <c r="A624" s="13" t="s">
        <v>635</v>
      </c>
      <c r="B624" s="14">
        <v>45257</v>
      </c>
      <c r="C624" s="15">
        <v>45266</v>
      </c>
      <c r="D624" s="16" t="str">
        <f>TRIM('data cleaning'!$E624)</f>
        <v>Daniel Campbell</v>
      </c>
      <c r="E624" s="17" t="s">
        <v>1389</v>
      </c>
      <c r="F624" s="17" t="str">
        <f>TRIM('data cleaning'!$G624)</f>
        <v>Home Office</v>
      </c>
      <c r="G624" s="17" t="s">
        <v>1515</v>
      </c>
      <c r="H624" s="17" t="str">
        <f>TRIM('data cleaning'!$I624)</f>
        <v>West</v>
      </c>
      <c r="I624" s="17" t="s">
        <v>1518</v>
      </c>
      <c r="J624" s="17" t="str">
        <f>TRIM('data cleaning'!$K624)</f>
        <v>Furniture</v>
      </c>
      <c r="K624" s="17" t="s">
        <v>1522</v>
      </c>
      <c r="L624" s="17" t="str">
        <f>TRIM('data cleaning'!$M624)</f>
        <v>Chairs</v>
      </c>
      <c r="M624" s="17" t="s">
        <v>1531</v>
      </c>
      <c r="N624" s="17" t="str">
        <f>PROPER('data cleaning'!$O624)</f>
        <v>Carry Chairs</v>
      </c>
      <c r="O624" s="17" t="str">
        <f>TRIM('data cleaning'!$P624)</f>
        <v>Carry Chairs</v>
      </c>
      <c r="P624" s="17" t="s">
        <v>2131</v>
      </c>
      <c r="Q624" s="17">
        <v>3301.54</v>
      </c>
      <c r="R624" s="17">
        <v>10</v>
      </c>
      <c r="S624" s="17"/>
      <c r="T624" s="18">
        <v>1060.21</v>
      </c>
    </row>
    <row r="625" spans="1:20" ht="15.6" x14ac:dyDescent="0.3">
      <c r="A625" s="19" t="s">
        <v>636</v>
      </c>
      <c r="B625" s="20">
        <v>46154</v>
      </c>
      <c r="C625" s="21">
        <v>46164</v>
      </c>
      <c r="D625" s="22" t="str">
        <f>TRIM('data cleaning'!$E625)</f>
        <v>Andre Fox</v>
      </c>
      <c r="E625" s="23" t="s">
        <v>1390</v>
      </c>
      <c r="F625" s="23" t="str">
        <f>TRIM('data cleaning'!$G625)</f>
        <v>Consumer</v>
      </c>
      <c r="G625" s="23" t="s">
        <v>1513</v>
      </c>
      <c r="H625" s="23" t="str">
        <f>TRIM('data cleaning'!$I625)</f>
        <v>South</v>
      </c>
      <c r="I625" s="23" t="s">
        <v>1517</v>
      </c>
      <c r="J625" s="23" t="str">
        <f>TRIM('data cleaning'!$K625)</f>
        <v>Office Supplies</v>
      </c>
      <c r="K625" s="23" t="s">
        <v>1520</v>
      </c>
      <c r="L625" s="23" t="str">
        <f>TRIM('data cleaning'!$M625)</f>
        <v>Binders</v>
      </c>
      <c r="M625" s="23" t="s">
        <v>1523</v>
      </c>
      <c r="N625" s="23" t="str">
        <f>PROPER('data cleaning'!$O625)</f>
        <v>Source Binders</v>
      </c>
      <c r="O625" s="23" t="str">
        <f>TRIM('data cleaning'!$P625)</f>
        <v>Source Binders</v>
      </c>
      <c r="P625" s="23" t="s">
        <v>2132</v>
      </c>
      <c r="Q625" s="23">
        <v>1821.92</v>
      </c>
      <c r="R625" s="23">
        <v>8</v>
      </c>
      <c r="S625" s="23"/>
      <c r="T625" s="24">
        <v>302.23</v>
      </c>
    </row>
    <row r="626" spans="1:20" ht="15.6" x14ac:dyDescent="0.3">
      <c r="A626" s="13" t="s">
        <v>637</v>
      </c>
      <c r="B626" s="14">
        <v>45765</v>
      </c>
      <c r="C626" s="15">
        <v>45772</v>
      </c>
      <c r="D626" s="16" t="str">
        <f>TRIM('data cleaning'!$E626)</f>
        <v>Debra Peterson</v>
      </c>
      <c r="E626" s="17" t="s">
        <v>1391</v>
      </c>
      <c r="F626" s="17" t="str">
        <f>TRIM('data cleaning'!$G626)</f>
        <v>Corporate</v>
      </c>
      <c r="G626" s="17" t="s">
        <v>1514</v>
      </c>
      <c r="H626" s="17" t="str">
        <f>TRIM('data cleaning'!$I626)</f>
        <v>East</v>
      </c>
      <c r="I626" s="17" t="s">
        <v>1519</v>
      </c>
      <c r="J626" s="17" t="str">
        <f>TRIM('data cleaning'!$K626)</f>
        <v>Furniture</v>
      </c>
      <c r="K626" s="17" t="s">
        <v>1522</v>
      </c>
      <c r="L626" s="17" t="str">
        <f>TRIM('data cleaning'!$M626)</f>
        <v>Bookcases</v>
      </c>
      <c r="M626" s="17" t="s">
        <v>1527</v>
      </c>
      <c r="N626" s="17" t="str">
        <f>PROPER('data cleaning'!$O626)</f>
        <v>Space Bookcases</v>
      </c>
      <c r="O626" s="17" t="str">
        <f>TRIM('data cleaning'!$P626)</f>
        <v>Space Bookcases</v>
      </c>
      <c r="P626" s="17" t="s">
        <v>2133</v>
      </c>
      <c r="Q626" s="17">
        <v>2548.23</v>
      </c>
      <c r="R626" s="17">
        <v>3</v>
      </c>
      <c r="S626" s="17">
        <v>0.2</v>
      </c>
      <c r="T626" s="18">
        <v>889.69</v>
      </c>
    </row>
    <row r="627" spans="1:20" ht="15.6" x14ac:dyDescent="0.3">
      <c r="A627" s="19" t="s">
        <v>638</v>
      </c>
      <c r="B627" s="20">
        <v>46081</v>
      </c>
      <c r="C627" s="21">
        <v>46087</v>
      </c>
      <c r="D627" s="22" t="str">
        <f>TRIM('data cleaning'!$E627)</f>
        <v>Allison Hess</v>
      </c>
      <c r="E627" s="23" t="s">
        <v>1392</v>
      </c>
      <c r="F627" s="23" t="str">
        <f>TRIM('data cleaning'!$G627)</f>
        <v>Home Office</v>
      </c>
      <c r="G627" s="23" t="s">
        <v>1515</v>
      </c>
      <c r="H627" s="23" t="str">
        <f>TRIM('data cleaning'!$I627)</f>
        <v>East</v>
      </c>
      <c r="I627" s="23" t="s">
        <v>1519</v>
      </c>
      <c r="J627" s="23" t="str">
        <f>TRIM('data cleaning'!$K627)</f>
        <v>Technology</v>
      </c>
      <c r="K627" s="23" t="s">
        <v>1521</v>
      </c>
      <c r="L627" s="23" t="str">
        <f>TRIM('data cleaning'!$M627)</f>
        <v>Laptops</v>
      </c>
      <c r="M627" s="23" t="s">
        <v>1528</v>
      </c>
      <c r="N627" s="23" t="str">
        <f>PROPER('data cleaning'!$O627)</f>
        <v>Hit Laptops</v>
      </c>
      <c r="O627" s="23" t="str">
        <f>TRIM('data cleaning'!$P627)</f>
        <v>Hit Laptops</v>
      </c>
      <c r="P627" s="23" t="s">
        <v>2134</v>
      </c>
      <c r="Q627" s="23">
        <v>4232.03</v>
      </c>
      <c r="R627" s="23">
        <v>7</v>
      </c>
      <c r="S627" s="23"/>
      <c r="T627" s="24">
        <v>155.84</v>
      </c>
    </row>
    <row r="628" spans="1:20" ht="15.6" x14ac:dyDescent="0.3">
      <c r="A628" s="13" t="s">
        <v>639</v>
      </c>
      <c r="B628" s="14">
        <v>46145</v>
      </c>
      <c r="C628" s="15">
        <v>46155</v>
      </c>
      <c r="D628" s="16" t="str">
        <f>TRIM('data cleaning'!$E628)</f>
        <v>Johnny Flores</v>
      </c>
      <c r="E628" s="17" t="s">
        <v>1393</v>
      </c>
      <c r="F628" s="17" t="str">
        <f>TRIM('data cleaning'!$G628)</f>
        <v>Corporate</v>
      </c>
      <c r="G628" s="17" t="s">
        <v>1514</v>
      </c>
      <c r="H628" s="17" t="str">
        <f>TRIM('data cleaning'!$I628)</f>
        <v>East</v>
      </c>
      <c r="I628" s="17" t="s">
        <v>1519</v>
      </c>
      <c r="J628" s="17" t="str">
        <f>TRIM('data cleaning'!$K628)</f>
        <v>Office Supplies</v>
      </c>
      <c r="K628" s="17" t="s">
        <v>1520</v>
      </c>
      <c r="L628" s="17" t="str">
        <f>TRIM('data cleaning'!$M628)</f>
        <v>Binders</v>
      </c>
      <c r="M628" s="17" t="s">
        <v>1523</v>
      </c>
      <c r="N628" s="17" t="str">
        <f>PROPER('data cleaning'!$O628)</f>
        <v>High Binders</v>
      </c>
      <c r="O628" s="17" t="str">
        <f>TRIM('data cleaning'!$P628)</f>
        <v>High Binders</v>
      </c>
      <c r="P628" s="17" t="s">
        <v>2135</v>
      </c>
      <c r="Q628" s="17">
        <v>2750.85</v>
      </c>
      <c r="R628" s="17">
        <v>7</v>
      </c>
      <c r="S628" s="17">
        <v>0.2</v>
      </c>
      <c r="T628" s="18">
        <v>851.06</v>
      </c>
    </row>
    <row r="629" spans="1:20" ht="15.6" x14ac:dyDescent="0.3">
      <c r="A629" s="19" t="s">
        <v>640</v>
      </c>
      <c r="B629" s="20">
        <v>45983</v>
      </c>
      <c r="C629" s="21">
        <v>45990</v>
      </c>
      <c r="D629" s="22" t="str">
        <f>TRIM('data cleaning'!$E629)</f>
        <v>Jason Gregory</v>
      </c>
      <c r="E629" s="23" t="s">
        <v>1394</v>
      </c>
      <c r="F629" s="23" t="str">
        <f>TRIM('data cleaning'!$G629)</f>
        <v>Home Office</v>
      </c>
      <c r="G629" s="23" t="s">
        <v>1515</v>
      </c>
      <c r="H629" s="23" t="str">
        <f>TRIM('data cleaning'!$I629)</f>
        <v>South</v>
      </c>
      <c r="I629" s="23" t="s">
        <v>1517</v>
      </c>
      <c r="J629" s="23" t="str">
        <f>TRIM('data cleaning'!$K629)</f>
        <v>Technology</v>
      </c>
      <c r="K629" s="23" t="s">
        <v>1521</v>
      </c>
      <c r="L629" s="23" t="str">
        <f>TRIM('data cleaning'!$M629)</f>
        <v>Accessories</v>
      </c>
      <c r="M629" s="23" t="s">
        <v>1526</v>
      </c>
      <c r="N629" s="23" t="str">
        <f>PROPER('data cleaning'!$O629)</f>
        <v>Left Accessories</v>
      </c>
      <c r="O629" s="23" t="str">
        <f>TRIM('data cleaning'!$P629)</f>
        <v>Left Accessories</v>
      </c>
      <c r="P629" s="23" t="s">
        <v>2136</v>
      </c>
      <c r="Q629" s="23">
        <v>50.97</v>
      </c>
      <c r="R629" s="23">
        <v>1</v>
      </c>
      <c r="S629" s="23">
        <v>0.1</v>
      </c>
      <c r="T629" s="24">
        <v>6.51</v>
      </c>
    </row>
    <row r="630" spans="1:20" ht="15.6" x14ac:dyDescent="0.3">
      <c r="A630" s="13" t="s">
        <v>641</v>
      </c>
      <c r="B630" s="14">
        <v>45266</v>
      </c>
      <c r="C630" s="15">
        <v>45271</v>
      </c>
      <c r="D630" s="16" t="str">
        <f>TRIM('data cleaning'!$E630)</f>
        <v>Douglas Anderson</v>
      </c>
      <c r="E630" s="17" t="s">
        <v>1395</v>
      </c>
      <c r="F630" s="17" t="str">
        <f>TRIM('data cleaning'!$G630)</f>
        <v>Home Office</v>
      </c>
      <c r="G630" s="17" t="s">
        <v>1515</v>
      </c>
      <c r="H630" s="17" t="str">
        <f>TRIM('data cleaning'!$I630)</f>
        <v>East</v>
      </c>
      <c r="I630" s="17" t="s">
        <v>1519</v>
      </c>
      <c r="J630" s="17" t="str">
        <f>TRIM('data cleaning'!$K630)</f>
        <v>Technology</v>
      </c>
      <c r="K630" s="17" t="s">
        <v>1521</v>
      </c>
      <c r="L630" s="17" t="str">
        <f>TRIM('data cleaning'!$M630)</f>
        <v>Phones</v>
      </c>
      <c r="M630" s="17" t="s">
        <v>1530</v>
      </c>
      <c r="N630" s="17" t="str">
        <f>PROPER('data cleaning'!$O630)</f>
        <v>Real Phones</v>
      </c>
      <c r="O630" s="17" t="str">
        <f>TRIM('data cleaning'!$P630)</f>
        <v>Real Phones</v>
      </c>
      <c r="P630" s="17" t="s">
        <v>2137</v>
      </c>
      <c r="Q630" s="17">
        <v>4922.75</v>
      </c>
      <c r="R630" s="17">
        <v>4</v>
      </c>
      <c r="S630" s="17">
        <v>0.1</v>
      </c>
      <c r="T630" s="18">
        <v>-925.79</v>
      </c>
    </row>
    <row r="631" spans="1:20" ht="15.6" x14ac:dyDescent="0.3">
      <c r="A631" s="19" t="s">
        <v>642</v>
      </c>
      <c r="B631" s="20">
        <v>46117</v>
      </c>
      <c r="C631" s="21">
        <v>46126</v>
      </c>
      <c r="D631" s="22" t="str">
        <f>TRIM('data cleaning'!$E631)</f>
        <v>Antonio Vargas</v>
      </c>
      <c r="E631" s="23" t="s">
        <v>1396</v>
      </c>
      <c r="F631" s="23" t="str">
        <f>TRIM('data cleaning'!$G631)</f>
        <v>Corporate</v>
      </c>
      <c r="G631" s="23" t="s">
        <v>1514</v>
      </c>
      <c r="H631" s="23" t="str">
        <f>TRIM('data cleaning'!$I631)</f>
        <v>East</v>
      </c>
      <c r="I631" s="23" t="s">
        <v>1519</v>
      </c>
      <c r="J631" s="23" t="str">
        <f>TRIM('data cleaning'!$K631)</f>
        <v>Office Supplies</v>
      </c>
      <c r="K631" s="23" t="s">
        <v>1520</v>
      </c>
      <c r="L631" s="23" t="str">
        <f>TRIM('data cleaning'!$M631)</f>
        <v>Storage</v>
      </c>
      <c r="M631" s="23" t="s">
        <v>1525</v>
      </c>
      <c r="N631" s="23" t="str">
        <f>PROPER('data cleaning'!$O631)</f>
        <v>Individual Storage</v>
      </c>
      <c r="O631" s="23" t="str">
        <f>TRIM('data cleaning'!$P631)</f>
        <v>Individual Storage</v>
      </c>
      <c r="P631" s="23" t="s">
        <v>2138</v>
      </c>
      <c r="Q631" s="23">
        <v>2874.81</v>
      </c>
      <c r="R631" s="23">
        <v>10</v>
      </c>
      <c r="S631" s="23">
        <v>0.05</v>
      </c>
      <c r="T631" s="24">
        <v>-425.88</v>
      </c>
    </row>
    <row r="632" spans="1:20" ht="15.6" x14ac:dyDescent="0.3">
      <c r="A632" s="13" t="s">
        <v>643</v>
      </c>
      <c r="B632" s="14">
        <v>45943</v>
      </c>
      <c r="C632" s="15">
        <v>45948</v>
      </c>
      <c r="D632" s="16" t="str">
        <f>TRIM('data cleaning'!$E632)</f>
        <v>Michael Martin</v>
      </c>
      <c r="E632" s="17" t="s">
        <v>1397</v>
      </c>
      <c r="F632" s="17" t="str">
        <f>TRIM('data cleaning'!$G632)</f>
        <v>Corporate</v>
      </c>
      <c r="G632" s="17" t="s">
        <v>1514</v>
      </c>
      <c r="H632" s="17" t="str">
        <f>TRIM('data cleaning'!$I632)</f>
        <v>North</v>
      </c>
      <c r="I632" s="17" t="s">
        <v>1516</v>
      </c>
      <c r="J632" s="17" t="str">
        <f>TRIM('data cleaning'!$K632)</f>
        <v>Furniture</v>
      </c>
      <c r="K632" s="17" t="s">
        <v>1522</v>
      </c>
      <c r="L632" s="17" t="str">
        <f>TRIM('data cleaning'!$M632)</f>
        <v>Chairs</v>
      </c>
      <c r="M632" s="17" t="s">
        <v>1531</v>
      </c>
      <c r="N632" s="17" t="str">
        <f>PROPER('data cleaning'!$O632)</f>
        <v>Son Chairs</v>
      </c>
      <c r="O632" s="17" t="str">
        <f>TRIM('data cleaning'!$P632)</f>
        <v>Son Chairs</v>
      </c>
      <c r="P632" s="17" t="s">
        <v>2139</v>
      </c>
      <c r="Q632" s="17">
        <v>1867.06</v>
      </c>
      <c r="R632" s="17">
        <v>10</v>
      </c>
      <c r="S632" s="17">
        <v>0.05</v>
      </c>
      <c r="T632" s="18">
        <v>-134.15</v>
      </c>
    </row>
    <row r="633" spans="1:20" ht="15.6" x14ac:dyDescent="0.3">
      <c r="A633" s="19" t="s">
        <v>644</v>
      </c>
      <c r="B633" s="20">
        <v>45518</v>
      </c>
      <c r="C633" s="21">
        <v>45528</v>
      </c>
      <c r="D633" s="22" t="str">
        <f>TRIM('data cleaning'!$E633)</f>
        <v>Paul Chavez</v>
      </c>
      <c r="E633" s="23" t="s">
        <v>1398</v>
      </c>
      <c r="F633" s="23" t="str">
        <f>TRIM('data cleaning'!$G633)</f>
        <v>Corporate</v>
      </c>
      <c r="G633" s="23" t="s">
        <v>1514</v>
      </c>
      <c r="H633" s="23" t="str">
        <f>TRIM('data cleaning'!$I633)</f>
        <v>South</v>
      </c>
      <c r="I633" s="23" t="s">
        <v>1517</v>
      </c>
      <c r="J633" s="23" t="str">
        <f>TRIM('data cleaning'!$K633)</f>
        <v>Office Supplies</v>
      </c>
      <c r="K633" s="23" t="s">
        <v>1520</v>
      </c>
      <c r="L633" s="23" t="str">
        <f>TRIM('data cleaning'!$M633)</f>
        <v>Paper</v>
      </c>
      <c r="M633" s="23" t="s">
        <v>1524</v>
      </c>
      <c r="N633" s="23" t="str">
        <f>PROPER('data cleaning'!$O633)</f>
        <v>Operation Paper</v>
      </c>
      <c r="O633" s="23" t="str">
        <f>TRIM('data cleaning'!$P633)</f>
        <v>Operation Paper</v>
      </c>
      <c r="P633" s="23" t="s">
        <v>2140</v>
      </c>
      <c r="Q633" s="23">
        <v>4593.51</v>
      </c>
      <c r="R633" s="23">
        <v>2</v>
      </c>
      <c r="S633" s="23"/>
      <c r="T633" s="24">
        <v>-98.39</v>
      </c>
    </row>
    <row r="634" spans="1:20" ht="15.6" x14ac:dyDescent="0.3">
      <c r="A634" s="13" t="s">
        <v>645</v>
      </c>
      <c r="B634" s="14">
        <v>45791</v>
      </c>
      <c r="C634" s="15">
        <v>45801</v>
      </c>
      <c r="D634" s="16" t="str">
        <f>TRIM('data cleaning'!$E634)</f>
        <v>Adam Coleman</v>
      </c>
      <c r="E634" s="17" t="s">
        <v>1399</v>
      </c>
      <c r="F634" s="17" t="str">
        <f>TRIM('data cleaning'!$G634)</f>
        <v>Consumer</v>
      </c>
      <c r="G634" s="17" t="s">
        <v>1513</v>
      </c>
      <c r="H634" s="17" t="str">
        <f>TRIM('data cleaning'!$I634)</f>
        <v>West</v>
      </c>
      <c r="I634" s="17" t="s">
        <v>1518</v>
      </c>
      <c r="J634" s="17" t="str">
        <f>TRIM('data cleaning'!$K634)</f>
        <v>Technology</v>
      </c>
      <c r="K634" s="17" t="s">
        <v>1521</v>
      </c>
      <c r="L634" s="17" t="str">
        <f>TRIM('data cleaning'!$M634)</f>
        <v>Laptops</v>
      </c>
      <c r="M634" s="17" t="s">
        <v>1528</v>
      </c>
      <c r="N634" s="17" t="str">
        <f>PROPER('data cleaning'!$O634)</f>
        <v>Forward Laptops</v>
      </c>
      <c r="O634" s="17" t="str">
        <f>TRIM('data cleaning'!$P634)</f>
        <v>Forward Laptops</v>
      </c>
      <c r="P634" s="17" t="s">
        <v>2141</v>
      </c>
      <c r="Q634" s="17">
        <v>4106.6000000000004</v>
      </c>
      <c r="R634" s="17">
        <v>2</v>
      </c>
      <c r="S634" s="17">
        <v>0.2</v>
      </c>
      <c r="T634" s="18">
        <v>629.29999999999995</v>
      </c>
    </row>
    <row r="635" spans="1:20" ht="15.6" x14ac:dyDescent="0.3">
      <c r="A635" s="19" t="s">
        <v>646</v>
      </c>
      <c r="B635" s="20">
        <v>45257</v>
      </c>
      <c r="C635" s="21">
        <v>45263</v>
      </c>
      <c r="D635" s="22" t="str">
        <f>TRIM('data cleaning'!$E635)</f>
        <v>Keith Pham</v>
      </c>
      <c r="E635" s="23" t="s">
        <v>1400</v>
      </c>
      <c r="F635" s="23" t="str">
        <f>TRIM('data cleaning'!$G635)</f>
        <v>Consumer</v>
      </c>
      <c r="G635" s="23" t="s">
        <v>1513</v>
      </c>
      <c r="H635" s="23" t="str">
        <f>TRIM('data cleaning'!$I635)</f>
        <v>South</v>
      </c>
      <c r="I635" s="23" t="s">
        <v>1517</v>
      </c>
      <c r="J635" s="23" t="str">
        <f>TRIM('data cleaning'!$K635)</f>
        <v>Furniture</v>
      </c>
      <c r="K635" s="23" t="s">
        <v>1522</v>
      </c>
      <c r="L635" s="23" t="str">
        <f>TRIM('data cleaning'!$M635)</f>
        <v>Chairs</v>
      </c>
      <c r="M635" s="23" t="s">
        <v>1531</v>
      </c>
      <c r="N635" s="23" t="str">
        <f>PROPER('data cleaning'!$O635)</f>
        <v>Contain Chairs</v>
      </c>
      <c r="O635" s="23" t="str">
        <f>TRIM('data cleaning'!$P635)</f>
        <v>Contain Chairs</v>
      </c>
      <c r="P635" s="23" t="s">
        <v>2142</v>
      </c>
      <c r="Q635" s="23">
        <v>1772.25</v>
      </c>
      <c r="R635" s="23">
        <v>7</v>
      </c>
      <c r="S635" s="23">
        <v>0.15</v>
      </c>
      <c r="T635" s="24">
        <v>552.29999999999995</v>
      </c>
    </row>
    <row r="636" spans="1:20" ht="15.6" x14ac:dyDescent="0.3">
      <c r="A636" s="13" t="s">
        <v>647</v>
      </c>
      <c r="B636" s="14">
        <v>45452</v>
      </c>
      <c r="C636" s="15">
        <v>45462</v>
      </c>
      <c r="D636" s="16" t="str">
        <f>TRIM('data cleaning'!$E636)</f>
        <v>Eduardo West</v>
      </c>
      <c r="E636" s="17" t="s">
        <v>1401</v>
      </c>
      <c r="F636" s="17" t="str">
        <f>TRIM('data cleaning'!$G636)</f>
        <v>Consumer</v>
      </c>
      <c r="G636" s="17" t="s">
        <v>1513</v>
      </c>
      <c r="H636" s="17" t="str">
        <f>TRIM('data cleaning'!$I636)</f>
        <v>East</v>
      </c>
      <c r="I636" s="17" t="s">
        <v>1519</v>
      </c>
      <c r="J636" s="17" t="str">
        <f>TRIM('data cleaning'!$K636)</f>
        <v>Office Supplies</v>
      </c>
      <c r="K636" s="17" t="s">
        <v>1520</v>
      </c>
      <c r="L636" s="17" t="str">
        <f>TRIM('data cleaning'!$M636)</f>
        <v>Storage</v>
      </c>
      <c r="M636" s="17" t="s">
        <v>1525</v>
      </c>
      <c r="N636" s="17" t="str">
        <f>PROPER('data cleaning'!$O636)</f>
        <v>Simply Storage</v>
      </c>
      <c r="O636" s="17" t="str">
        <f>TRIM('data cleaning'!$P636)</f>
        <v>Simply Storage</v>
      </c>
      <c r="P636" s="17" t="s">
        <v>2143</v>
      </c>
      <c r="Q636" s="17">
        <v>4646.83</v>
      </c>
      <c r="R636" s="17">
        <v>7</v>
      </c>
      <c r="S636" s="17">
        <v>0</v>
      </c>
      <c r="T636" s="18">
        <v>-150.41</v>
      </c>
    </row>
    <row r="637" spans="1:20" ht="15.6" x14ac:dyDescent="0.3">
      <c r="A637" s="19" t="s">
        <v>648</v>
      </c>
      <c r="B637" s="20">
        <v>45647</v>
      </c>
      <c r="C637" s="21">
        <v>45650</v>
      </c>
      <c r="D637" s="22" t="str">
        <f>TRIM('data cleaning'!$E637)</f>
        <v>Steven Levy</v>
      </c>
      <c r="E637" s="23" t="s">
        <v>1402</v>
      </c>
      <c r="F637" s="23" t="str">
        <f>TRIM('data cleaning'!$G637)</f>
        <v>Home Office</v>
      </c>
      <c r="G637" s="23" t="s">
        <v>1515</v>
      </c>
      <c r="H637" s="23" t="str">
        <f>TRIM('data cleaning'!$I637)</f>
        <v>West</v>
      </c>
      <c r="I637" s="23" t="s">
        <v>1518</v>
      </c>
      <c r="J637" s="23" t="str">
        <f>TRIM('data cleaning'!$K637)</f>
        <v>Office Supplies</v>
      </c>
      <c r="K637" s="23" t="s">
        <v>1520</v>
      </c>
      <c r="L637" s="23" t="str">
        <f>TRIM('data cleaning'!$M637)</f>
        <v>Storage</v>
      </c>
      <c r="M637" s="23" t="s">
        <v>1525</v>
      </c>
      <c r="N637" s="23" t="str">
        <f>PROPER('data cleaning'!$O637)</f>
        <v>Hope Storage</v>
      </c>
      <c r="O637" s="23" t="str">
        <f>TRIM('data cleaning'!$P637)</f>
        <v>Hope Storage</v>
      </c>
      <c r="P637" s="23" t="s">
        <v>2144</v>
      </c>
      <c r="Q637" s="23">
        <v>1667.82</v>
      </c>
      <c r="R637" s="23">
        <v>4</v>
      </c>
      <c r="S637" s="23">
        <v>0.05</v>
      </c>
      <c r="T637" s="24">
        <v>-287.22000000000003</v>
      </c>
    </row>
    <row r="638" spans="1:20" ht="15.6" x14ac:dyDescent="0.3">
      <c r="A638" s="13" t="s">
        <v>649</v>
      </c>
      <c r="B638" s="14">
        <v>45452</v>
      </c>
      <c r="C638" s="15">
        <v>45462</v>
      </c>
      <c r="D638" s="16" t="str">
        <f>TRIM('data cleaning'!$E638)</f>
        <v>Dean Alvarez</v>
      </c>
      <c r="E638" s="17" t="s">
        <v>1403</v>
      </c>
      <c r="F638" s="17" t="str">
        <f>TRIM('data cleaning'!$G638)</f>
        <v>Corporate</v>
      </c>
      <c r="G638" s="17" t="s">
        <v>1514</v>
      </c>
      <c r="H638" s="17" t="str">
        <f>TRIM('data cleaning'!$I638)</f>
        <v>South</v>
      </c>
      <c r="I638" s="17" t="s">
        <v>1517</v>
      </c>
      <c r="J638" s="17" t="str">
        <f>TRIM('data cleaning'!$K638)</f>
        <v>Technology</v>
      </c>
      <c r="K638" s="17" t="s">
        <v>1521</v>
      </c>
      <c r="L638" s="17" t="str">
        <f>TRIM('data cleaning'!$M638)</f>
        <v>Laptops</v>
      </c>
      <c r="M638" s="17" t="s">
        <v>1528</v>
      </c>
      <c r="N638" s="17" t="str">
        <f>PROPER('data cleaning'!$O638)</f>
        <v>Concern Laptops</v>
      </c>
      <c r="O638" s="17" t="str">
        <f>TRIM('data cleaning'!$P638)</f>
        <v>Concern Laptops</v>
      </c>
      <c r="P638" s="17" t="s">
        <v>2145</v>
      </c>
      <c r="Q638" s="17">
        <v>2548.41</v>
      </c>
      <c r="R638" s="17">
        <v>4</v>
      </c>
      <c r="S638" s="17">
        <v>0.15</v>
      </c>
      <c r="T638" s="18">
        <v>-103.51</v>
      </c>
    </row>
    <row r="639" spans="1:20" ht="15.6" x14ac:dyDescent="0.3">
      <c r="A639" s="19" t="s">
        <v>650</v>
      </c>
      <c r="B639" s="20">
        <v>45641</v>
      </c>
      <c r="C639" s="21">
        <v>45643</v>
      </c>
      <c r="D639" s="22" t="str">
        <f>TRIM('data cleaning'!$E639)</f>
        <v>Michael Martin</v>
      </c>
      <c r="E639" s="23" t="s">
        <v>1397</v>
      </c>
      <c r="F639" s="23" t="str">
        <f>TRIM('data cleaning'!$G639)</f>
        <v>Consumer</v>
      </c>
      <c r="G639" s="23" t="s">
        <v>1513</v>
      </c>
      <c r="H639" s="23" t="str">
        <f>TRIM('data cleaning'!$I639)</f>
        <v>West</v>
      </c>
      <c r="I639" s="23" t="s">
        <v>1518</v>
      </c>
      <c r="J639" s="23" t="str">
        <f>TRIM('data cleaning'!$K639)</f>
        <v>Furniture</v>
      </c>
      <c r="K639" s="23" t="s">
        <v>1522</v>
      </c>
      <c r="L639" s="23" t="str">
        <f>TRIM('data cleaning'!$M639)</f>
        <v>Tables</v>
      </c>
      <c r="M639" s="23" t="s">
        <v>1529</v>
      </c>
      <c r="N639" s="23" t="str">
        <f>PROPER('data cleaning'!$O639)</f>
        <v>We Tables</v>
      </c>
      <c r="O639" s="23" t="str">
        <f>TRIM('data cleaning'!$P639)</f>
        <v>We Tables</v>
      </c>
      <c r="P639" s="23" t="s">
        <v>2146</v>
      </c>
      <c r="Q639" s="23">
        <v>2405.48</v>
      </c>
      <c r="R639" s="23">
        <v>1</v>
      </c>
      <c r="S639" s="23">
        <v>0.2</v>
      </c>
      <c r="T639" s="24">
        <v>47.04</v>
      </c>
    </row>
    <row r="640" spans="1:20" ht="15.6" x14ac:dyDescent="0.3">
      <c r="A640" s="13" t="s">
        <v>651</v>
      </c>
      <c r="B640" s="14">
        <v>45168</v>
      </c>
      <c r="C640" s="15">
        <v>45171</v>
      </c>
      <c r="D640" s="16" t="str">
        <f>TRIM('data cleaning'!$E640)</f>
        <v>Kayla Cook</v>
      </c>
      <c r="E640" s="17" t="s">
        <v>1404</v>
      </c>
      <c r="F640" s="17" t="str">
        <f>TRIM('data cleaning'!$G640)</f>
        <v>Corporate</v>
      </c>
      <c r="G640" s="17" t="s">
        <v>1514</v>
      </c>
      <c r="H640" s="17" t="str">
        <f>TRIM('data cleaning'!$I640)</f>
        <v>South</v>
      </c>
      <c r="I640" s="17" t="s">
        <v>1517</v>
      </c>
      <c r="J640" s="17" t="str">
        <f>TRIM('data cleaning'!$K640)</f>
        <v>Office Supplies</v>
      </c>
      <c r="K640" s="17" t="s">
        <v>1520</v>
      </c>
      <c r="L640" s="17" t="str">
        <f>TRIM('data cleaning'!$M640)</f>
        <v>Paper</v>
      </c>
      <c r="M640" s="17" t="s">
        <v>1524</v>
      </c>
      <c r="N640" s="17" t="str">
        <f>PROPER('data cleaning'!$O640)</f>
        <v>Throw Paper</v>
      </c>
      <c r="O640" s="17" t="str">
        <f>TRIM('data cleaning'!$P640)</f>
        <v>Throw Paper</v>
      </c>
      <c r="P640" s="17" t="s">
        <v>2147</v>
      </c>
      <c r="Q640" s="17">
        <v>3822.06</v>
      </c>
      <c r="R640" s="17">
        <v>8</v>
      </c>
      <c r="S640" s="17">
        <v>0.2</v>
      </c>
      <c r="T640" s="18">
        <v>-347.96</v>
      </c>
    </row>
    <row r="641" spans="1:20" ht="15.6" x14ac:dyDescent="0.3">
      <c r="A641" s="19" t="s">
        <v>652</v>
      </c>
      <c r="B641" s="20">
        <v>45099</v>
      </c>
      <c r="C641" s="21">
        <v>45108</v>
      </c>
      <c r="D641" s="22" t="str">
        <f>TRIM('data cleaning'!$E641)</f>
        <v>Sarah Walker</v>
      </c>
      <c r="E641" s="23" t="s">
        <v>1405</v>
      </c>
      <c r="F641" s="23" t="str">
        <f>TRIM('data cleaning'!$G641)</f>
        <v>Corporate</v>
      </c>
      <c r="G641" s="23" t="s">
        <v>1514</v>
      </c>
      <c r="H641" s="23" t="str">
        <f>TRIM('data cleaning'!$I641)</f>
        <v>North</v>
      </c>
      <c r="I641" s="23" t="s">
        <v>1516</v>
      </c>
      <c r="J641" s="23" t="str">
        <f>TRIM('data cleaning'!$K641)</f>
        <v>Office Supplies</v>
      </c>
      <c r="K641" s="23" t="s">
        <v>1520</v>
      </c>
      <c r="L641" s="23" t="str">
        <f>TRIM('data cleaning'!$M641)</f>
        <v>Storage</v>
      </c>
      <c r="M641" s="23" t="s">
        <v>1525</v>
      </c>
      <c r="N641" s="23" t="str">
        <f>PROPER('data cleaning'!$O641)</f>
        <v>Different Storage</v>
      </c>
      <c r="O641" s="23" t="str">
        <f>TRIM('data cleaning'!$P641)</f>
        <v>Different Storage</v>
      </c>
      <c r="P641" s="23" t="s">
        <v>2148</v>
      </c>
      <c r="Q641" s="23">
        <v>1268.92</v>
      </c>
      <c r="R641" s="23">
        <v>2</v>
      </c>
      <c r="S641" s="23">
        <v>0.1</v>
      </c>
      <c r="T641" s="24">
        <v>288.33</v>
      </c>
    </row>
    <row r="642" spans="1:20" ht="15.6" x14ac:dyDescent="0.3">
      <c r="A642" s="13" t="s">
        <v>653</v>
      </c>
      <c r="B642" s="14">
        <v>46009</v>
      </c>
      <c r="C642" s="15">
        <v>46016</v>
      </c>
      <c r="D642" s="16" t="str">
        <f>TRIM('data cleaning'!$E642)</f>
        <v>Jason Velasquez</v>
      </c>
      <c r="E642" s="17" t="s">
        <v>1406</v>
      </c>
      <c r="F642" s="17" t="str">
        <f>TRIM('data cleaning'!$G642)</f>
        <v>Home Office</v>
      </c>
      <c r="G642" s="17" t="s">
        <v>1515</v>
      </c>
      <c r="H642" s="17" t="str">
        <f>TRIM('data cleaning'!$I642)</f>
        <v>North</v>
      </c>
      <c r="I642" s="17" t="s">
        <v>1516</v>
      </c>
      <c r="J642" s="17" t="str">
        <f>TRIM('data cleaning'!$K642)</f>
        <v>Furniture</v>
      </c>
      <c r="K642" s="17" t="s">
        <v>1522</v>
      </c>
      <c r="L642" s="17" t="str">
        <f>TRIM('data cleaning'!$M642)</f>
        <v>Bookcases</v>
      </c>
      <c r="M642" s="17" t="s">
        <v>1527</v>
      </c>
      <c r="N642" s="17" t="str">
        <f>PROPER('data cleaning'!$O642)</f>
        <v>Record Bookcases</v>
      </c>
      <c r="O642" s="17" t="str">
        <f>TRIM('data cleaning'!$P642)</f>
        <v>Record Bookcases</v>
      </c>
      <c r="P642" s="17" t="s">
        <v>2149</v>
      </c>
      <c r="Q642" s="17">
        <v>2146.5300000000002</v>
      </c>
      <c r="R642" s="17">
        <v>6</v>
      </c>
      <c r="S642" s="17">
        <v>0.05</v>
      </c>
      <c r="T642" s="18">
        <v>-50.65</v>
      </c>
    </row>
    <row r="643" spans="1:20" ht="15.6" x14ac:dyDescent="0.3">
      <c r="A643" s="19" t="s">
        <v>654</v>
      </c>
      <c r="B643" s="20">
        <v>46031</v>
      </c>
      <c r="C643" s="21">
        <v>46037</v>
      </c>
      <c r="D643" s="22" t="str">
        <f>TRIM('data cleaning'!$E643)</f>
        <v>Rebecca Ray</v>
      </c>
      <c r="E643" s="23" t="s">
        <v>1407</v>
      </c>
      <c r="F643" s="23" t="str">
        <f>TRIM('data cleaning'!$G643)</f>
        <v>Consumer</v>
      </c>
      <c r="G643" s="23" t="s">
        <v>1513</v>
      </c>
      <c r="H643" s="23" t="str">
        <f>TRIM('data cleaning'!$I643)</f>
        <v>South</v>
      </c>
      <c r="I643" s="23" t="s">
        <v>1517</v>
      </c>
      <c r="J643" s="23" t="str">
        <f>TRIM('data cleaning'!$K643)</f>
        <v>Technology</v>
      </c>
      <c r="K643" s="23" t="s">
        <v>1521</v>
      </c>
      <c r="L643" s="23" t="str">
        <f>TRIM('data cleaning'!$M643)</f>
        <v>Phones</v>
      </c>
      <c r="M643" s="23" t="s">
        <v>1530</v>
      </c>
      <c r="N643" s="23" t="str">
        <f>PROPER('data cleaning'!$O643)</f>
        <v>Themselves Phones</v>
      </c>
      <c r="O643" s="23" t="str">
        <f>TRIM('data cleaning'!$P643)</f>
        <v>Themselves Phones</v>
      </c>
      <c r="P643" s="23" t="s">
        <v>2150</v>
      </c>
      <c r="Q643" s="23">
        <v>3100.29</v>
      </c>
      <c r="R643" s="23">
        <v>8</v>
      </c>
      <c r="S643" s="23">
        <v>0.2</v>
      </c>
      <c r="T643" s="24">
        <v>-371.41</v>
      </c>
    </row>
    <row r="644" spans="1:20" ht="15.6" x14ac:dyDescent="0.3">
      <c r="A644" s="13" t="s">
        <v>655</v>
      </c>
      <c r="B644" s="14">
        <v>45134</v>
      </c>
      <c r="C644" s="15">
        <v>45140</v>
      </c>
      <c r="D644" s="16" t="str">
        <f>TRIM('data cleaning'!$E644)</f>
        <v>Jason Williams</v>
      </c>
      <c r="E644" s="17" t="s">
        <v>1408</v>
      </c>
      <c r="F644" s="17" t="str">
        <f>TRIM('data cleaning'!$G644)</f>
        <v/>
      </c>
      <c r="G644" s="17"/>
      <c r="H644" s="17" t="str">
        <f>TRIM('data cleaning'!$I644)</f>
        <v>South</v>
      </c>
      <c r="I644" s="17" t="s">
        <v>1517</v>
      </c>
      <c r="J644" s="17" t="str">
        <f>TRIM('data cleaning'!$K644)</f>
        <v>Furniture</v>
      </c>
      <c r="K644" s="17" t="s">
        <v>1522</v>
      </c>
      <c r="L644" s="17" t="str">
        <f>TRIM('data cleaning'!$M644)</f>
        <v>Bookcases</v>
      </c>
      <c r="M644" s="17" t="s">
        <v>1527</v>
      </c>
      <c r="N644" s="17" t="str">
        <f>PROPER('data cleaning'!$O644)</f>
        <v>Such Bookcases</v>
      </c>
      <c r="O644" s="17" t="str">
        <f>TRIM('data cleaning'!$P644)</f>
        <v>Such Bookcases</v>
      </c>
      <c r="P644" s="17" t="s">
        <v>2044</v>
      </c>
      <c r="Q644" s="17">
        <v>822.16</v>
      </c>
      <c r="R644" s="17">
        <v>2</v>
      </c>
      <c r="S644" s="17">
        <v>0</v>
      </c>
      <c r="T644" s="18">
        <v>170</v>
      </c>
    </row>
    <row r="645" spans="1:20" ht="15.6" x14ac:dyDescent="0.3">
      <c r="A645" s="19" t="s">
        <v>656</v>
      </c>
      <c r="B645" s="20">
        <v>45369</v>
      </c>
      <c r="C645" s="21">
        <v>45375</v>
      </c>
      <c r="D645" s="22" t="str">
        <f>TRIM('data cleaning'!$E645)</f>
        <v>Lucas Kelley</v>
      </c>
      <c r="E645" s="23" t="s">
        <v>1409</v>
      </c>
      <c r="F645" s="23" t="str">
        <f>TRIM('data cleaning'!$G645)</f>
        <v>Consumer</v>
      </c>
      <c r="G645" s="23" t="s">
        <v>1513</v>
      </c>
      <c r="H645" s="23" t="str">
        <f>TRIM('data cleaning'!$I645)</f>
        <v>East</v>
      </c>
      <c r="I645" s="23" t="s">
        <v>1519</v>
      </c>
      <c r="J645" s="23" t="str">
        <f>TRIM('data cleaning'!$K645)</f>
        <v>Technology</v>
      </c>
      <c r="K645" s="23" t="s">
        <v>1521</v>
      </c>
      <c r="L645" s="23" t="str">
        <f>TRIM('data cleaning'!$M645)</f>
        <v>Phones</v>
      </c>
      <c r="M645" s="23" t="s">
        <v>1530</v>
      </c>
      <c r="N645" s="23" t="str">
        <f>PROPER('data cleaning'!$O645)</f>
        <v>Organization Phones</v>
      </c>
      <c r="O645" s="23" t="str">
        <f>TRIM('data cleaning'!$P645)</f>
        <v>Organization Phones</v>
      </c>
      <c r="P645" s="23" t="s">
        <v>2151</v>
      </c>
      <c r="Q645" s="23">
        <v>3484.29</v>
      </c>
      <c r="R645" s="23">
        <v>2</v>
      </c>
      <c r="S645" s="23">
        <v>0.1</v>
      </c>
      <c r="T645" s="24">
        <v>165.62</v>
      </c>
    </row>
    <row r="646" spans="1:20" ht="15.6" x14ac:dyDescent="0.3">
      <c r="A646" s="13" t="s">
        <v>657</v>
      </c>
      <c r="B646" s="14">
        <v>45644</v>
      </c>
      <c r="C646" s="15">
        <v>45653</v>
      </c>
      <c r="D646" s="16" t="str">
        <f>TRIM('data cleaning'!$E646)</f>
        <v>Melissa White</v>
      </c>
      <c r="E646" s="17" t="s">
        <v>1410</v>
      </c>
      <c r="F646" s="17" t="str">
        <f>TRIM('data cleaning'!$G646)</f>
        <v>Home Office</v>
      </c>
      <c r="G646" s="17" t="s">
        <v>1515</v>
      </c>
      <c r="H646" s="17" t="str">
        <f>TRIM('data cleaning'!$I646)</f>
        <v>West</v>
      </c>
      <c r="I646" s="17" t="s">
        <v>1518</v>
      </c>
      <c r="J646" s="17" t="str">
        <f>TRIM('data cleaning'!$K646)</f>
        <v>Furniture</v>
      </c>
      <c r="K646" s="17" t="s">
        <v>1522</v>
      </c>
      <c r="L646" s="17" t="str">
        <f>TRIM('data cleaning'!$M646)</f>
        <v>Bookcases</v>
      </c>
      <c r="M646" s="17" t="s">
        <v>1527</v>
      </c>
      <c r="N646" s="17" t="str">
        <f>PROPER('data cleaning'!$O646)</f>
        <v>Either Bookcases</v>
      </c>
      <c r="O646" s="17" t="str">
        <f>TRIM('data cleaning'!$P646)</f>
        <v>Either Bookcases</v>
      </c>
      <c r="P646" s="17" t="s">
        <v>1838</v>
      </c>
      <c r="Q646" s="17">
        <v>1098.78</v>
      </c>
      <c r="R646" s="17">
        <v>9</v>
      </c>
      <c r="S646" s="17">
        <v>0.2</v>
      </c>
      <c r="T646" s="18">
        <v>233.71</v>
      </c>
    </row>
    <row r="647" spans="1:20" ht="15.6" x14ac:dyDescent="0.3">
      <c r="A647" s="19" t="s">
        <v>658</v>
      </c>
      <c r="B647" s="20" t="s">
        <v>780</v>
      </c>
      <c r="C647" s="21">
        <v>45670</v>
      </c>
      <c r="D647" s="22" t="str">
        <f>TRIM('data cleaning'!$E647)</f>
        <v>Shawn Sloan</v>
      </c>
      <c r="E647" s="23" t="s">
        <v>1411</v>
      </c>
      <c r="F647" s="23" t="str">
        <f>TRIM('data cleaning'!$G647)</f>
        <v>Home Office</v>
      </c>
      <c r="G647" s="23" t="s">
        <v>1515</v>
      </c>
      <c r="H647" s="23" t="str">
        <f>TRIM('data cleaning'!$I647)</f>
        <v>North</v>
      </c>
      <c r="I647" s="23" t="s">
        <v>1516</v>
      </c>
      <c r="J647" s="23" t="str">
        <f>TRIM('data cleaning'!$K647)</f>
        <v>Office Supplies</v>
      </c>
      <c r="K647" s="23" t="s">
        <v>1520</v>
      </c>
      <c r="L647" s="23" t="str">
        <f>TRIM('data cleaning'!$M647)</f>
        <v>Storage</v>
      </c>
      <c r="M647" s="23" t="s">
        <v>1525</v>
      </c>
      <c r="N647" s="23" t="str">
        <f>PROPER('data cleaning'!$O647)</f>
        <v>Provide Storage</v>
      </c>
      <c r="O647" s="23" t="str">
        <f>TRIM('data cleaning'!$P647)</f>
        <v>Provide Storage</v>
      </c>
      <c r="P647" s="23" t="s">
        <v>2152</v>
      </c>
      <c r="Q647" s="23">
        <v>3490.6</v>
      </c>
      <c r="R647" s="23">
        <v>1</v>
      </c>
      <c r="S647" s="23">
        <v>0.15</v>
      </c>
      <c r="T647" s="24">
        <v>421.15</v>
      </c>
    </row>
    <row r="648" spans="1:20" ht="15.6" x14ac:dyDescent="0.3">
      <c r="A648" s="13" t="s">
        <v>659</v>
      </c>
      <c r="B648" s="14">
        <v>45308</v>
      </c>
      <c r="C648" s="15">
        <v>45309</v>
      </c>
      <c r="D648" s="16" t="str">
        <f>TRIM('data cleaning'!$E648)</f>
        <v>Douglas Perez</v>
      </c>
      <c r="E648" s="17" t="s">
        <v>1412</v>
      </c>
      <c r="F648" s="17" t="str">
        <f>TRIM('data cleaning'!$G648)</f>
        <v>Home Office</v>
      </c>
      <c r="G648" s="17" t="s">
        <v>1515</v>
      </c>
      <c r="H648" s="17" t="str">
        <f>TRIM('data cleaning'!$I648)</f>
        <v>North</v>
      </c>
      <c r="I648" s="17" t="s">
        <v>1516</v>
      </c>
      <c r="J648" s="17" t="str">
        <f>TRIM('data cleaning'!$K648)</f>
        <v>Technology</v>
      </c>
      <c r="K648" s="17" t="s">
        <v>1521</v>
      </c>
      <c r="L648" s="17" t="str">
        <f>TRIM('data cleaning'!$M648)</f>
        <v>Phones</v>
      </c>
      <c r="M648" s="17" t="s">
        <v>1530</v>
      </c>
      <c r="N648" s="17" t="str">
        <f>PROPER('data cleaning'!$O648)</f>
        <v>Lead Phones</v>
      </c>
      <c r="O648" s="17" t="str">
        <f>TRIM('data cleaning'!$P648)</f>
        <v>Lead Phones</v>
      </c>
      <c r="P648" s="17" t="s">
        <v>2153</v>
      </c>
      <c r="Q648" s="17">
        <v>1455.87</v>
      </c>
      <c r="R648" s="17">
        <v>10</v>
      </c>
      <c r="S648" s="17">
        <v>0.1</v>
      </c>
      <c r="T648" s="18">
        <v>-248.67</v>
      </c>
    </row>
    <row r="649" spans="1:20" ht="15.6" x14ac:dyDescent="0.3">
      <c r="A649" s="19" t="s">
        <v>660</v>
      </c>
      <c r="B649" s="20">
        <v>46144</v>
      </c>
      <c r="C649" s="21">
        <v>46149</v>
      </c>
      <c r="D649" s="22" t="str">
        <f>TRIM('data cleaning'!$E649)</f>
        <v>Amanda Carrillo</v>
      </c>
      <c r="E649" s="23" t="s">
        <v>1413</v>
      </c>
      <c r="F649" s="23" t="str">
        <f>TRIM('data cleaning'!$G649)</f>
        <v>Home Office</v>
      </c>
      <c r="G649" s="23" t="s">
        <v>1515</v>
      </c>
      <c r="H649" s="23" t="str">
        <f>TRIM('data cleaning'!$I649)</f>
        <v>West</v>
      </c>
      <c r="I649" s="23" t="s">
        <v>1518</v>
      </c>
      <c r="J649" s="23" t="str">
        <f>TRIM('data cleaning'!$K649)</f>
        <v>Furniture</v>
      </c>
      <c r="K649" s="23" t="s">
        <v>1522</v>
      </c>
      <c r="L649" s="23" t="str">
        <f>TRIM('data cleaning'!$M649)</f>
        <v>Tables</v>
      </c>
      <c r="M649" s="23" t="s">
        <v>1529</v>
      </c>
      <c r="N649" s="23" t="str">
        <f>PROPER('data cleaning'!$O649)</f>
        <v>Music Tables</v>
      </c>
      <c r="O649" s="23" t="str">
        <f>TRIM('data cleaning'!$P649)</f>
        <v>Music Tables</v>
      </c>
      <c r="P649" s="23" t="s">
        <v>2154</v>
      </c>
      <c r="Q649" s="23">
        <v>3331.76</v>
      </c>
      <c r="R649" s="23">
        <v>6</v>
      </c>
      <c r="S649" s="23">
        <v>0</v>
      </c>
      <c r="T649" s="24">
        <v>-631.39</v>
      </c>
    </row>
    <row r="650" spans="1:20" ht="15.6" x14ac:dyDescent="0.3">
      <c r="A650" s="13" t="s">
        <v>661</v>
      </c>
      <c r="B650" s="14">
        <v>45709</v>
      </c>
      <c r="C650" s="15">
        <v>45718</v>
      </c>
      <c r="D650" s="16" t="str">
        <f>TRIM('data cleaning'!$E650)</f>
        <v>Amanda Bauer</v>
      </c>
      <c r="E650" s="17" t="s">
        <v>1414</v>
      </c>
      <c r="F650" s="17" t="str">
        <f>TRIM('data cleaning'!$G650)</f>
        <v>Home Office</v>
      </c>
      <c r="G650" s="17" t="s">
        <v>1515</v>
      </c>
      <c r="H650" s="17" t="str">
        <f>TRIM('data cleaning'!$I650)</f>
        <v>North</v>
      </c>
      <c r="I650" s="17" t="s">
        <v>1516</v>
      </c>
      <c r="J650" s="17" t="str">
        <f>TRIM('data cleaning'!$K650)</f>
        <v>Furniture</v>
      </c>
      <c r="K650" s="17" t="s">
        <v>1522</v>
      </c>
      <c r="L650" s="17" t="str">
        <f>TRIM('data cleaning'!$M650)</f>
        <v>Tables</v>
      </c>
      <c r="M650" s="17" t="s">
        <v>1529</v>
      </c>
      <c r="N650" s="17" t="str">
        <f>PROPER('data cleaning'!$O650)</f>
        <v>Sometimes Tables</v>
      </c>
      <c r="O650" s="17" t="str">
        <f>TRIM('data cleaning'!$P650)</f>
        <v>Sometimes Tables</v>
      </c>
      <c r="P650" s="17" t="s">
        <v>2155</v>
      </c>
      <c r="Q650" s="17">
        <v>4884.2299999999996</v>
      </c>
      <c r="R650" s="17">
        <v>2</v>
      </c>
      <c r="S650" s="17">
        <v>0.1</v>
      </c>
      <c r="T650" s="18">
        <v>325.11</v>
      </c>
    </row>
    <row r="651" spans="1:20" ht="15.6" x14ac:dyDescent="0.3">
      <c r="A651" s="19" t="s">
        <v>662</v>
      </c>
      <c r="B651" s="20">
        <v>45660</v>
      </c>
      <c r="C651" s="21">
        <v>45669</v>
      </c>
      <c r="D651" s="22" t="str">
        <f>TRIM('data cleaning'!$E651)</f>
        <v>Joseph Campbell</v>
      </c>
      <c r="E651" s="23" t="s">
        <v>1415</v>
      </c>
      <c r="F651" s="23" t="str">
        <f>TRIM('data cleaning'!$G651)</f>
        <v>Consumer</v>
      </c>
      <c r="G651" s="23" t="s">
        <v>1513</v>
      </c>
      <c r="H651" s="23" t="str">
        <f>TRIM('data cleaning'!$I651)</f>
        <v>East</v>
      </c>
      <c r="I651" s="23" t="s">
        <v>1519</v>
      </c>
      <c r="J651" s="23" t="str">
        <f>TRIM('data cleaning'!$K651)</f>
        <v>Furniture</v>
      </c>
      <c r="K651" s="23" t="s">
        <v>1522</v>
      </c>
      <c r="L651" s="23" t="str">
        <f>TRIM('data cleaning'!$M651)</f>
        <v>Chairs</v>
      </c>
      <c r="M651" s="23" t="s">
        <v>1531</v>
      </c>
      <c r="N651" s="23" t="str">
        <f>PROPER('data cleaning'!$O651)</f>
        <v>Whether Chairs</v>
      </c>
      <c r="O651" s="23" t="str">
        <f>TRIM('data cleaning'!$P651)</f>
        <v>Whether Chairs</v>
      </c>
      <c r="P651" s="23" t="s">
        <v>2156</v>
      </c>
      <c r="Q651" s="23">
        <v>4835.62</v>
      </c>
      <c r="R651" s="23">
        <v>9</v>
      </c>
      <c r="S651" s="23"/>
      <c r="T651" s="24">
        <v>-909.97</v>
      </c>
    </row>
    <row r="652" spans="1:20" ht="15.6" x14ac:dyDescent="0.3">
      <c r="A652" s="13" t="s">
        <v>663</v>
      </c>
      <c r="B652" s="14" t="s">
        <v>781</v>
      </c>
      <c r="C652" s="15">
        <v>45710</v>
      </c>
      <c r="D652" s="16" t="str">
        <f>TRIM('data cleaning'!$E652)</f>
        <v>Steven Morrison</v>
      </c>
      <c r="E652" s="17" t="s">
        <v>1416</v>
      </c>
      <c r="F652" s="17" t="str">
        <f>TRIM('data cleaning'!$G652)</f>
        <v>Corporate</v>
      </c>
      <c r="G652" s="17" t="s">
        <v>1514</v>
      </c>
      <c r="H652" s="17" t="str">
        <f>TRIM('data cleaning'!$I652)</f>
        <v>East</v>
      </c>
      <c r="I652" s="17" t="s">
        <v>1519</v>
      </c>
      <c r="J652" s="17" t="str">
        <f>TRIM('data cleaning'!$K652)</f>
        <v>Technology</v>
      </c>
      <c r="K652" s="17" t="s">
        <v>1521</v>
      </c>
      <c r="L652" s="17" t="str">
        <f>TRIM('data cleaning'!$M652)</f>
        <v>Accessories</v>
      </c>
      <c r="M652" s="17" t="s">
        <v>1526</v>
      </c>
      <c r="N652" s="17" t="str">
        <f>PROPER('data cleaning'!$O652)</f>
        <v>Thus Accessories</v>
      </c>
      <c r="O652" s="17" t="str">
        <f>TRIM('data cleaning'!$P652)</f>
        <v>Thus Accessories</v>
      </c>
      <c r="P652" s="17" t="s">
        <v>2157</v>
      </c>
      <c r="Q652" s="17">
        <v>3734.73</v>
      </c>
      <c r="R652" s="17">
        <v>1</v>
      </c>
      <c r="S652" s="17">
        <v>0.1</v>
      </c>
      <c r="T652" s="18">
        <v>658.7</v>
      </c>
    </row>
    <row r="653" spans="1:20" ht="15.6" x14ac:dyDescent="0.3">
      <c r="A653" s="19" t="s">
        <v>664</v>
      </c>
      <c r="B653" s="20">
        <v>45560</v>
      </c>
      <c r="C653" s="21">
        <v>45565</v>
      </c>
      <c r="D653" s="22" t="str">
        <f>TRIM('data cleaning'!$E653)</f>
        <v>Alicia Perez</v>
      </c>
      <c r="E653" s="23" t="s">
        <v>1417</v>
      </c>
      <c r="F653" s="23" t="str">
        <f>TRIM('data cleaning'!$G653)</f>
        <v>Consumer</v>
      </c>
      <c r="G653" s="23" t="s">
        <v>1513</v>
      </c>
      <c r="H653" s="23" t="str">
        <f>TRIM('data cleaning'!$I653)</f>
        <v>East</v>
      </c>
      <c r="I653" s="23" t="s">
        <v>1519</v>
      </c>
      <c r="J653" s="23" t="str">
        <f>TRIM('data cleaning'!$K653)</f>
        <v>Furniture</v>
      </c>
      <c r="K653" s="23" t="s">
        <v>1522</v>
      </c>
      <c r="L653" s="23" t="str">
        <f>TRIM('data cleaning'!$M653)</f>
        <v>Bookcases</v>
      </c>
      <c r="M653" s="23" t="s">
        <v>1527</v>
      </c>
      <c r="N653" s="23" t="str">
        <f>PROPER('data cleaning'!$O653)</f>
        <v>Tend Bookcases</v>
      </c>
      <c r="O653" s="23" t="str">
        <f>TRIM('data cleaning'!$P653)</f>
        <v>Tend Bookcases</v>
      </c>
      <c r="P653" s="23" t="s">
        <v>2116</v>
      </c>
      <c r="Q653" s="23">
        <v>4068.87</v>
      </c>
      <c r="R653" s="23">
        <v>5</v>
      </c>
      <c r="S653" s="23">
        <v>0.15</v>
      </c>
      <c r="T653" s="24">
        <v>1178.8399999999999</v>
      </c>
    </row>
    <row r="654" spans="1:20" ht="15.6" x14ac:dyDescent="0.3">
      <c r="A654" s="13" t="s">
        <v>665</v>
      </c>
      <c r="B654" s="14">
        <v>46149</v>
      </c>
      <c r="C654" s="15">
        <v>46155</v>
      </c>
      <c r="D654" s="16" t="str">
        <f>TRIM('data cleaning'!$E654)</f>
        <v>Timothy Gibbs</v>
      </c>
      <c r="E654" s="17" t="s">
        <v>1418</v>
      </c>
      <c r="F654" s="17" t="str">
        <f>TRIM('data cleaning'!$G654)</f>
        <v>Home Office</v>
      </c>
      <c r="G654" s="17" t="s">
        <v>1515</v>
      </c>
      <c r="H654" s="17" t="str">
        <f>TRIM('data cleaning'!$I654)</f>
        <v>South</v>
      </c>
      <c r="I654" s="17" t="s">
        <v>1517</v>
      </c>
      <c r="J654" s="17" t="str">
        <f>TRIM('data cleaning'!$K654)</f>
        <v>Furniture</v>
      </c>
      <c r="K654" s="17" t="s">
        <v>1522</v>
      </c>
      <c r="L654" s="17" t="str">
        <f>TRIM('data cleaning'!$M654)</f>
        <v>Chairs</v>
      </c>
      <c r="M654" s="17" t="s">
        <v>1531</v>
      </c>
      <c r="N654" s="17" t="str">
        <f>PROPER('data cleaning'!$O654)</f>
        <v>Week Chairs</v>
      </c>
      <c r="O654" s="17" t="str">
        <f>TRIM('data cleaning'!$P654)</f>
        <v>Week Chairs</v>
      </c>
      <c r="P654" s="17" t="s">
        <v>2158</v>
      </c>
      <c r="Q654" s="17">
        <v>4491.0200000000004</v>
      </c>
      <c r="R654" s="17">
        <v>3</v>
      </c>
      <c r="S654" s="17">
        <v>0</v>
      </c>
      <c r="T654" s="18">
        <v>904.67</v>
      </c>
    </row>
    <row r="655" spans="1:20" ht="15.6" x14ac:dyDescent="0.3">
      <c r="A655" s="19" t="s">
        <v>666</v>
      </c>
      <c r="B655" s="20">
        <v>45902</v>
      </c>
      <c r="C655" s="21">
        <v>45912</v>
      </c>
      <c r="D655" s="22" t="str">
        <f>TRIM('data cleaning'!$E655)</f>
        <v>James Malone</v>
      </c>
      <c r="E655" s="23" t="s">
        <v>1419</v>
      </c>
      <c r="F655" s="23" t="str">
        <f>TRIM('data cleaning'!$G655)</f>
        <v>Home Office</v>
      </c>
      <c r="G655" s="23" t="s">
        <v>1515</v>
      </c>
      <c r="H655" s="23" t="str">
        <f>TRIM('data cleaning'!$I655)</f>
        <v>South</v>
      </c>
      <c r="I655" s="23" t="s">
        <v>1517</v>
      </c>
      <c r="J655" s="23" t="str">
        <f>TRIM('data cleaning'!$K655)</f>
        <v>Technology</v>
      </c>
      <c r="K655" s="23" t="s">
        <v>1521</v>
      </c>
      <c r="L655" s="23" t="str">
        <f>TRIM('data cleaning'!$M655)</f>
        <v>Phones</v>
      </c>
      <c r="M655" s="23" t="s">
        <v>1530</v>
      </c>
      <c r="N655" s="23" t="str">
        <f>PROPER('data cleaning'!$O655)</f>
        <v>Including Phones</v>
      </c>
      <c r="O655" s="23" t="str">
        <f>TRIM('data cleaning'!$P655)</f>
        <v>Including Phones</v>
      </c>
      <c r="P655" s="23" t="s">
        <v>2159</v>
      </c>
      <c r="Q655" s="23">
        <v>806.11</v>
      </c>
      <c r="R655" s="23">
        <v>5</v>
      </c>
      <c r="S655" s="23">
        <v>0.2</v>
      </c>
      <c r="T655" s="24">
        <v>-15.23</v>
      </c>
    </row>
    <row r="656" spans="1:20" ht="15.6" x14ac:dyDescent="0.3">
      <c r="A656" s="13" t="s">
        <v>667</v>
      </c>
      <c r="B656" s="14">
        <v>45917</v>
      </c>
      <c r="C656" s="15">
        <v>45920</v>
      </c>
      <c r="D656" s="16" t="str">
        <f>TRIM('data cleaning'!$E656)</f>
        <v>Kevin Christian</v>
      </c>
      <c r="E656" s="17" t="s">
        <v>1420</v>
      </c>
      <c r="F656" s="17" t="str">
        <f>TRIM('data cleaning'!$G656)</f>
        <v>Home Office</v>
      </c>
      <c r="G656" s="17" t="s">
        <v>1515</v>
      </c>
      <c r="H656" s="17" t="str">
        <f>TRIM('data cleaning'!$I656)</f>
        <v>South</v>
      </c>
      <c r="I656" s="17" t="s">
        <v>1517</v>
      </c>
      <c r="J656" s="17" t="str">
        <f>TRIM('data cleaning'!$K656)</f>
        <v>Furniture</v>
      </c>
      <c r="K656" s="17" t="s">
        <v>1522</v>
      </c>
      <c r="L656" s="17" t="str">
        <f>TRIM('data cleaning'!$M656)</f>
        <v>Bookcases</v>
      </c>
      <c r="M656" s="17" t="s">
        <v>1527</v>
      </c>
      <c r="N656" s="17" t="str">
        <f>PROPER('data cleaning'!$O656)</f>
        <v>Firm Bookcases</v>
      </c>
      <c r="O656" s="17" t="str">
        <f>TRIM('data cleaning'!$P656)</f>
        <v>Firm Bookcases</v>
      </c>
      <c r="P656" s="17" t="s">
        <v>1685</v>
      </c>
      <c r="Q656" s="17">
        <v>2926.1</v>
      </c>
      <c r="R656" s="17">
        <v>4</v>
      </c>
      <c r="S656" s="17">
        <v>0.05</v>
      </c>
      <c r="T656" s="18">
        <v>-87.93</v>
      </c>
    </row>
    <row r="657" spans="1:20" ht="15.6" x14ac:dyDescent="0.3">
      <c r="A657" s="19" t="s">
        <v>668</v>
      </c>
      <c r="B657" s="20">
        <v>45246</v>
      </c>
      <c r="C657" s="21">
        <v>45256</v>
      </c>
      <c r="D657" s="22" t="str">
        <f>TRIM('data cleaning'!$E657)</f>
        <v>Jake Middleton</v>
      </c>
      <c r="E657" s="23" t="s">
        <v>1421</v>
      </c>
      <c r="F657" s="23" t="str">
        <f>TRIM('data cleaning'!$G657)</f>
        <v>Home Office</v>
      </c>
      <c r="G657" s="23" t="s">
        <v>1515</v>
      </c>
      <c r="H657" s="23" t="str">
        <f>TRIM('data cleaning'!$I657)</f>
        <v>North</v>
      </c>
      <c r="I657" s="23" t="s">
        <v>1516</v>
      </c>
      <c r="J657" s="23" t="str">
        <f>TRIM('data cleaning'!$K657)</f>
        <v>Technology</v>
      </c>
      <c r="K657" s="23" t="s">
        <v>1521</v>
      </c>
      <c r="L657" s="23" t="str">
        <f>TRIM('data cleaning'!$M657)</f>
        <v>Phones</v>
      </c>
      <c r="M657" s="23" t="s">
        <v>1530</v>
      </c>
      <c r="N657" s="23" t="str">
        <f>PROPER('data cleaning'!$O657)</f>
        <v>Choose Phones</v>
      </c>
      <c r="O657" s="23" t="str">
        <f>TRIM('data cleaning'!$P657)</f>
        <v>Choose Phones</v>
      </c>
      <c r="P657" s="23" t="s">
        <v>2160</v>
      </c>
      <c r="Q657" s="23">
        <v>4589.7</v>
      </c>
      <c r="R657" s="23">
        <v>6</v>
      </c>
      <c r="S657" s="23">
        <v>0</v>
      </c>
      <c r="T657" s="24">
        <v>488.97</v>
      </c>
    </row>
    <row r="658" spans="1:20" ht="15.6" x14ac:dyDescent="0.3">
      <c r="A658" s="13" t="s">
        <v>669</v>
      </c>
      <c r="B658" s="14">
        <v>45917</v>
      </c>
      <c r="C658" s="15">
        <v>45920</v>
      </c>
      <c r="D658" s="16" t="str">
        <f>TRIM('data cleaning'!$E658)</f>
        <v>Karen Ponce</v>
      </c>
      <c r="E658" s="17" t="s">
        <v>1422</v>
      </c>
      <c r="F658" s="17" t="str">
        <f>TRIM('data cleaning'!$G658)</f>
        <v>Corporate</v>
      </c>
      <c r="G658" s="17" t="s">
        <v>1514</v>
      </c>
      <c r="H658" s="17" t="str">
        <f>TRIM('data cleaning'!$I658)</f>
        <v>West</v>
      </c>
      <c r="I658" s="17" t="s">
        <v>1518</v>
      </c>
      <c r="J658" s="17" t="str">
        <f>TRIM('data cleaning'!$K658)</f>
        <v>Furniture</v>
      </c>
      <c r="K658" s="17" t="s">
        <v>1522</v>
      </c>
      <c r="L658" s="17" t="str">
        <f>TRIM('data cleaning'!$M658)</f>
        <v>Tables</v>
      </c>
      <c r="M658" s="17" t="s">
        <v>1529</v>
      </c>
      <c r="N658" s="17" t="str">
        <f>PROPER('data cleaning'!$O658)</f>
        <v>Country Tables</v>
      </c>
      <c r="O658" s="17" t="str">
        <f>TRIM('data cleaning'!$P658)</f>
        <v>Country Tables</v>
      </c>
      <c r="P658" s="17" t="s">
        <v>2161</v>
      </c>
      <c r="Q658" s="17">
        <v>3649.04</v>
      </c>
      <c r="R658" s="17">
        <v>6</v>
      </c>
      <c r="S658" s="17">
        <v>0.15</v>
      </c>
      <c r="T658" s="18">
        <v>1199.29</v>
      </c>
    </row>
    <row r="659" spans="1:20" ht="15.6" x14ac:dyDescent="0.3">
      <c r="A659" s="19" t="s">
        <v>670</v>
      </c>
      <c r="B659" s="20">
        <v>45740</v>
      </c>
      <c r="C659" s="21">
        <v>45745</v>
      </c>
      <c r="D659" s="22" t="str">
        <f>TRIM('data cleaning'!$E659)</f>
        <v>Angel Peterson</v>
      </c>
      <c r="E659" s="23" t="s">
        <v>1423</v>
      </c>
      <c r="F659" s="23" t="str">
        <f>TRIM('data cleaning'!$G659)</f>
        <v>Consumer</v>
      </c>
      <c r="G659" s="23" t="s">
        <v>1513</v>
      </c>
      <c r="H659" s="23" t="str">
        <f>TRIM('data cleaning'!$I659)</f>
        <v>East</v>
      </c>
      <c r="I659" s="23" t="s">
        <v>1519</v>
      </c>
      <c r="J659" s="23" t="str">
        <f>TRIM('data cleaning'!$K659)</f>
        <v>Office Supplies</v>
      </c>
      <c r="K659" s="23" t="s">
        <v>1520</v>
      </c>
      <c r="L659" s="23" t="str">
        <f>TRIM('data cleaning'!$M659)</f>
        <v>Storage</v>
      </c>
      <c r="M659" s="23" t="s">
        <v>1525</v>
      </c>
      <c r="N659" s="23" t="str">
        <f>PROPER('data cleaning'!$O659)</f>
        <v>Away Storage</v>
      </c>
      <c r="O659" s="23" t="str">
        <f>TRIM('data cleaning'!$P659)</f>
        <v>Away Storage</v>
      </c>
      <c r="P659" s="23" t="s">
        <v>2162</v>
      </c>
      <c r="Q659" s="23">
        <v>802.19</v>
      </c>
      <c r="R659" s="23">
        <v>4</v>
      </c>
      <c r="S659" s="23">
        <v>0</v>
      </c>
      <c r="T659" s="24">
        <v>-102.4</v>
      </c>
    </row>
    <row r="660" spans="1:20" ht="15.6" x14ac:dyDescent="0.3">
      <c r="A660" s="13" t="s">
        <v>671</v>
      </c>
      <c r="B660" s="14">
        <v>45294</v>
      </c>
      <c r="C660" s="15">
        <v>45304</v>
      </c>
      <c r="D660" s="16" t="str">
        <f>TRIM('data cleaning'!$E660)</f>
        <v>Amber Foster</v>
      </c>
      <c r="E660" s="17" t="s">
        <v>1424</v>
      </c>
      <c r="F660" s="17" t="str">
        <f>TRIM('data cleaning'!$G660)</f>
        <v>Corporate</v>
      </c>
      <c r="G660" s="17" t="s">
        <v>1514</v>
      </c>
      <c r="H660" s="17" t="str">
        <f>TRIM('data cleaning'!$I660)</f>
        <v>North</v>
      </c>
      <c r="I660" s="17" t="s">
        <v>1516</v>
      </c>
      <c r="J660" s="17" t="str">
        <f>TRIM('data cleaning'!$K660)</f>
        <v>Office Supplies</v>
      </c>
      <c r="K660" s="17" t="s">
        <v>1520</v>
      </c>
      <c r="L660" s="17" t="str">
        <f>TRIM('data cleaning'!$M660)</f>
        <v>Storage</v>
      </c>
      <c r="M660" s="17" t="s">
        <v>1525</v>
      </c>
      <c r="N660" s="17" t="str">
        <f>PROPER('data cleaning'!$O660)</f>
        <v>Current Storage</v>
      </c>
      <c r="O660" s="17" t="str">
        <f>TRIM('data cleaning'!$P660)</f>
        <v>Current Storage</v>
      </c>
      <c r="P660" s="17" t="s">
        <v>2163</v>
      </c>
      <c r="Q660" s="17">
        <v>1193.01</v>
      </c>
      <c r="R660" s="17">
        <v>4</v>
      </c>
      <c r="S660" s="17">
        <v>0.05</v>
      </c>
      <c r="T660" s="18">
        <v>212.42</v>
      </c>
    </row>
    <row r="661" spans="1:20" ht="15.6" x14ac:dyDescent="0.3">
      <c r="A661" s="19" t="s">
        <v>672</v>
      </c>
      <c r="B661" s="20">
        <v>45991</v>
      </c>
      <c r="C661" s="21">
        <v>45994</v>
      </c>
      <c r="D661" s="22" t="str">
        <f>TRIM('data cleaning'!$E661)</f>
        <v>David Reese</v>
      </c>
      <c r="E661" s="23" t="s">
        <v>1425</v>
      </c>
      <c r="F661" s="23" t="str">
        <f>TRIM('data cleaning'!$G661)</f>
        <v>Corporate</v>
      </c>
      <c r="G661" s="23" t="s">
        <v>1514</v>
      </c>
      <c r="H661" s="23" t="str">
        <f>TRIM('data cleaning'!$I661)</f>
        <v>South</v>
      </c>
      <c r="I661" s="23" t="s">
        <v>1517</v>
      </c>
      <c r="J661" s="23" t="str">
        <f>TRIM('data cleaning'!$K661)</f>
        <v>Office Supplies</v>
      </c>
      <c r="K661" s="23" t="s">
        <v>1520</v>
      </c>
      <c r="L661" s="23" t="str">
        <f>TRIM('data cleaning'!$M661)</f>
        <v>Paper</v>
      </c>
      <c r="M661" s="23" t="s">
        <v>1524</v>
      </c>
      <c r="N661" s="23" t="str">
        <f>PROPER('data cleaning'!$O661)</f>
        <v>Citizen Paper</v>
      </c>
      <c r="O661" s="23" t="str">
        <f>TRIM('data cleaning'!$P661)</f>
        <v>Citizen Paper</v>
      </c>
      <c r="P661" s="23" t="s">
        <v>2164</v>
      </c>
      <c r="Q661" s="23">
        <v>2536.5100000000002</v>
      </c>
      <c r="R661" s="23">
        <v>10</v>
      </c>
      <c r="S661" s="23">
        <v>0.15</v>
      </c>
      <c r="T661" s="24">
        <v>486.02</v>
      </c>
    </row>
    <row r="662" spans="1:20" ht="15.6" x14ac:dyDescent="0.3">
      <c r="A662" s="13" t="s">
        <v>673</v>
      </c>
      <c r="B662" s="14">
        <v>45930</v>
      </c>
      <c r="C662" s="15">
        <v>45938</v>
      </c>
      <c r="D662" s="16" t="str">
        <f>TRIM('data cleaning'!$E662)</f>
        <v>Patricia Reid</v>
      </c>
      <c r="E662" s="17" t="s">
        <v>1426</v>
      </c>
      <c r="F662" s="17" t="str">
        <f>TRIM('data cleaning'!$G662)</f>
        <v>Consumer</v>
      </c>
      <c r="G662" s="17" t="s">
        <v>1513</v>
      </c>
      <c r="H662" s="17" t="str">
        <f>TRIM('data cleaning'!$I662)</f>
        <v>East</v>
      </c>
      <c r="I662" s="17" t="s">
        <v>1519</v>
      </c>
      <c r="J662" s="17" t="str">
        <f>TRIM('data cleaning'!$K662)</f>
        <v>Technology</v>
      </c>
      <c r="K662" s="17" t="s">
        <v>1521</v>
      </c>
      <c r="L662" s="17" t="str">
        <f>TRIM('data cleaning'!$M662)</f>
        <v>Accessories</v>
      </c>
      <c r="M662" s="17" t="s">
        <v>1526</v>
      </c>
      <c r="N662" s="17" t="str">
        <f>PROPER('data cleaning'!$O662)</f>
        <v>Real Accessories</v>
      </c>
      <c r="O662" s="17" t="str">
        <f>TRIM('data cleaning'!$P662)</f>
        <v>Real Accessories</v>
      </c>
      <c r="P662" s="17" t="s">
        <v>2165</v>
      </c>
      <c r="Q662" s="17">
        <v>730.69</v>
      </c>
      <c r="R662" s="17">
        <v>4</v>
      </c>
      <c r="S662" s="17">
        <v>0.05</v>
      </c>
      <c r="T662" s="18">
        <v>-133.19</v>
      </c>
    </row>
    <row r="663" spans="1:20" ht="15.6" x14ac:dyDescent="0.3">
      <c r="A663" s="19" t="s">
        <v>674</v>
      </c>
      <c r="B663" s="20">
        <v>46094</v>
      </c>
      <c r="C663" s="21">
        <v>46098</v>
      </c>
      <c r="D663" s="22" t="str">
        <f>TRIM('data cleaning'!$E663)</f>
        <v>Ashley Ho</v>
      </c>
      <c r="E663" s="23" t="s">
        <v>1427</v>
      </c>
      <c r="F663" s="23" t="str">
        <f>TRIM('data cleaning'!$G663)</f>
        <v>Corporate</v>
      </c>
      <c r="G663" s="23" t="s">
        <v>1514</v>
      </c>
      <c r="H663" s="23" t="str">
        <f>TRIM('data cleaning'!$I663)</f>
        <v>West</v>
      </c>
      <c r="I663" s="23" t="s">
        <v>1518</v>
      </c>
      <c r="J663" s="23" t="str">
        <f>TRIM('data cleaning'!$K663)</f>
        <v>Technology</v>
      </c>
      <c r="K663" s="23" t="s">
        <v>1521</v>
      </c>
      <c r="L663" s="23" t="str">
        <f>TRIM('data cleaning'!$M663)</f>
        <v>Phones</v>
      </c>
      <c r="M663" s="23" t="s">
        <v>1530</v>
      </c>
      <c r="N663" s="23" t="str">
        <f>PROPER('data cleaning'!$O663)</f>
        <v>Market Phones</v>
      </c>
      <c r="O663" s="23" t="str">
        <f>TRIM('data cleaning'!$P663)</f>
        <v>Market Phones</v>
      </c>
      <c r="P663" s="23" t="s">
        <v>2166</v>
      </c>
      <c r="Q663" s="23">
        <v>3800.99</v>
      </c>
      <c r="R663" s="23">
        <v>2</v>
      </c>
      <c r="S663" s="23">
        <v>0.05</v>
      </c>
      <c r="T663" s="24">
        <v>1177.95</v>
      </c>
    </row>
    <row r="664" spans="1:20" ht="15.6" x14ac:dyDescent="0.3">
      <c r="A664" s="13" t="s">
        <v>675</v>
      </c>
      <c r="B664" s="14">
        <v>45878</v>
      </c>
      <c r="C664" s="15">
        <v>45886</v>
      </c>
      <c r="D664" s="16" t="str">
        <f>TRIM('data cleaning'!$E664)</f>
        <v>Sarah Lopez</v>
      </c>
      <c r="E664" s="17" t="s">
        <v>1428</v>
      </c>
      <c r="F664" s="17" t="str">
        <f>TRIM('data cleaning'!$G664)</f>
        <v>Home Office</v>
      </c>
      <c r="G664" s="17" t="s">
        <v>1515</v>
      </c>
      <c r="H664" s="17" t="str">
        <f>TRIM('data cleaning'!$I664)</f>
        <v>West</v>
      </c>
      <c r="I664" s="17" t="s">
        <v>1518</v>
      </c>
      <c r="J664" s="17" t="str">
        <f>TRIM('data cleaning'!$K664)</f>
        <v>Office Supplies</v>
      </c>
      <c r="K664" s="17" t="s">
        <v>1520</v>
      </c>
      <c r="L664" s="17" t="str">
        <f>TRIM('data cleaning'!$M664)</f>
        <v>Paper</v>
      </c>
      <c r="M664" s="17" t="s">
        <v>1524</v>
      </c>
      <c r="N664" s="17" t="str">
        <f>PROPER('data cleaning'!$O664)</f>
        <v>Whose Paper</v>
      </c>
      <c r="O664" s="17" t="str">
        <f>TRIM('data cleaning'!$P664)</f>
        <v>Whose Paper</v>
      </c>
      <c r="P664" s="17" t="s">
        <v>2167</v>
      </c>
      <c r="Q664" s="17">
        <v>4443.5600000000004</v>
      </c>
      <c r="R664" s="17">
        <v>7</v>
      </c>
      <c r="S664" s="17">
        <v>0.15</v>
      </c>
      <c r="T664" s="18">
        <v>1008.32</v>
      </c>
    </row>
    <row r="665" spans="1:20" ht="15.6" x14ac:dyDescent="0.3">
      <c r="A665" s="19" t="s">
        <v>676</v>
      </c>
      <c r="B665" s="20">
        <v>45444</v>
      </c>
      <c r="C665" s="21">
        <v>45451</v>
      </c>
      <c r="D665" s="22" t="str">
        <f>TRIM('data cleaning'!$E665)</f>
        <v>David Friedman</v>
      </c>
      <c r="E665" s="23" t="s">
        <v>1429</v>
      </c>
      <c r="F665" s="23" t="str">
        <f>TRIM('data cleaning'!$G665)</f>
        <v>Home Office</v>
      </c>
      <c r="G665" s="23" t="s">
        <v>1515</v>
      </c>
      <c r="H665" s="23" t="str">
        <f>TRIM('data cleaning'!$I665)</f>
        <v>North</v>
      </c>
      <c r="I665" s="23" t="s">
        <v>1516</v>
      </c>
      <c r="J665" s="23" t="str">
        <f>TRIM('data cleaning'!$K665)</f>
        <v>Office Supplies</v>
      </c>
      <c r="K665" s="23" t="s">
        <v>1520</v>
      </c>
      <c r="L665" s="23" t="str">
        <f>TRIM('data cleaning'!$M665)</f>
        <v>Paper</v>
      </c>
      <c r="M665" s="23" t="s">
        <v>1524</v>
      </c>
      <c r="N665" s="23" t="str">
        <f>PROPER('data cleaning'!$O665)</f>
        <v>Method Paper</v>
      </c>
      <c r="O665" s="23" t="str">
        <f>TRIM('data cleaning'!$P665)</f>
        <v>Method Paper</v>
      </c>
      <c r="P665" s="23" t="s">
        <v>2168</v>
      </c>
      <c r="Q665" s="23">
        <v>3076.95</v>
      </c>
      <c r="R665" s="23">
        <v>10</v>
      </c>
      <c r="S665" s="23">
        <v>0.2</v>
      </c>
      <c r="T665" s="24">
        <v>291.95999999999998</v>
      </c>
    </row>
    <row r="666" spans="1:20" ht="15.6" x14ac:dyDescent="0.3">
      <c r="A666" s="13" t="s">
        <v>677</v>
      </c>
      <c r="B666" s="14">
        <v>46133</v>
      </c>
      <c r="C666" s="15">
        <v>46141</v>
      </c>
      <c r="D666" s="16" t="str">
        <f>TRIM('data cleaning'!$E666)</f>
        <v>Margaret Adams</v>
      </c>
      <c r="E666" s="17" t="s">
        <v>1430</v>
      </c>
      <c r="F666" s="17" t="str">
        <f>TRIM('data cleaning'!$G666)</f>
        <v>Corporate</v>
      </c>
      <c r="G666" s="17" t="s">
        <v>1514</v>
      </c>
      <c r="H666" s="17" t="str">
        <f>TRIM('data cleaning'!$I666)</f>
        <v>North</v>
      </c>
      <c r="I666" s="17" t="s">
        <v>1516</v>
      </c>
      <c r="J666" s="17" t="str">
        <f>TRIM('data cleaning'!$K666)</f>
        <v>Office Supplies</v>
      </c>
      <c r="K666" s="17" t="s">
        <v>1520</v>
      </c>
      <c r="L666" s="17" t="str">
        <f>TRIM('data cleaning'!$M666)</f>
        <v>Binders</v>
      </c>
      <c r="M666" s="17" t="s">
        <v>1523</v>
      </c>
      <c r="N666" s="17" t="str">
        <f>PROPER('data cleaning'!$O666)</f>
        <v>Game Binders</v>
      </c>
      <c r="O666" s="17" t="str">
        <f>TRIM('data cleaning'!$P666)</f>
        <v>Game Binders</v>
      </c>
      <c r="P666" s="17" t="s">
        <v>2169</v>
      </c>
      <c r="Q666" s="17">
        <v>2311.66</v>
      </c>
      <c r="R666" s="17">
        <v>1</v>
      </c>
      <c r="S666" s="17">
        <v>0.05</v>
      </c>
      <c r="T666" s="18">
        <v>197.15</v>
      </c>
    </row>
    <row r="667" spans="1:20" ht="15.6" x14ac:dyDescent="0.3">
      <c r="A667" s="19" t="s">
        <v>678</v>
      </c>
      <c r="B667" s="20">
        <v>46000</v>
      </c>
      <c r="C667" s="21">
        <v>46009</v>
      </c>
      <c r="D667" s="22" t="str">
        <f>TRIM('data cleaning'!$E667)</f>
        <v>Erin Howell</v>
      </c>
      <c r="E667" s="23" t="s">
        <v>1431</v>
      </c>
      <c r="F667" s="23" t="str">
        <f>TRIM('data cleaning'!$G667)</f>
        <v>Corporate</v>
      </c>
      <c r="G667" s="23" t="s">
        <v>1514</v>
      </c>
      <c r="H667" s="23" t="str">
        <f>TRIM('data cleaning'!$I667)</f>
        <v>East</v>
      </c>
      <c r="I667" s="23" t="s">
        <v>1519</v>
      </c>
      <c r="J667" s="23" t="str">
        <f>TRIM('data cleaning'!$K667)</f>
        <v>Office Supplies</v>
      </c>
      <c r="K667" s="23" t="s">
        <v>1520</v>
      </c>
      <c r="L667" s="23" t="str">
        <f>TRIM('data cleaning'!$M667)</f>
        <v>Paper</v>
      </c>
      <c r="M667" s="23" t="s">
        <v>1524</v>
      </c>
      <c r="N667" s="23" t="str">
        <f>PROPER('data cleaning'!$O667)</f>
        <v>Local Paper</v>
      </c>
      <c r="O667" s="23" t="str">
        <f>TRIM('data cleaning'!$P667)</f>
        <v>Local Paper</v>
      </c>
      <c r="P667" s="23" t="s">
        <v>2170</v>
      </c>
      <c r="Q667" s="23">
        <v>3837.54</v>
      </c>
      <c r="R667" s="23">
        <v>1</v>
      </c>
      <c r="S667" s="23">
        <v>0.05</v>
      </c>
      <c r="T667" s="24">
        <v>-152.93</v>
      </c>
    </row>
    <row r="668" spans="1:20" ht="15.6" x14ac:dyDescent="0.3">
      <c r="A668" s="13" t="s">
        <v>679</v>
      </c>
      <c r="B668" s="14">
        <v>45913</v>
      </c>
      <c r="C668" s="15">
        <v>45916</v>
      </c>
      <c r="D668" s="16" t="str">
        <f>TRIM('data cleaning'!$E668)</f>
        <v>Jordan Martinez</v>
      </c>
      <c r="E668" s="17" t="s">
        <v>1432</v>
      </c>
      <c r="F668" s="17" t="str">
        <f>TRIM('data cleaning'!$G668)</f>
        <v>Consumer</v>
      </c>
      <c r="G668" s="17" t="s">
        <v>1513</v>
      </c>
      <c r="H668" s="17" t="str">
        <f>TRIM('data cleaning'!$I668)</f>
        <v>West</v>
      </c>
      <c r="I668" s="17" t="s">
        <v>1518</v>
      </c>
      <c r="J668" s="17" t="str">
        <f>TRIM('data cleaning'!$K668)</f>
        <v>Technology</v>
      </c>
      <c r="K668" s="17" t="s">
        <v>1521</v>
      </c>
      <c r="L668" s="17" t="str">
        <f>TRIM('data cleaning'!$M668)</f>
        <v>Accessories</v>
      </c>
      <c r="M668" s="17" t="s">
        <v>1526</v>
      </c>
      <c r="N668" s="17" t="str">
        <f>PROPER('data cleaning'!$O668)</f>
        <v>Forget Accessories</v>
      </c>
      <c r="O668" s="17" t="str">
        <f>TRIM('data cleaning'!$P668)</f>
        <v>Forget Accessories</v>
      </c>
      <c r="P668" s="17" t="s">
        <v>2171</v>
      </c>
      <c r="Q668" s="17">
        <v>2141.19</v>
      </c>
      <c r="R668" s="17">
        <v>10</v>
      </c>
      <c r="S668" s="17">
        <v>0</v>
      </c>
      <c r="T668" s="18">
        <v>384.29</v>
      </c>
    </row>
    <row r="669" spans="1:20" ht="15.6" x14ac:dyDescent="0.3">
      <c r="A669" s="19" t="s">
        <v>680</v>
      </c>
      <c r="B669" s="20" t="s">
        <v>764</v>
      </c>
      <c r="C669" s="21">
        <v>45317</v>
      </c>
      <c r="D669" s="22" t="str">
        <f>TRIM('data cleaning'!$E669)</f>
        <v>Victor Allen</v>
      </c>
      <c r="E669" s="23" t="s">
        <v>1433</v>
      </c>
      <c r="F669" s="23" t="str">
        <f>TRIM('data cleaning'!$G669)</f>
        <v>Home Office</v>
      </c>
      <c r="G669" s="23" t="s">
        <v>1515</v>
      </c>
      <c r="H669" s="23" t="str">
        <f>TRIM('data cleaning'!$I669)</f>
        <v>South</v>
      </c>
      <c r="I669" s="23" t="s">
        <v>1517</v>
      </c>
      <c r="J669" s="23" t="str">
        <f>TRIM('data cleaning'!$K669)</f>
        <v>Office Supplies</v>
      </c>
      <c r="K669" s="23" t="s">
        <v>1520</v>
      </c>
      <c r="L669" s="23" t="str">
        <f>TRIM('data cleaning'!$M669)</f>
        <v>Paper</v>
      </c>
      <c r="M669" s="23" t="s">
        <v>1524</v>
      </c>
      <c r="N669" s="23" t="str">
        <f>PROPER('data cleaning'!$O669)</f>
        <v>Though Paper</v>
      </c>
      <c r="O669" s="23" t="str">
        <f>TRIM('data cleaning'!$P669)</f>
        <v>Though Paper</v>
      </c>
      <c r="P669" s="23" t="s">
        <v>2172</v>
      </c>
      <c r="Q669" s="23">
        <v>3627.1</v>
      </c>
      <c r="R669" s="23">
        <v>2</v>
      </c>
      <c r="S669" s="23">
        <v>0.05</v>
      </c>
      <c r="T669" s="24">
        <v>828.07</v>
      </c>
    </row>
    <row r="670" spans="1:20" ht="15.6" x14ac:dyDescent="0.3">
      <c r="A670" s="13" t="s">
        <v>681</v>
      </c>
      <c r="B670" s="14">
        <v>45098</v>
      </c>
      <c r="C670" s="15">
        <v>45104</v>
      </c>
      <c r="D670" s="16" t="str">
        <f>TRIM('data cleaning'!$E670)</f>
        <v>Jessica Ferguson</v>
      </c>
      <c r="E670" s="17" t="s">
        <v>1434</v>
      </c>
      <c r="F670" s="17" t="str">
        <f>TRIM('data cleaning'!$G670)</f>
        <v>Home Office</v>
      </c>
      <c r="G670" s="17" t="s">
        <v>1515</v>
      </c>
      <c r="H670" s="17" t="str">
        <f>TRIM('data cleaning'!$I670)</f>
        <v>South</v>
      </c>
      <c r="I670" s="17" t="s">
        <v>1517</v>
      </c>
      <c r="J670" s="17" t="str">
        <f>TRIM('data cleaning'!$K670)</f>
        <v>Technology</v>
      </c>
      <c r="K670" s="17" t="s">
        <v>1521</v>
      </c>
      <c r="L670" s="17" t="str">
        <f>TRIM('data cleaning'!$M670)</f>
        <v>Accessories</v>
      </c>
      <c r="M670" s="17" t="s">
        <v>1526</v>
      </c>
      <c r="N670" s="17" t="str">
        <f>PROPER('data cleaning'!$O670)</f>
        <v>Until Accessories</v>
      </c>
      <c r="O670" s="17" t="str">
        <f>TRIM('data cleaning'!$P670)</f>
        <v>Until Accessories</v>
      </c>
      <c r="P670" s="17" t="s">
        <v>2173</v>
      </c>
      <c r="Q670" s="17">
        <v>2281.88</v>
      </c>
      <c r="R670" s="17">
        <v>3</v>
      </c>
      <c r="S670" s="17">
        <v>0.15</v>
      </c>
      <c r="T670" s="18">
        <v>284.49</v>
      </c>
    </row>
    <row r="671" spans="1:20" ht="15.6" x14ac:dyDescent="0.3">
      <c r="A671" s="19" t="s">
        <v>682</v>
      </c>
      <c r="B671" s="20">
        <v>45460</v>
      </c>
      <c r="C671" s="21">
        <v>45465</v>
      </c>
      <c r="D671" s="22" t="str">
        <f>TRIM('data cleaning'!$E671)</f>
        <v>Joshua Dalton</v>
      </c>
      <c r="E671" s="23" t="s">
        <v>1435</v>
      </c>
      <c r="F671" s="23" t="str">
        <f>TRIM('data cleaning'!$G671)</f>
        <v>Consumer</v>
      </c>
      <c r="G671" s="23" t="s">
        <v>1513</v>
      </c>
      <c r="H671" s="23" t="str">
        <f>TRIM('data cleaning'!$I671)</f>
        <v>North</v>
      </c>
      <c r="I671" s="23" t="s">
        <v>1516</v>
      </c>
      <c r="J671" s="23" t="str">
        <f>TRIM('data cleaning'!$K671)</f>
        <v>Technology</v>
      </c>
      <c r="K671" s="23" t="s">
        <v>1521</v>
      </c>
      <c r="L671" s="23" t="str">
        <f>TRIM('data cleaning'!$M671)</f>
        <v>Phones</v>
      </c>
      <c r="M671" s="23" t="s">
        <v>1530</v>
      </c>
      <c r="N671" s="23" t="str">
        <f>PROPER('data cleaning'!$O671)</f>
        <v>Candidate Phones</v>
      </c>
      <c r="O671" s="23" t="str">
        <f>TRIM('data cleaning'!$P671)</f>
        <v>Candidate Phones</v>
      </c>
      <c r="P671" s="23" t="s">
        <v>1927</v>
      </c>
      <c r="Q671" s="23">
        <v>1654.17</v>
      </c>
      <c r="R671" s="23">
        <v>3</v>
      </c>
      <c r="S671" s="23"/>
      <c r="T671" s="24">
        <v>336.28</v>
      </c>
    </row>
    <row r="672" spans="1:20" ht="15.6" x14ac:dyDescent="0.3">
      <c r="A672" s="13" t="s">
        <v>683</v>
      </c>
      <c r="B672" s="14">
        <v>45664</v>
      </c>
      <c r="C672" s="15">
        <v>45670</v>
      </c>
      <c r="D672" s="16" t="str">
        <f>TRIM('data cleaning'!$E672)</f>
        <v>Karen Curtis</v>
      </c>
      <c r="E672" s="17" t="s">
        <v>1436</v>
      </c>
      <c r="F672" s="17" t="str">
        <f>TRIM('data cleaning'!$G672)</f>
        <v>Home Office</v>
      </c>
      <c r="G672" s="17" t="s">
        <v>1515</v>
      </c>
      <c r="H672" s="17" t="str">
        <f>TRIM('data cleaning'!$I672)</f>
        <v>South</v>
      </c>
      <c r="I672" s="17" t="s">
        <v>1517</v>
      </c>
      <c r="J672" s="17" t="str">
        <f>TRIM('data cleaning'!$K672)</f>
        <v>Office Supplies</v>
      </c>
      <c r="K672" s="17" t="s">
        <v>1520</v>
      </c>
      <c r="L672" s="17" t="str">
        <f>TRIM('data cleaning'!$M672)</f>
        <v>Paper</v>
      </c>
      <c r="M672" s="17" t="s">
        <v>1524</v>
      </c>
      <c r="N672" s="17" t="str">
        <f>PROPER('data cleaning'!$O672)</f>
        <v>Cost Paper</v>
      </c>
      <c r="O672" s="17" t="str">
        <f>TRIM('data cleaning'!$P672)</f>
        <v>Cost Paper</v>
      </c>
      <c r="P672" s="17" t="s">
        <v>2174</v>
      </c>
      <c r="Q672" s="17">
        <v>472.27</v>
      </c>
      <c r="R672" s="17">
        <v>7</v>
      </c>
      <c r="S672" s="17"/>
      <c r="T672" s="18">
        <v>111.02</v>
      </c>
    </row>
    <row r="673" spans="1:20" ht="15.6" x14ac:dyDescent="0.3">
      <c r="A673" s="19" t="s">
        <v>684</v>
      </c>
      <c r="B673" s="20">
        <v>45629</v>
      </c>
      <c r="C673" s="21">
        <v>45636</v>
      </c>
      <c r="D673" s="22" t="str">
        <f>TRIM('data cleaning'!$E673)</f>
        <v>Kathleen Matthews</v>
      </c>
      <c r="E673" s="23" t="s">
        <v>1437</v>
      </c>
      <c r="F673" s="23" t="str">
        <f>TRIM('data cleaning'!$G673)</f>
        <v>Home Office</v>
      </c>
      <c r="G673" s="23" t="s">
        <v>1515</v>
      </c>
      <c r="H673" s="23" t="str">
        <f>TRIM('data cleaning'!$I673)</f>
        <v>South</v>
      </c>
      <c r="I673" s="23" t="s">
        <v>1517</v>
      </c>
      <c r="J673" s="23" t="str">
        <f>TRIM('data cleaning'!$K673)</f>
        <v>Technology</v>
      </c>
      <c r="K673" s="23" t="s">
        <v>1521</v>
      </c>
      <c r="L673" s="23" t="str">
        <f>TRIM('data cleaning'!$M673)</f>
        <v>Laptops</v>
      </c>
      <c r="M673" s="23" t="s">
        <v>1528</v>
      </c>
      <c r="N673" s="23" t="str">
        <f>PROPER('data cleaning'!$O673)</f>
        <v>Bill Laptops</v>
      </c>
      <c r="O673" s="23" t="str">
        <f>TRIM('data cleaning'!$P673)</f>
        <v>Bill Laptops</v>
      </c>
      <c r="P673" s="23" t="s">
        <v>2175</v>
      </c>
      <c r="Q673" s="23">
        <v>267.33999999999997</v>
      </c>
      <c r="R673" s="23">
        <v>3</v>
      </c>
      <c r="S673" s="23">
        <v>0.1</v>
      </c>
      <c r="T673" s="24">
        <v>29.68</v>
      </c>
    </row>
    <row r="674" spans="1:20" ht="15.6" x14ac:dyDescent="0.3">
      <c r="A674" s="13" t="s">
        <v>685</v>
      </c>
      <c r="B674" s="14">
        <v>45131</v>
      </c>
      <c r="C674" s="15">
        <v>45134</v>
      </c>
      <c r="D674" s="16" t="str">
        <f>TRIM('data cleaning'!$E674)</f>
        <v>Lauren Bentley</v>
      </c>
      <c r="E674" s="17" t="s">
        <v>1438</v>
      </c>
      <c r="F674" s="17" t="str">
        <f>TRIM('data cleaning'!$G674)</f>
        <v>Home Office</v>
      </c>
      <c r="G674" s="17" t="s">
        <v>1515</v>
      </c>
      <c r="H674" s="17" t="str">
        <f>TRIM('data cleaning'!$I674)</f>
        <v>West</v>
      </c>
      <c r="I674" s="17" t="s">
        <v>1518</v>
      </c>
      <c r="J674" s="17" t="str">
        <f>TRIM('data cleaning'!$K674)</f>
        <v>Furniture</v>
      </c>
      <c r="K674" s="17" t="s">
        <v>1522</v>
      </c>
      <c r="L674" s="17" t="str">
        <f>TRIM('data cleaning'!$M674)</f>
        <v>Chairs</v>
      </c>
      <c r="M674" s="17" t="s">
        <v>1531</v>
      </c>
      <c r="N674" s="17" t="str">
        <f>PROPER('data cleaning'!$O674)</f>
        <v>Forget Chairs</v>
      </c>
      <c r="O674" s="17" t="str">
        <f>TRIM('data cleaning'!$P674)</f>
        <v>Forget Chairs</v>
      </c>
      <c r="P674" s="17" t="s">
        <v>1553</v>
      </c>
      <c r="Q674" s="17">
        <v>3857.33</v>
      </c>
      <c r="R674" s="17">
        <v>1</v>
      </c>
      <c r="S674" s="17">
        <v>0.15</v>
      </c>
      <c r="T674" s="18">
        <v>-117.9</v>
      </c>
    </row>
    <row r="675" spans="1:20" ht="15.6" x14ac:dyDescent="0.3">
      <c r="A675" s="19" t="s">
        <v>686</v>
      </c>
      <c r="B675" s="20">
        <v>45710</v>
      </c>
      <c r="C675" s="21">
        <v>45713</v>
      </c>
      <c r="D675" s="22" t="str">
        <f>TRIM('data cleaning'!$E675)</f>
        <v>Jerry Russell</v>
      </c>
      <c r="E675" s="23" t="s">
        <v>1439</v>
      </c>
      <c r="F675" s="23" t="str">
        <f>TRIM('data cleaning'!$G675)</f>
        <v>Corporate</v>
      </c>
      <c r="G675" s="23" t="s">
        <v>1514</v>
      </c>
      <c r="H675" s="23" t="str">
        <f>TRIM('data cleaning'!$I675)</f>
        <v>North</v>
      </c>
      <c r="I675" s="23" t="s">
        <v>1516</v>
      </c>
      <c r="J675" s="23" t="str">
        <f>TRIM('data cleaning'!$K675)</f>
        <v>Technology</v>
      </c>
      <c r="K675" s="23" t="s">
        <v>1521</v>
      </c>
      <c r="L675" s="23" t="str">
        <f>TRIM('data cleaning'!$M675)</f>
        <v>Laptops</v>
      </c>
      <c r="M675" s="23" t="s">
        <v>1528</v>
      </c>
      <c r="N675" s="23" t="str">
        <f>PROPER('data cleaning'!$O675)</f>
        <v>Scene Laptops</v>
      </c>
      <c r="O675" s="23" t="str">
        <f>TRIM('data cleaning'!$P675)</f>
        <v>Scene Laptops</v>
      </c>
      <c r="P675" s="23" t="s">
        <v>2176</v>
      </c>
      <c r="Q675" s="23">
        <v>631.89</v>
      </c>
      <c r="R675" s="23">
        <v>3</v>
      </c>
      <c r="S675" s="23">
        <v>0.05</v>
      </c>
      <c r="T675" s="24">
        <v>-125.15</v>
      </c>
    </row>
    <row r="676" spans="1:20" ht="15.6" x14ac:dyDescent="0.3">
      <c r="A676" s="13" t="s">
        <v>687</v>
      </c>
      <c r="B676" s="14">
        <v>45931</v>
      </c>
      <c r="C676" s="15">
        <v>45939</v>
      </c>
      <c r="D676" s="16" t="str">
        <f>TRIM('data cleaning'!$E676)</f>
        <v>Joann Maldonado</v>
      </c>
      <c r="E676" s="17" t="s">
        <v>1440</v>
      </c>
      <c r="F676" s="17" t="str">
        <f>TRIM('data cleaning'!$G676)</f>
        <v>Consumer</v>
      </c>
      <c r="G676" s="17" t="s">
        <v>1513</v>
      </c>
      <c r="H676" s="17" t="str">
        <f>TRIM('data cleaning'!$I676)</f>
        <v>South</v>
      </c>
      <c r="I676" s="17" t="s">
        <v>1517</v>
      </c>
      <c r="J676" s="17" t="str">
        <f>TRIM('data cleaning'!$K676)</f>
        <v>Technology</v>
      </c>
      <c r="K676" s="17" t="s">
        <v>1521</v>
      </c>
      <c r="L676" s="17" t="str">
        <f>TRIM('data cleaning'!$M676)</f>
        <v>Accessories</v>
      </c>
      <c r="M676" s="17" t="s">
        <v>1526</v>
      </c>
      <c r="N676" s="17" t="str">
        <f>PROPER('data cleaning'!$O676)</f>
        <v>Police Accessories</v>
      </c>
      <c r="O676" s="17" t="str">
        <f>TRIM('data cleaning'!$P676)</f>
        <v>Police Accessories</v>
      </c>
      <c r="P676" s="17" t="s">
        <v>2177</v>
      </c>
      <c r="Q676" s="17">
        <v>2740.33</v>
      </c>
      <c r="R676" s="17">
        <v>1</v>
      </c>
      <c r="S676" s="17">
        <v>0.2</v>
      </c>
      <c r="T676" s="18">
        <v>782.33</v>
      </c>
    </row>
    <row r="677" spans="1:20" ht="15.6" x14ac:dyDescent="0.3">
      <c r="A677" s="19" t="s">
        <v>688</v>
      </c>
      <c r="B677" s="20">
        <v>45336</v>
      </c>
      <c r="C677" s="21">
        <v>45344</v>
      </c>
      <c r="D677" s="22" t="str">
        <f>TRIM('data cleaning'!$E677)</f>
        <v>Ashley Best</v>
      </c>
      <c r="E677" s="23" t="s">
        <v>1441</v>
      </c>
      <c r="F677" s="23" t="str">
        <f>TRIM('data cleaning'!$G677)</f>
        <v>Consumer</v>
      </c>
      <c r="G677" s="23" t="s">
        <v>1513</v>
      </c>
      <c r="H677" s="23" t="str">
        <f>TRIM('data cleaning'!$I677)</f>
        <v>South</v>
      </c>
      <c r="I677" s="23" t="s">
        <v>1517</v>
      </c>
      <c r="J677" s="23" t="str">
        <f>TRIM('data cleaning'!$K677)</f>
        <v>Office Supplies</v>
      </c>
      <c r="K677" s="23" t="s">
        <v>1520</v>
      </c>
      <c r="L677" s="23" t="str">
        <f>TRIM('data cleaning'!$M677)</f>
        <v>Storage</v>
      </c>
      <c r="M677" s="23" t="s">
        <v>1525</v>
      </c>
      <c r="N677" s="23" t="str">
        <f>PROPER('data cleaning'!$O677)</f>
        <v>Imagine Storage</v>
      </c>
      <c r="O677" s="23" t="str">
        <f>TRIM('data cleaning'!$P677)</f>
        <v>Imagine Storage</v>
      </c>
      <c r="P677" s="23" t="s">
        <v>2178</v>
      </c>
      <c r="Q677" s="23">
        <v>2296.0100000000002</v>
      </c>
      <c r="R677" s="23">
        <v>8</v>
      </c>
      <c r="S677" s="23">
        <v>0</v>
      </c>
      <c r="T677" s="24">
        <v>300.02</v>
      </c>
    </row>
    <row r="678" spans="1:20" ht="15.6" x14ac:dyDescent="0.3">
      <c r="A678" s="13" t="s">
        <v>689</v>
      </c>
      <c r="B678" s="14">
        <v>45213</v>
      </c>
      <c r="C678" s="15">
        <v>45223</v>
      </c>
      <c r="D678" s="16" t="str">
        <f>TRIM('data cleaning'!$E678)</f>
        <v>Brenda Hebert</v>
      </c>
      <c r="E678" s="17" t="s">
        <v>1442</v>
      </c>
      <c r="F678" s="17" t="str">
        <f>TRIM('data cleaning'!$G678)</f>
        <v>Consumer</v>
      </c>
      <c r="G678" s="17" t="s">
        <v>1513</v>
      </c>
      <c r="H678" s="17" t="str">
        <f>TRIM('data cleaning'!$I678)</f>
        <v>East</v>
      </c>
      <c r="I678" s="17" t="s">
        <v>1519</v>
      </c>
      <c r="J678" s="17" t="str">
        <f>TRIM('data cleaning'!$K678)</f>
        <v>Office Supplies</v>
      </c>
      <c r="K678" s="17" t="s">
        <v>1520</v>
      </c>
      <c r="L678" s="17" t="str">
        <f>TRIM('data cleaning'!$M678)</f>
        <v>Paper</v>
      </c>
      <c r="M678" s="17" t="s">
        <v>1524</v>
      </c>
      <c r="N678" s="17" t="str">
        <f>PROPER('data cleaning'!$O678)</f>
        <v>Even Paper</v>
      </c>
      <c r="O678" s="17" t="str">
        <f>TRIM('data cleaning'!$P678)</f>
        <v>Even Paper</v>
      </c>
      <c r="P678" s="17" t="s">
        <v>2179</v>
      </c>
      <c r="Q678" s="17">
        <v>3161.75</v>
      </c>
      <c r="R678" s="17">
        <v>4</v>
      </c>
      <c r="S678" s="17">
        <v>0</v>
      </c>
      <c r="T678" s="18">
        <v>-310.92</v>
      </c>
    </row>
    <row r="679" spans="1:20" ht="15.6" x14ac:dyDescent="0.3">
      <c r="A679" s="19" t="s">
        <v>690</v>
      </c>
      <c r="B679" s="20">
        <v>45754</v>
      </c>
      <c r="C679" s="21">
        <v>45755</v>
      </c>
      <c r="D679" s="22" t="str">
        <f>TRIM('data cleaning'!$E679)</f>
        <v>Karen Smith</v>
      </c>
      <c r="E679" s="23" t="s">
        <v>1443</v>
      </c>
      <c r="F679" s="23" t="str">
        <f>TRIM('data cleaning'!$G679)</f>
        <v>Consumer</v>
      </c>
      <c r="G679" s="23" t="s">
        <v>1513</v>
      </c>
      <c r="H679" s="23" t="str">
        <f>TRIM('data cleaning'!$I679)</f>
        <v>North</v>
      </c>
      <c r="I679" s="23" t="s">
        <v>1516</v>
      </c>
      <c r="J679" s="23" t="str">
        <f>TRIM('data cleaning'!$K679)</f>
        <v>Furniture</v>
      </c>
      <c r="K679" s="23" t="s">
        <v>1522</v>
      </c>
      <c r="L679" s="23" t="str">
        <f>TRIM('data cleaning'!$M679)</f>
        <v>Chairs</v>
      </c>
      <c r="M679" s="23" t="s">
        <v>1531</v>
      </c>
      <c r="N679" s="23" t="str">
        <f>PROPER('data cleaning'!$O679)</f>
        <v>Win Chairs</v>
      </c>
      <c r="O679" s="23" t="str">
        <f>TRIM('data cleaning'!$P679)</f>
        <v>Win Chairs</v>
      </c>
      <c r="P679" s="23" t="s">
        <v>2180</v>
      </c>
      <c r="Q679" s="23">
        <v>3351.63</v>
      </c>
      <c r="R679" s="23">
        <v>10</v>
      </c>
      <c r="S679" s="23">
        <v>0.1</v>
      </c>
      <c r="T679" s="24">
        <v>-59.96</v>
      </c>
    </row>
    <row r="680" spans="1:20" ht="15.6" x14ac:dyDescent="0.3">
      <c r="A680" s="13" t="s">
        <v>691</v>
      </c>
      <c r="B680" s="14">
        <v>46094</v>
      </c>
      <c r="C680" s="15">
        <v>46097</v>
      </c>
      <c r="D680" s="16" t="str">
        <f>TRIM('data cleaning'!$E680)</f>
        <v>Franklin Davis</v>
      </c>
      <c r="E680" s="17" t="s">
        <v>1444</v>
      </c>
      <c r="F680" s="17" t="str">
        <f>TRIM('data cleaning'!$G680)</f>
        <v>Home Office</v>
      </c>
      <c r="G680" s="17" t="s">
        <v>1515</v>
      </c>
      <c r="H680" s="17" t="str">
        <f>TRIM('data cleaning'!$I680)</f>
        <v>South</v>
      </c>
      <c r="I680" s="17" t="s">
        <v>1517</v>
      </c>
      <c r="J680" s="17" t="str">
        <f>TRIM('data cleaning'!$K680)</f>
        <v>Furniture</v>
      </c>
      <c r="K680" s="17" t="s">
        <v>1522</v>
      </c>
      <c r="L680" s="17" t="str">
        <f>TRIM('data cleaning'!$M680)</f>
        <v>Tables</v>
      </c>
      <c r="M680" s="17" t="s">
        <v>1529</v>
      </c>
      <c r="N680" s="17" t="str">
        <f>PROPER('data cleaning'!$O680)</f>
        <v>Knowledge Tables</v>
      </c>
      <c r="O680" s="17" t="str">
        <f>TRIM('data cleaning'!$P680)</f>
        <v>Knowledge Tables</v>
      </c>
      <c r="P680" s="17" t="s">
        <v>2181</v>
      </c>
      <c r="Q680" s="17">
        <v>848.61</v>
      </c>
      <c r="R680" s="17">
        <v>5</v>
      </c>
      <c r="S680" s="17">
        <v>0.2</v>
      </c>
      <c r="T680" s="18">
        <v>138.75</v>
      </c>
    </row>
    <row r="681" spans="1:20" ht="15.6" x14ac:dyDescent="0.3">
      <c r="A681" s="19" t="s">
        <v>692</v>
      </c>
      <c r="B681" s="20">
        <v>45368</v>
      </c>
      <c r="C681" s="21">
        <v>45378</v>
      </c>
      <c r="D681" s="22" t="str">
        <f>TRIM('data cleaning'!$E681)</f>
        <v>Christine Ray</v>
      </c>
      <c r="E681" s="23" t="s">
        <v>1445</v>
      </c>
      <c r="F681" s="23" t="str">
        <f>TRIM('data cleaning'!$G681)</f>
        <v>Corporate</v>
      </c>
      <c r="G681" s="23" t="s">
        <v>1514</v>
      </c>
      <c r="H681" s="23" t="str">
        <f>TRIM('data cleaning'!$I681)</f>
        <v>East</v>
      </c>
      <c r="I681" s="23" t="s">
        <v>1519</v>
      </c>
      <c r="J681" s="23" t="str">
        <f>TRIM('data cleaning'!$K681)</f>
        <v>Technology</v>
      </c>
      <c r="K681" s="23" t="s">
        <v>1521</v>
      </c>
      <c r="L681" s="23" t="str">
        <f>TRIM('data cleaning'!$M681)</f>
        <v>Laptops</v>
      </c>
      <c r="M681" s="23" t="s">
        <v>1528</v>
      </c>
      <c r="N681" s="23" t="str">
        <f>PROPER('data cleaning'!$O681)</f>
        <v>Western Laptops</v>
      </c>
      <c r="O681" s="23" t="str">
        <f>TRIM('data cleaning'!$P681)</f>
        <v>Western Laptops</v>
      </c>
      <c r="P681" s="23" t="s">
        <v>2182</v>
      </c>
      <c r="Q681" s="23">
        <v>1832.93</v>
      </c>
      <c r="R681" s="23">
        <v>1</v>
      </c>
      <c r="S681" s="23">
        <v>0</v>
      </c>
      <c r="T681" s="24">
        <v>408.16</v>
      </c>
    </row>
    <row r="682" spans="1:20" ht="15.6" x14ac:dyDescent="0.3">
      <c r="A682" s="13" t="s">
        <v>693</v>
      </c>
      <c r="B682" s="14">
        <v>45354</v>
      </c>
      <c r="C682" s="15">
        <v>45361</v>
      </c>
      <c r="D682" s="16" t="str">
        <f>TRIM('data cleaning'!$E682)</f>
        <v/>
      </c>
      <c r="E682" s="17"/>
      <c r="F682" s="17" t="str">
        <f>TRIM('data cleaning'!$G682)</f>
        <v>Consumer</v>
      </c>
      <c r="G682" s="17" t="s">
        <v>1513</v>
      </c>
      <c r="H682" s="17" t="str">
        <f>TRIM('data cleaning'!$I682)</f>
        <v>East</v>
      </c>
      <c r="I682" s="17" t="s">
        <v>1519</v>
      </c>
      <c r="J682" s="17" t="str">
        <f>TRIM('data cleaning'!$K682)</f>
        <v>Technology</v>
      </c>
      <c r="K682" s="17" t="s">
        <v>1521</v>
      </c>
      <c r="L682" s="17" t="str">
        <f>TRIM('data cleaning'!$M682)</f>
        <v>Phones</v>
      </c>
      <c r="M682" s="17" t="s">
        <v>1530</v>
      </c>
      <c r="N682" s="17" t="str">
        <f>PROPER('data cleaning'!$O682)</f>
        <v>Truth Phones</v>
      </c>
      <c r="O682" s="17" t="str">
        <f>TRIM('data cleaning'!$P682)</f>
        <v>Truth Phones</v>
      </c>
      <c r="P682" s="17" t="s">
        <v>2183</v>
      </c>
      <c r="Q682" s="17">
        <v>4224.38</v>
      </c>
      <c r="R682" s="17">
        <v>2</v>
      </c>
      <c r="S682" s="17">
        <v>0.1</v>
      </c>
      <c r="T682" s="18">
        <v>249.02</v>
      </c>
    </row>
    <row r="683" spans="1:20" ht="15.6" x14ac:dyDescent="0.3">
      <c r="A683" s="19" t="s">
        <v>694</v>
      </c>
      <c r="B683" s="20">
        <v>45085</v>
      </c>
      <c r="C683" s="21">
        <v>45092</v>
      </c>
      <c r="D683" s="22" t="str">
        <f>TRIM('data cleaning'!$E683)</f>
        <v>David Logan</v>
      </c>
      <c r="E683" s="23" t="s">
        <v>1446</v>
      </c>
      <c r="F683" s="23" t="str">
        <f>TRIM('data cleaning'!$G683)</f>
        <v>Home Office</v>
      </c>
      <c r="G683" s="23" t="s">
        <v>1515</v>
      </c>
      <c r="H683" s="23" t="str">
        <f>TRIM('data cleaning'!$I683)</f>
        <v>North</v>
      </c>
      <c r="I683" s="23" t="s">
        <v>1516</v>
      </c>
      <c r="J683" s="23" t="str">
        <f>TRIM('data cleaning'!$K683)</f>
        <v>Technology</v>
      </c>
      <c r="K683" s="23" t="s">
        <v>1521</v>
      </c>
      <c r="L683" s="23" t="str">
        <f>TRIM('data cleaning'!$M683)</f>
        <v>Laptops</v>
      </c>
      <c r="M683" s="23" t="s">
        <v>1528</v>
      </c>
      <c r="N683" s="23" t="str">
        <f>PROPER('data cleaning'!$O683)</f>
        <v>Yourself Laptops</v>
      </c>
      <c r="O683" s="23" t="str">
        <f>TRIM('data cleaning'!$P683)</f>
        <v>Yourself Laptops</v>
      </c>
      <c r="P683" s="23" t="s">
        <v>2184</v>
      </c>
      <c r="Q683" s="23">
        <v>2647</v>
      </c>
      <c r="R683" s="23">
        <v>4</v>
      </c>
      <c r="S683" s="23">
        <v>0.2</v>
      </c>
      <c r="T683" s="24">
        <v>-444.69</v>
      </c>
    </row>
    <row r="684" spans="1:20" ht="15.6" x14ac:dyDescent="0.3">
      <c r="A684" s="13" t="s">
        <v>695</v>
      </c>
      <c r="B684" s="14">
        <v>45904</v>
      </c>
      <c r="C684" s="15">
        <v>45914</v>
      </c>
      <c r="D684" s="16" t="str">
        <f>TRIM('data cleaning'!$E684)</f>
        <v>Breanna Palmer</v>
      </c>
      <c r="E684" s="17" t="s">
        <v>1447</v>
      </c>
      <c r="F684" s="17" t="str">
        <f>TRIM('data cleaning'!$G684)</f>
        <v>Corporate</v>
      </c>
      <c r="G684" s="17" t="s">
        <v>1514</v>
      </c>
      <c r="H684" s="17" t="str">
        <f>TRIM('data cleaning'!$I684)</f>
        <v>East</v>
      </c>
      <c r="I684" s="17" t="s">
        <v>1519</v>
      </c>
      <c r="J684" s="17" t="str">
        <f>TRIM('data cleaning'!$K684)</f>
        <v>Technology</v>
      </c>
      <c r="K684" s="17" t="s">
        <v>1521</v>
      </c>
      <c r="L684" s="17" t="str">
        <f>TRIM('data cleaning'!$M684)</f>
        <v>Laptops</v>
      </c>
      <c r="M684" s="17" t="s">
        <v>1528</v>
      </c>
      <c r="N684" s="17" t="str">
        <f>PROPER('data cleaning'!$O684)</f>
        <v>Inside Laptops</v>
      </c>
      <c r="O684" s="17" t="str">
        <f>TRIM('data cleaning'!$P684)</f>
        <v>Inside Laptops</v>
      </c>
      <c r="P684" s="17" t="s">
        <v>2185</v>
      </c>
      <c r="Q684" s="17">
        <v>4672.76</v>
      </c>
      <c r="R684" s="17">
        <v>5</v>
      </c>
      <c r="S684" s="17">
        <v>0.15</v>
      </c>
      <c r="T684" s="18">
        <v>630.19000000000005</v>
      </c>
    </row>
    <row r="685" spans="1:20" ht="15.6" x14ac:dyDescent="0.3">
      <c r="A685" s="19" t="s">
        <v>696</v>
      </c>
      <c r="B685" s="20">
        <v>46035</v>
      </c>
      <c r="C685" s="21">
        <v>46045</v>
      </c>
      <c r="D685" s="22" t="str">
        <f>TRIM('data cleaning'!$E685)</f>
        <v>Jason Butler</v>
      </c>
      <c r="E685" s="23" t="s">
        <v>1448</v>
      </c>
      <c r="F685" s="23" t="str">
        <f>TRIM('data cleaning'!$G685)</f>
        <v>Home Office</v>
      </c>
      <c r="G685" s="23" t="s">
        <v>1515</v>
      </c>
      <c r="H685" s="23" t="str">
        <f>TRIM('data cleaning'!$I685)</f>
        <v>West</v>
      </c>
      <c r="I685" s="23" t="s">
        <v>1518</v>
      </c>
      <c r="J685" s="23" t="str">
        <f>TRIM('data cleaning'!$K685)</f>
        <v>Office Supplies</v>
      </c>
      <c r="K685" s="23" t="s">
        <v>1520</v>
      </c>
      <c r="L685" s="23" t="str">
        <f>TRIM('data cleaning'!$M685)</f>
        <v>Storage</v>
      </c>
      <c r="M685" s="23" t="s">
        <v>1525</v>
      </c>
      <c r="N685" s="23" t="str">
        <f>PROPER('data cleaning'!$O685)</f>
        <v>Wear Storage</v>
      </c>
      <c r="O685" s="23" t="str">
        <f>TRIM('data cleaning'!$P685)</f>
        <v>Wear Storage</v>
      </c>
      <c r="P685" s="23" t="s">
        <v>1665</v>
      </c>
      <c r="Q685" s="23">
        <v>1801.57</v>
      </c>
      <c r="R685" s="23">
        <v>3</v>
      </c>
      <c r="S685" s="23">
        <v>0.2</v>
      </c>
      <c r="T685" s="24">
        <v>197.18</v>
      </c>
    </row>
    <row r="686" spans="1:20" ht="15.6" x14ac:dyDescent="0.3">
      <c r="A686" s="13" t="s">
        <v>697</v>
      </c>
      <c r="B686" s="14">
        <v>45534</v>
      </c>
      <c r="C686" s="15">
        <v>45544</v>
      </c>
      <c r="D686" s="16" t="str">
        <f>TRIM('data cleaning'!$E686)</f>
        <v>Laura Morrow</v>
      </c>
      <c r="E686" s="17" t="s">
        <v>1449</v>
      </c>
      <c r="F686" s="17" t="str">
        <f>TRIM('data cleaning'!$G686)</f>
        <v>Consumer</v>
      </c>
      <c r="G686" s="17" t="s">
        <v>1513</v>
      </c>
      <c r="H686" s="17" t="str">
        <f>TRIM('data cleaning'!$I686)</f>
        <v>West</v>
      </c>
      <c r="I686" s="17" t="s">
        <v>1518</v>
      </c>
      <c r="J686" s="17" t="str">
        <f>TRIM('data cleaning'!$K686)</f>
        <v>Technology</v>
      </c>
      <c r="K686" s="17" t="s">
        <v>1521</v>
      </c>
      <c r="L686" s="17" t="str">
        <f>TRIM('data cleaning'!$M686)</f>
        <v>Phones</v>
      </c>
      <c r="M686" s="17" t="s">
        <v>1530</v>
      </c>
      <c r="N686" s="17" t="str">
        <f>PROPER('data cleaning'!$O686)</f>
        <v>Affect Phones</v>
      </c>
      <c r="O686" s="17" t="str">
        <f>TRIM('data cleaning'!$P686)</f>
        <v>Affect Phones</v>
      </c>
      <c r="P686" s="17" t="s">
        <v>2186</v>
      </c>
      <c r="Q686" s="17">
        <v>1201.97</v>
      </c>
      <c r="R686" s="17">
        <v>5</v>
      </c>
      <c r="S686" s="17">
        <v>0.05</v>
      </c>
      <c r="T686" s="18">
        <v>-239.35</v>
      </c>
    </row>
    <row r="687" spans="1:20" ht="15.6" x14ac:dyDescent="0.3">
      <c r="A687" s="19" t="s">
        <v>698</v>
      </c>
      <c r="B687" s="20">
        <v>45548</v>
      </c>
      <c r="C687" s="21">
        <v>45552</v>
      </c>
      <c r="D687" s="22" t="str">
        <f>TRIM('data cleaning'!$E687)</f>
        <v>Jennifer Baker</v>
      </c>
      <c r="E687" s="23" t="s">
        <v>1450</v>
      </c>
      <c r="F687" s="23" t="str">
        <f>TRIM('data cleaning'!$G687)</f>
        <v>Corporate</v>
      </c>
      <c r="G687" s="23" t="s">
        <v>1514</v>
      </c>
      <c r="H687" s="23" t="str">
        <f>TRIM('data cleaning'!$I687)</f>
        <v/>
      </c>
      <c r="I687" s="23"/>
      <c r="J687" s="23" t="str">
        <f>TRIM('data cleaning'!$K687)</f>
        <v>Office Supplies</v>
      </c>
      <c r="K687" s="23" t="s">
        <v>1520</v>
      </c>
      <c r="L687" s="23" t="str">
        <f>TRIM('data cleaning'!$M687)</f>
        <v>Binders</v>
      </c>
      <c r="M687" s="23" t="s">
        <v>1523</v>
      </c>
      <c r="N687" s="23" t="str">
        <f>PROPER('data cleaning'!$O687)</f>
        <v>Design Binders</v>
      </c>
      <c r="O687" s="23" t="str">
        <f>TRIM('data cleaning'!$P687)</f>
        <v>Design Binders</v>
      </c>
      <c r="P687" s="23" t="s">
        <v>2187</v>
      </c>
      <c r="Q687" s="23">
        <v>4007.84</v>
      </c>
      <c r="R687" s="23">
        <v>7</v>
      </c>
      <c r="S687" s="23">
        <v>0.15</v>
      </c>
      <c r="T687" s="24">
        <v>-701.29</v>
      </c>
    </row>
    <row r="688" spans="1:20" ht="15.6" x14ac:dyDescent="0.3">
      <c r="A688" s="13" t="s">
        <v>699</v>
      </c>
      <c r="B688" s="14">
        <v>45666</v>
      </c>
      <c r="C688" s="15">
        <v>45670</v>
      </c>
      <c r="D688" s="16" t="str">
        <f>TRIM('data cleaning'!$E688)</f>
        <v>Gabriel House</v>
      </c>
      <c r="E688" s="17" t="s">
        <v>1451</v>
      </c>
      <c r="F688" s="17" t="str">
        <f>TRIM('data cleaning'!$G688)</f>
        <v>Home Office</v>
      </c>
      <c r="G688" s="17" t="s">
        <v>1515</v>
      </c>
      <c r="H688" s="17" t="str">
        <f>TRIM('data cleaning'!$I688)</f>
        <v/>
      </c>
      <c r="I688" s="17"/>
      <c r="J688" s="17" t="str">
        <f>TRIM('data cleaning'!$K688)</f>
        <v>Furniture</v>
      </c>
      <c r="K688" s="17" t="s">
        <v>1522</v>
      </c>
      <c r="L688" s="17" t="str">
        <f>TRIM('data cleaning'!$M688)</f>
        <v>Bookcases</v>
      </c>
      <c r="M688" s="17" t="s">
        <v>1527</v>
      </c>
      <c r="N688" s="17" t="str">
        <f>PROPER('data cleaning'!$O688)</f>
        <v>Summer Bookcases</v>
      </c>
      <c r="O688" s="17" t="str">
        <f>TRIM('data cleaning'!$P688)</f>
        <v>Summer Bookcases</v>
      </c>
      <c r="P688" s="17" t="s">
        <v>2188</v>
      </c>
      <c r="Q688" s="17">
        <v>3465.58</v>
      </c>
      <c r="R688" s="17">
        <v>5</v>
      </c>
      <c r="S688" s="17">
        <v>0</v>
      </c>
      <c r="T688" s="18">
        <v>-106.48</v>
      </c>
    </row>
    <row r="689" spans="1:20" ht="15.6" x14ac:dyDescent="0.3">
      <c r="A689" s="19" t="s">
        <v>700</v>
      </c>
      <c r="B689" s="20">
        <v>46075</v>
      </c>
      <c r="C689" s="21">
        <v>46081</v>
      </c>
      <c r="D689" s="22" t="str">
        <f>TRIM('data cleaning'!$E689)</f>
        <v>Jeffrey Vaughn</v>
      </c>
      <c r="E689" s="23" t="s">
        <v>1452</v>
      </c>
      <c r="F689" s="23" t="str">
        <f>TRIM('data cleaning'!$G689)</f>
        <v>Consumer</v>
      </c>
      <c r="G689" s="23" t="s">
        <v>1513</v>
      </c>
      <c r="H689" s="23" t="str">
        <f>TRIM('data cleaning'!$I689)</f>
        <v>South</v>
      </c>
      <c r="I689" s="23" t="s">
        <v>1517</v>
      </c>
      <c r="J689" s="23" t="str">
        <f>TRIM('data cleaning'!$K689)</f>
        <v>Furniture</v>
      </c>
      <c r="K689" s="23" t="s">
        <v>1522</v>
      </c>
      <c r="L689" s="23" t="str">
        <f>TRIM('data cleaning'!$M689)</f>
        <v>Chairs</v>
      </c>
      <c r="M689" s="23" t="s">
        <v>1531</v>
      </c>
      <c r="N689" s="23" t="str">
        <f>PROPER('data cleaning'!$O689)</f>
        <v>How Chairs</v>
      </c>
      <c r="O689" s="23" t="str">
        <f>TRIM('data cleaning'!$P689)</f>
        <v>How Chairs</v>
      </c>
      <c r="P689" s="23" t="s">
        <v>2189</v>
      </c>
      <c r="Q689" s="23">
        <v>1739.74</v>
      </c>
      <c r="R689" s="23">
        <v>10</v>
      </c>
      <c r="S689" s="23">
        <v>0.2</v>
      </c>
      <c r="T689" s="24">
        <v>570.74</v>
      </c>
    </row>
    <row r="690" spans="1:20" ht="15.6" x14ac:dyDescent="0.3">
      <c r="A690" s="13" t="s">
        <v>701</v>
      </c>
      <c r="B690" s="14">
        <v>45638</v>
      </c>
      <c r="C690" s="15">
        <v>45646</v>
      </c>
      <c r="D690" s="16" t="str">
        <f>TRIM('data cleaning'!$E690)</f>
        <v>Michael Hernandez</v>
      </c>
      <c r="E690" s="17" t="s">
        <v>1453</v>
      </c>
      <c r="F690" s="17" t="str">
        <f>TRIM('data cleaning'!$G690)</f>
        <v>Consumer</v>
      </c>
      <c r="G690" s="17" t="s">
        <v>1513</v>
      </c>
      <c r="H690" s="17" t="str">
        <f>TRIM('data cleaning'!$I690)</f>
        <v>West</v>
      </c>
      <c r="I690" s="17" t="s">
        <v>1518</v>
      </c>
      <c r="J690" s="17" t="str">
        <f>TRIM('data cleaning'!$K690)</f>
        <v>Technology</v>
      </c>
      <c r="K690" s="17" t="s">
        <v>1521</v>
      </c>
      <c r="L690" s="17" t="str">
        <f>TRIM('data cleaning'!$M690)</f>
        <v>Accessories</v>
      </c>
      <c r="M690" s="17" t="s">
        <v>1526</v>
      </c>
      <c r="N690" s="17" t="str">
        <f>PROPER('data cleaning'!$O690)</f>
        <v>Tend Accessories</v>
      </c>
      <c r="O690" s="17" t="str">
        <f>TRIM('data cleaning'!$P690)</f>
        <v>Tend Accessories</v>
      </c>
      <c r="P690" s="17" t="s">
        <v>2190</v>
      </c>
      <c r="Q690" s="17">
        <v>4585.01</v>
      </c>
      <c r="R690" s="17">
        <v>1</v>
      </c>
      <c r="S690" s="17"/>
      <c r="T690" s="18">
        <v>-574.66</v>
      </c>
    </row>
    <row r="691" spans="1:20" ht="15.6" x14ac:dyDescent="0.3">
      <c r="A691" s="19" t="s">
        <v>702</v>
      </c>
      <c r="B691" s="20">
        <v>45390</v>
      </c>
      <c r="C691" s="21">
        <v>45398</v>
      </c>
      <c r="D691" s="22" t="str">
        <f>TRIM('data cleaning'!$E691)</f>
        <v>Stephanie Cabrera DVM</v>
      </c>
      <c r="E691" s="23" t="s">
        <v>1454</v>
      </c>
      <c r="F691" s="23" t="str">
        <f>TRIM('data cleaning'!$G691)</f>
        <v>Home Office</v>
      </c>
      <c r="G691" s="23" t="s">
        <v>1515</v>
      </c>
      <c r="H691" s="23" t="str">
        <f>TRIM('data cleaning'!$I691)</f>
        <v>East</v>
      </c>
      <c r="I691" s="23" t="s">
        <v>1519</v>
      </c>
      <c r="J691" s="23" t="str">
        <f>TRIM('data cleaning'!$K691)</f>
        <v>Office Supplies</v>
      </c>
      <c r="K691" s="23" t="s">
        <v>1520</v>
      </c>
      <c r="L691" s="23" t="str">
        <f>TRIM('data cleaning'!$M691)</f>
        <v>Paper</v>
      </c>
      <c r="M691" s="23" t="s">
        <v>1524</v>
      </c>
      <c r="N691" s="23" t="str">
        <f>PROPER('data cleaning'!$O691)</f>
        <v>Deep Paper</v>
      </c>
      <c r="O691" s="23" t="str">
        <f>TRIM('data cleaning'!$P691)</f>
        <v>Deep Paper</v>
      </c>
      <c r="P691" s="23" t="s">
        <v>2191</v>
      </c>
      <c r="Q691" s="23">
        <v>3930.75</v>
      </c>
      <c r="R691" s="23">
        <v>7</v>
      </c>
      <c r="S691" s="23"/>
      <c r="T691" s="24">
        <v>-665.03</v>
      </c>
    </row>
    <row r="692" spans="1:20" ht="15.6" x14ac:dyDescent="0.3">
      <c r="A692" s="13" t="s">
        <v>703</v>
      </c>
      <c r="B692" s="14">
        <v>45955</v>
      </c>
      <c r="C692" s="15">
        <v>45961</v>
      </c>
      <c r="D692" s="16" t="str">
        <f>TRIM('data cleaning'!$E692)</f>
        <v>Brian Gonzalez</v>
      </c>
      <c r="E692" s="17" t="s">
        <v>1455</v>
      </c>
      <c r="F692" s="17" t="str">
        <f>TRIM('data cleaning'!$G692)</f>
        <v>Corporate</v>
      </c>
      <c r="G692" s="17" t="s">
        <v>1514</v>
      </c>
      <c r="H692" s="17" t="str">
        <f>TRIM('data cleaning'!$I692)</f>
        <v/>
      </c>
      <c r="I692" s="17"/>
      <c r="J692" s="17" t="str">
        <f>TRIM('data cleaning'!$K692)</f>
        <v>Office Supplies</v>
      </c>
      <c r="K692" s="17" t="s">
        <v>1520</v>
      </c>
      <c r="L692" s="17" t="str">
        <f>TRIM('data cleaning'!$M692)</f>
        <v>Storage</v>
      </c>
      <c r="M692" s="17" t="s">
        <v>1525</v>
      </c>
      <c r="N692" s="17" t="str">
        <f>PROPER('data cleaning'!$O692)</f>
        <v>Develop Storage</v>
      </c>
      <c r="O692" s="17" t="str">
        <f>TRIM('data cleaning'!$P692)</f>
        <v>Develop Storage</v>
      </c>
      <c r="P692" s="17" t="s">
        <v>2192</v>
      </c>
      <c r="Q692" s="17">
        <v>2798.13</v>
      </c>
      <c r="R692" s="17">
        <v>1</v>
      </c>
      <c r="S692" s="17">
        <v>0.05</v>
      </c>
      <c r="T692" s="18">
        <v>328.97</v>
      </c>
    </row>
    <row r="693" spans="1:20" ht="15.6" x14ac:dyDescent="0.3">
      <c r="A693" s="19" t="s">
        <v>704</v>
      </c>
      <c r="B693" s="20">
        <v>45650</v>
      </c>
      <c r="C693" s="21">
        <v>45655</v>
      </c>
      <c r="D693" s="22" t="str">
        <f>TRIM('data cleaning'!$E693)</f>
        <v>Jennifer Parks</v>
      </c>
      <c r="E693" s="23" t="s">
        <v>1456</v>
      </c>
      <c r="F693" s="23" t="str">
        <f>TRIM('data cleaning'!$G693)</f>
        <v>Consumer</v>
      </c>
      <c r="G693" s="23" t="s">
        <v>1513</v>
      </c>
      <c r="H693" s="23" t="str">
        <f>TRIM('data cleaning'!$I693)</f>
        <v>West</v>
      </c>
      <c r="I693" s="23" t="s">
        <v>1518</v>
      </c>
      <c r="J693" s="23" t="str">
        <f>TRIM('data cleaning'!$K693)</f>
        <v>Furniture</v>
      </c>
      <c r="K693" s="23" t="s">
        <v>1522</v>
      </c>
      <c r="L693" s="23" t="str">
        <f>TRIM('data cleaning'!$M693)</f>
        <v>Chairs</v>
      </c>
      <c r="M693" s="23" t="s">
        <v>1531</v>
      </c>
      <c r="N693" s="23" t="str">
        <f>PROPER('data cleaning'!$O693)</f>
        <v>Environment Chairs</v>
      </c>
      <c r="O693" s="23" t="str">
        <f>TRIM('data cleaning'!$P693)</f>
        <v>Environment Chairs</v>
      </c>
      <c r="P693" s="23" t="s">
        <v>2193</v>
      </c>
      <c r="Q693" s="23">
        <v>4211.66</v>
      </c>
      <c r="R693" s="23">
        <v>6</v>
      </c>
      <c r="S693" s="23">
        <v>0.15</v>
      </c>
      <c r="T693" s="24">
        <v>608.92999999999995</v>
      </c>
    </row>
    <row r="694" spans="1:20" ht="15.6" x14ac:dyDescent="0.3">
      <c r="A694" s="13" t="s">
        <v>705</v>
      </c>
      <c r="B694" s="14">
        <v>45506</v>
      </c>
      <c r="C694" s="15">
        <v>45508</v>
      </c>
      <c r="D694" s="16" t="str">
        <f>TRIM('data cleaning'!$E694)</f>
        <v>Joseph White</v>
      </c>
      <c r="E694" s="17" t="s">
        <v>1457</v>
      </c>
      <c r="F694" s="17" t="str">
        <f>TRIM('data cleaning'!$G694)</f>
        <v>Home Office</v>
      </c>
      <c r="G694" s="17" t="s">
        <v>1515</v>
      </c>
      <c r="H694" s="17" t="str">
        <f>TRIM('data cleaning'!$I694)</f>
        <v>North</v>
      </c>
      <c r="I694" s="17" t="s">
        <v>1516</v>
      </c>
      <c r="J694" s="17" t="str">
        <f>TRIM('data cleaning'!$K694)</f>
        <v>Furniture</v>
      </c>
      <c r="K694" s="17" t="s">
        <v>1522</v>
      </c>
      <c r="L694" s="17" t="str">
        <f>TRIM('data cleaning'!$M694)</f>
        <v>Bookcases</v>
      </c>
      <c r="M694" s="17" t="s">
        <v>1527</v>
      </c>
      <c r="N694" s="17" t="str">
        <f>PROPER('data cleaning'!$O694)</f>
        <v>Morning Bookcases</v>
      </c>
      <c r="O694" s="17" t="str">
        <f>TRIM('data cleaning'!$P694)</f>
        <v>Morning Bookcases</v>
      </c>
      <c r="P694" s="17" t="s">
        <v>2194</v>
      </c>
      <c r="Q694" s="17">
        <v>4329.74</v>
      </c>
      <c r="R694" s="17">
        <v>5</v>
      </c>
      <c r="S694" s="17"/>
      <c r="T694" s="18">
        <v>1176.83</v>
      </c>
    </row>
    <row r="695" spans="1:20" ht="15.6" x14ac:dyDescent="0.3">
      <c r="A695" s="19" t="s">
        <v>706</v>
      </c>
      <c r="B695" s="20">
        <v>45735</v>
      </c>
      <c r="C695" s="21">
        <v>45737</v>
      </c>
      <c r="D695" s="22" t="str">
        <f>TRIM('data cleaning'!$E695)</f>
        <v>Holly Phillips</v>
      </c>
      <c r="E695" s="23" t="s">
        <v>1458</v>
      </c>
      <c r="F695" s="23" t="str">
        <f>TRIM('data cleaning'!$G695)</f>
        <v>Corporate</v>
      </c>
      <c r="G695" s="23" t="s">
        <v>1514</v>
      </c>
      <c r="H695" s="23" t="str">
        <f>TRIM('data cleaning'!$I695)</f>
        <v>South</v>
      </c>
      <c r="I695" s="23" t="s">
        <v>1517</v>
      </c>
      <c r="J695" s="23" t="str">
        <f>TRIM('data cleaning'!$K695)</f>
        <v>Technology</v>
      </c>
      <c r="K695" s="23" t="s">
        <v>1521</v>
      </c>
      <c r="L695" s="23" t="str">
        <f>TRIM('data cleaning'!$M695)</f>
        <v>Accessories</v>
      </c>
      <c r="M695" s="23" t="s">
        <v>1526</v>
      </c>
      <c r="N695" s="23" t="str">
        <f>PROPER('data cleaning'!$O695)</f>
        <v>Join Accessories</v>
      </c>
      <c r="O695" s="23" t="str">
        <f>TRIM('data cleaning'!$P695)</f>
        <v>Join Accessories</v>
      </c>
      <c r="P695" s="23" t="s">
        <v>2195</v>
      </c>
      <c r="Q695" s="23">
        <v>2510.42</v>
      </c>
      <c r="R695" s="23">
        <v>4</v>
      </c>
      <c r="S695" s="23">
        <v>0.1</v>
      </c>
      <c r="T695" s="24">
        <v>121.88</v>
      </c>
    </row>
    <row r="696" spans="1:20" ht="15.6" x14ac:dyDescent="0.3">
      <c r="A696" s="13" t="s">
        <v>707</v>
      </c>
      <c r="B696" s="14">
        <v>45894</v>
      </c>
      <c r="C696" s="15">
        <v>45897</v>
      </c>
      <c r="D696" s="16" t="str">
        <f>TRIM('data cleaning'!$E696)</f>
        <v>Valerie Smith</v>
      </c>
      <c r="E696" s="17" t="s">
        <v>1459</v>
      </c>
      <c r="F696" s="17" t="str">
        <f>TRIM('data cleaning'!$G696)</f>
        <v>Corporate</v>
      </c>
      <c r="G696" s="17" t="s">
        <v>1514</v>
      </c>
      <c r="H696" s="17" t="str">
        <f>TRIM('data cleaning'!$I696)</f>
        <v>North</v>
      </c>
      <c r="I696" s="17" t="s">
        <v>1516</v>
      </c>
      <c r="J696" s="17" t="str">
        <f>TRIM('data cleaning'!$K696)</f>
        <v>Office Supplies</v>
      </c>
      <c r="K696" s="17" t="s">
        <v>1520</v>
      </c>
      <c r="L696" s="17" t="str">
        <f>TRIM('data cleaning'!$M696)</f>
        <v>Paper</v>
      </c>
      <c r="M696" s="17" t="s">
        <v>1524</v>
      </c>
      <c r="N696" s="17" t="str">
        <f>PROPER('data cleaning'!$O696)</f>
        <v>Forward Paper</v>
      </c>
      <c r="O696" s="17" t="str">
        <f>TRIM('data cleaning'!$P696)</f>
        <v>Forward Paper</v>
      </c>
      <c r="P696" s="17" t="s">
        <v>2196</v>
      </c>
      <c r="Q696" s="17">
        <v>605.54</v>
      </c>
      <c r="R696" s="17">
        <v>1</v>
      </c>
      <c r="S696" s="17">
        <v>0.05</v>
      </c>
      <c r="T696" s="18">
        <v>183.08</v>
      </c>
    </row>
    <row r="697" spans="1:20" ht="15.6" x14ac:dyDescent="0.3">
      <c r="A697" s="19" t="s">
        <v>708</v>
      </c>
      <c r="B697" s="20">
        <v>46069</v>
      </c>
      <c r="C697" s="21">
        <v>46072</v>
      </c>
      <c r="D697" s="22" t="str">
        <f>TRIM('data cleaning'!$E697)</f>
        <v>Elizabeth Harris</v>
      </c>
      <c r="E697" s="23" t="s">
        <v>1460</v>
      </c>
      <c r="F697" s="23" t="str">
        <f>TRIM('data cleaning'!$G697)</f>
        <v>Corporate</v>
      </c>
      <c r="G697" s="23" t="s">
        <v>1514</v>
      </c>
      <c r="H697" s="23" t="str">
        <f>TRIM('data cleaning'!$I697)</f>
        <v>East</v>
      </c>
      <c r="I697" s="23" t="s">
        <v>1519</v>
      </c>
      <c r="J697" s="23" t="str">
        <f>TRIM('data cleaning'!$K697)</f>
        <v>Technology</v>
      </c>
      <c r="K697" s="23" t="s">
        <v>1521</v>
      </c>
      <c r="L697" s="23" t="str">
        <f>TRIM('data cleaning'!$M697)</f>
        <v>Laptops</v>
      </c>
      <c r="M697" s="23" t="s">
        <v>1528</v>
      </c>
      <c r="N697" s="23" t="str">
        <f>PROPER('data cleaning'!$O697)</f>
        <v>Way Laptops</v>
      </c>
      <c r="O697" s="23" t="str">
        <f>TRIM('data cleaning'!$P697)</f>
        <v>Way Laptops</v>
      </c>
      <c r="P697" s="23" t="s">
        <v>2197</v>
      </c>
      <c r="Q697" s="23">
        <v>991.55</v>
      </c>
      <c r="R697" s="23">
        <v>8</v>
      </c>
      <c r="S697" s="23"/>
      <c r="T697" s="24">
        <v>278.26</v>
      </c>
    </row>
    <row r="698" spans="1:20" ht="15.6" x14ac:dyDescent="0.3">
      <c r="A698" s="13" t="s">
        <v>709</v>
      </c>
      <c r="B698" s="14">
        <v>45459</v>
      </c>
      <c r="C698" s="15">
        <v>45468</v>
      </c>
      <c r="D698" s="16" t="str">
        <f>TRIM('data cleaning'!$E698)</f>
        <v>Alexis Murillo</v>
      </c>
      <c r="E698" s="17" t="s">
        <v>1461</v>
      </c>
      <c r="F698" s="17" t="str">
        <f>TRIM('data cleaning'!$G698)</f>
        <v>Corporate</v>
      </c>
      <c r="G698" s="17" t="s">
        <v>1514</v>
      </c>
      <c r="H698" s="17" t="str">
        <f>TRIM('data cleaning'!$I698)</f>
        <v>West</v>
      </c>
      <c r="I698" s="17" t="s">
        <v>1518</v>
      </c>
      <c r="J698" s="17" t="str">
        <f>TRIM('data cleaning'!$K698)</f>
        <v>Furniture</v>
      </c>
      <c r="K698" s="17" t="s">
        <v>1522</v>
      </c>
      <c r="L698" s="17" t="str">
        <f>TRIM('data cleaning'!$M698)</f>
        <v>Chairs</v>
      </c>
      <c r="M698" s="17" t="s">
        <v>1531</v>
      </c>
      <c r="N698" s="17" t="str">
        <f>PROPER('data cleaning'!$O698)</f>
        <v>Make Chairs</v>
      </c>
      <c r="O698" s="17" t="str">
        <f>TRIM('data cleaning'!$P698)</f>
        <v>Make Chairs</v>
      </c>
      <c r="P698" s="17" t="s">
        <v>2198</v>
      </c>
      <c r="Q698" s="17">
        <v>3399.75</v>
      </c>
      <c r="R698" s="17">
        <v>3</v>
      </c>
      <c r="S698" s="17">
        <v>0.05</v>
      </c>
      <c r="T698" s="18">
        <v>674.9</v>
      </c>
    </row>
    <row r="699" spans="1:20" ht="15.6" x14ac:dyDescent="0.3">
      <c r="A699" s="19" t="s">
        <v>710</v>
      </c>
      <c r="B699" s="20">
        <v>45856</v>
      </c>
      <c r="C699" s="21">
        <v>45858</v>
      </c>
      <c r="D699" s="22" t="str">
        <f>TRIM('data cleaning'!$E699)</f>
        <v>Angela Wilkins</v>
      </c>
      <c r="E699" s="23" t="s">
        <v>1462</v>
      </c>
      <c r="F699" s="23" t="str">
        <f>TRIM('data cleaning'!$G699)</f>
        <v>Consumer</v>
      </c>
      <c r="G699" s="23" t="s">
        <v>1513</v>
      </c>
      <c r="H699" s="23" t="str">
        <f>TRIM('data cleaning'!$I699)</f>
        <v>East</v>
      </c>
      <c r="I699" s="23" t="s">
        <v>1519</v>
      </c>
      <c r="J699" s="23" t="str">
        <f>TRIM('data cleaning'!$K699)</f>
        <v>Office Supplies</v>
      </c>
      <c r="K699" s="23" t="s">
        <v>1520</v>
      </c>
      <c r="L699" s="23" t="str">
        <f>TRIM('data cleaning'!$M699)</f>
        <v>Storage</v>
      </c>
      <c r="M699" s="23" t="s">
        <v>1525</v>
      </c>
      <c r="N699" s="23" t="str">
        <f>PROPER('data cleaning'!$O699)</f>
        <v>Exist Storage</v>
      </c>
      <c r="O699" s="23" t="str">
        <f>TRIM('data cleaning'!$P699)</f>
        <v>Exist Storage</v>
      </c>
      <c r="P699" s="23" t="s">
        <v>2199</v>
      </c>
      <c r="Q699" s="23">
        <v>70.34</v>
      </c>
      <c r="R699" s="23">
        <v>1</v>
      </c>
      <c r="S699" s="23"/>
      <c r="T699" s="24">
        <v>18.739999999999998</v>
      </c>
    </row>
    <row r="700" spans="1:20" ht="15.6" x14ac:dyDescent="0.3">
      <c r="A700" s="13" t="s">
        <v>711</v>
      </c>
      <c r="B700" s="14">
        <v>45471</v>
      </c>
      <c r="C700" s="15">
        <v>45473</v>
      </c>
      <c r="D700" s="16" t="str">
        <f>TRIM('data cleaning'!$E700)</f>
        <v>John Roberts</v>
      </c>
      <c r="E700" s="17" t="s">
        <v>1463</v>
      </c>
      <c r="F700" s="17" t="str">
        <f>TRIM('data cleaning'!$G700)</f>
        <v>Corporate</v>
      </c>
      <c r="G700" s="17" t="s">
        <v>1514</v>
      </c>
      <c r="H700" s="17" t="str">
        <f>TRIM('data cleaning'!$I700)</f>
        <v>South</v>
      </c>
      <c r="I700" s="17" t="s">
        <v>1517</v>
      </c>
      <c r="J700" s="17" t="str">
        <f>TRIM('data cleaning'!$K700)</f>
        <v>Technology</v>
      </c>
      <c r="K700" s="17" t="s">
        <v>1521</v>
      </c>
      <c r="L700" s="17" t="str">
        <f>TRIM('data cleaning'!$M700)</f>
        <v>Phones</v>
      </c>
      <c r="M700" s="17" t="s">
        <v>1530</v>
      </c>
      <c r="N700" s="17" t="str">
        <f>PROPER('data cleaning'!$O700)</f>
        <v>Language Phones</v>
      </c>
      <c r="O700" s="17" t="str">
        <f>TRIM('data cleaning'!$P700)</f>
        <v>Language Phones</v>
      </c>
      <c r="P700" s="17" t="s">
        <v>1861</v>
      </c>
      <c r="Q700" s="17">
        <v>2626.86</v>
      </c>
      <c r="R700" s="17">
        <v>5</v>
      </c>
      <c r="S700" s="17">
        <v>0</v>
      </c>
      <c r="T700" s="18">
        <v>309.07</v>
      </c>
    </row>
    <row r="701" spans="1:20" ht="15.6" x14ac:dyDescent="0.3">
      <c r="A701" s="19" t="s">
        <v>712</v>
      </c>
      <c r="B701" s="20">
        <v>46036</v>
      </c>
      <c r="C701" s="21">
        <v>46040</v>
      </c>
      <c r="D701" s="22" t="str">
        <f>TRIM('data cleaning'!$E701)</f>
        <v>Stacy Austin</v>
      </c>
      <c r="E701" s="23" t="s">
        <v>1464</v>
      </c>
      <c r="F701" s="23" t="str">
        <f>TRIM('data cleaning'!$G701)</f>
        <v/>
      </c>
      <c r="G701" s="23"/>
      <c r="H701" s="23" t="str">
        <f>TRIM('data cleaning'!$I701)</f>
        <v>North</v>
      </c>
      <c r="I701" s="23" t="s">
        <v>1516</v>
      </c>
      <c r="J701" s="23" t="str">
        <f>TRIM('data cleaning'!$K701)</f>
        <v>Technology</v>
      </c>
      <c r="K701" s="23" t="s">
        <v>1521</v>
      </c>
      <c r="L701" s="23" t="str">
        <f>TRIM('data cleaning'!$M701)</f>
        <v>Phones</v>
      </c>
      <c r="M701" s="23" t="s">
        <v>1530</v>
      </c>
      <c r="N701" s="23" t="str">
        <f>PROPER('data cleaning'!$O701)</f>
        <v>Cultural Phones</v>
      </c>
      <c r="O701" s="23" t="str">
        <f>TRIM('data cleaning'!$P701)</f>
        <v>Cultural Phones</v>
      </c>
      <c r="P701" s="23" t="s">
        <v>2200</v>
      </c>
      <c r="Q701" s="23">
        <v>1468.51</v>
      </c>
      <c r="R701" s="23">
        <v>9</v>
      </c>
      <c r="S701" s="23">
        <v>0.1</v>
      </c>
      <c r="T701" s="24">
        <v>330.46</v>
      </c>
    </row>
    <row r="702" spans="1:20" ht="15.6" x14ac:dyDescent="0.3">
      <c r="A702" s="13" t="s">
        <v>713</v>
      </c>
      <c r="B702" s="14">
        <v>45922</v>
      </c>
      <c r="C702" s="15">
        <v>45925</v>
      </c>
      <c r="D702" s="16" t="str">
        <f>TRIM('data cleaning'!$E702)</f>
        <v>Anthony Garcia</v>
      </c>
      <c r="E702" s="17" t="s">
        <v>1465</v>
      </c>
      <c r="F702" s="17" t="str">
        <f>TRIM('data cleaning'!$G702)</f>
        <v>Consumer</v>
      </c>
      <c r="G702" s="17" t="s">
        <v>1513</v>
      </c>
      <c r="H702" s="17" t="str">
        <f>TRIM('data cleaning'!$I702)</f>
        <v>South</v>
      </c>
      <c r="I702" s="17" t="s">
        <v>1517</v>
      </c>
      <c r="J702" s="17" t="str">
        <f>TRIM('data cleaning'!$K702)</f>
        <v>Technology</v>
      </c>
      <c r="K702" s="17" t="s">
        <v>1521</v>
      </c>
      <c r="L702" s="17" t="str">
        <f>TRIM('data cleaning'!$M702)</f>
        <v>Phones</v>
      </c>
      <c r="M702" s="17" t="s">
        <v>1530</v>
      </c>
      <c r="N702" s="17" t="str">
        <f>PROPER('data cleaning'!$O702)</f>
        <v>West Phones</v>
      </c>
      <c r="O702" s="17" t="str">
        <f>TRIM('data cleaning'!$P702)</f>
        <v>West Phones</v>
      </c>
      <c r="P702" s="17" t="s">
        <v>2201</v>
      </c>
      <c r="Q702" s="17">
        <v>1404.5</v>
      </c>
      <c r="R702" s="17">
        <v>1</v>
      </c>
      <c r="S702" s="17">
        <v>0.2</v>
      </c>
      <c r="T702" s="18">
        <v>151.4</v>
      </c>
    </row>
    <row r="703" spans="1:20" ht="15.6" x14ac:dyDescent="0.3">
      <c r="A703" s="19" t="s">
        <v>714</v>
      </c>
      <c r="B703" s="20">
        <v>45310</v>
      </c>
      <c r="C703" s="21">
        <v>45319</v>
      </c>
      <c r="D703" s="22" t="str">
        <f>TRIM('data cleaning'!$E703)</f>
        <v>Kimberly Dixon</v>
      </c>
      <c r="E703" s="23" t="s">
        <v>1466</v>
      </c>
      <c r="F703" s="23" t="str">
        <f>TRIM('data cleaning'!$G703)</f>
        <v>Home Office</v>
      </c>
      <c r="G703" s="23" t="s">
        <v>1515</v>
      </c>
      <c r="H703" s="23" t="str">
        <f>TRIM('data cleaning'!$I703)</f>
        <v>South</v>
      </c>
      <c r="I703" s="23" t="s">
        <v>1517</v>
      </c>
      <c r="J703" s="23" t="str">
        <f>TRIM('data cleaning'!$K703)</f>
        <v>Office Supplies</v>
      </c>
      <c r="K703" s="23" t="s">
        <v>1520</v>
      </c>
      <c r="L703" s="23" t="str">
        <f>TRIM('data cleaning'!$M703)</f>
        <v>Paper</v>
      </c>
      <c r="M703" s="23" t="s">
        <v>1524</v>
      </c>
      <c r="N703" s="23" t="str">
        <f>PROPER('data cleaning'!$O703)</f>
        <v>Paper Paper</v>
      </c>
      <c r="O703" s="23" t="str">
        <f>TRIM('data cleaning'!$P703)</f>
        <v>Paper Paper</v>
      </c>
      <c r="P703" s="23" t="s">
        <v>2202</v>
      </c>
      <c r="Q703" s="23">
        <v>1626.5</v>
      </c>
      <c r="R703" s="23">
        <v>3</v>
      </c>
      <c r="S703" s="23"/>
      <c r="T703" s="24">
        <v>393.94</v>
      </c>
    </row>
    <row r="704" spans="1:20" ht="15.6" x14ac:dyDescent="0.3">
      <c r="A704" s="13" t="s">
        <v>715</v>
      </c>
      <c r="B704" s="14">
        <v>45614</v>
      </c>
      <c r="C704" s="15">
        <v>45619</v>
      </c>
      <c r="D704" s="16" t="str">
        <f>TRIM('data cleaning'!$E704)</f>
        <v>Terri Lopez</v>
      </c>
      <c r="E704" s="17" t="s">
        <v>1467</v>
      </c>
      <c r="F704" s="17" t="str">
        <f>TRIM('data cleaning'!$G704)</f>
        <v>Consumer</v>
      </c>
      <c r="G704" s="17" t="s">
        <v>1513</v>
      </c>
      <c r="H704" s="17" t="str">
        <f>TRIM('data cleaning'!$I704)</f>
        <v>North</v>
      </c>
      <c r="I704" s="17" t="s">
        <v>1516</v>
      </c>
      <c r="J704" s="17" t="str">
        <f>TRIM('data cleaning'!$K704)</f>
        <v>Furniture</v>
      </c>
      <c r="K704" s="17" t="s">
        <v>1522</v>
      </c>
      <c r="L704" s="17" t="str">
        <f>TRIM('data cleaning'!$M704)</f>
        <v>Chairs</v>
      </c>
      <c r="M704" s="17" t="s">
        <v>1531</v>
      </c>
      <c r="N704" s="17" t="str">
        <f>PROPER('data cleaning'!$O704)</f>
        <v>Week Chairs</v>
      </c>
      <c r="O704" s="17" t="str">
        <f>TRIM('data cleaning'!$P704)</f>
        <v>Week Chairs</v>
      </c>
      <c r="P704" s="17" t="s">
        <v>2158</v>
      </c>
      <c r="Q704" s="17">
        <v>3085.65</v>
      </c>
      <c r="R704" s="17">
        <v>6</v>
      </c>
      <c r="S704" s="17">
        <v>0.2</v>
      </c>
      <c r="T704" s="18">
        <v>135.79</v>
      </c>
    </row>
    <row r="705" spans="1:20" ht="15.6" x14ac:dyDescent="0.3">
      <c r="A705" s="19" t="s">
        <v>716</v>
      </c>
      <c r="B705" s="20">
        <v>46135</v>
      </c>
      <c r="C705" s="21">
        <v>46136</v>
      </c>
      <c r="D705" s="22" t="str">
        <f>TRIM('data cleaning'!$E705)</f>
        <v>Jeffery Adams</v>
      </c>
      <c r="E705" s="23" t="s">
        <v>1468</v>
      </c>
      <c r="F705" s="23" t="str">
        <f>TRIM('data cleaning'!$G705)</f>
        <v>Consumer</v>
      </c>
      <c r="G705" s="23" t="s">
        <v>1513</v>
      </c>
      <c r="H705" s="23" t="str">
        <f>TRIM('data cleaning'!$I705)</f>
        <v>West</v>
      </c>
      <c r="I705" s="23" t="s">
        <v>1518</v>
      </c>
      <c r="J705" s="23" t="str">
        <f>TRIM('data cleaning'!$K705)</f>
        <v>Technology</v>
      </c>
      <c r="K705" s="23" t="s">
        <v>1521</v>
      </c>
      <c r="L705" s="23" t="str">
        <f>TRIM('data cleaning'!$M705)</f>
        <v>Laptops</v>
      </c>
      <c r="M705" s="23" t="s">
        <v>1528</v>
      </c>
      <c r="N705" s="23" t="str">
        <f>PROPER('data cleaning'!$O705)</f>
        <v>Garden Laptops</v>
      </c>
      <c r="O705" s="23" t="str">
        <f>TRIM('data cleaning'!$P705)</f>
        <v>Garden Laptops</v>
      </c>
      <c r="P705" s="23" t="s">
        <v>2203</v>
      </c>
      <c r="Q705" s="23">
        <v>574.34</v>
      </c>
      <c r="R705" s="23">
        <v>1</v>
      </c>
      <c r="S705" s="23">
        <v>0</v>
      </c>
      <c r="T705" s="24">
        <v>19.850000000000001</v>
      </c>
    </row>
    <row r="706" spans="1:20" ht="15.6" x14ac:dyDescent="0.3">
      <c r="A706" s="13" t="s">
        <v>717</v>
      </c>
      <c r="B706" s="14">
        <v>46026</v>
      </c>
      <c r="C706" s="15">
        <v>46031</v>
      </c>
      <c r="D706" s="16" t="str">
        <f>TRIM('data cleaning'!$E706)</f>
        <v>Ralph Walls</v>
      </c>
      <c r="E706" s="17" t="s">
        <v>1469</v>
      </c>
      <c r="F706" s="17" t="str">
        <f>TRIM('data cleaning'!$G706)</f>
        <v>Home Office</v>
      </c>
      <c r="G706" s="17" t="s">
        <v>1515</v>
      </c>
      <c r="H706" s="17" t="str">
        <f>TRIM('data cleaning'!$I706)</f>
        <v>North</v>
      </c>
      <c r="I706" s="17" t="s">
        <v>1516</v>
      </c>
      <c r="J706" s="17" t="str">
        <f>TRIM('data cleaning'!$K706)</f>
        <v>Office Supplies</v>
      </c>
      <c r="K706" s="17" t="s">
        <v>1520</v>
      </c>
      <c r="L706" s="17" t="str">
        <f>TRIM('data cleaning'!$M706)</f>
        <v>Paper</v>
      </c>
      <c r="M706" s="17" t="s">
        <v>1524</v>
      </c>
      <c r="N706" s="17" t="str">
        <f>PROPER('data cleaning'!$O706)</f>
        <v>Away Paper</v>
      </c>
      <c r="O706" s="17" t="str">
        <f>TRIM('data cleaning'!$P706)</f>
        <v>Away Paper</v>
      </c>
      <c r="P706" s="17" t="s">
        <v>2204</v>
      </c>
      <c r="Q706" s="17">
        <v>1695.04</v>
      </c>
      <c r="R706" s="17">
        <v>4</v>
      </c>
      <c r="S706" s="17"/>
      <c r="T706" s="18">
        <v>368.03</v>
      </c>
    </row>
    <row r="707" spans="1:20" ht="15.6" x14ac:dyDescent="0.3">
      <c r="A707" s="19" t="s">
        <v>718</v>
      </c>
      <c r="B707" s="20">
        <v>45719</v>
      </c>
      <c r="C707" s="21">
        <v>45722</v>
      </c>
      <c r="D707" s="22" t="str">
        <f>TRIM('data cleaning'!$E707)</f>
        <v>David Lambert</v>
      </c>
      <c r="E707" s="23" t="s">
        <v>1470</v>
      </c>
      <c r="F707" s="23" t="str">
        <f>TRIM('data cleaning'!$G707)</f>
        <v>Home Office</v>
      </c>
      <c r="G707" s="23" t="s">
        <v>1515</v>
      </c>
      <c r="H707" s="23" t="str">
        <f>TRIM('data cleaning'!$I707)</f>
        <v>West</v>
      </c>
      <c r="I707" s="23" t="s">
        <v>1518</v>
      </c>
      <c r="J707" s="23" t="str">
        <f>TRIM('data cleaning'!$K707)</f>
        <v>Technology</v>
      </c>
      <c r="K707" s="23" t="s">
        <v>1521</v>
      </c>
      <c r="L707" s="23" t="str">
        <f>TRIM('data cleaning'!$M707)</f>
        <v>Laptops</v>
      </c>
      <c r="M707" s="23" t="s">
        <v>1528</v>
      </c>
      <c r="N707" s="23" t="str">
        <f>PROPER('data cleaning'!$O707)</f>
        <v>Night Laptops</v>
      </c>
      <c r="O707" s="23" t="str">
        <f>TRIM('data cleaning'!$P707)</f>
        <v>Night Laptops</v>
      </c>
      <c r="P707" s="23" t="s">
        <v>2205</v>
      </c>
      <c r="Q707" s="23">
        <v>509.94</v>
      </c>
      <c r="R707" s="23">
        <v>8</v>
      </c>
      <c r="S707" s="23">
        <v>0</v>
      </c>
      <c r="T707" s="24">
        <v>25.79</v>
      </c>
    </row>
    <row r="708" spans="1:20" ht="15.6" x14ac:dyDescent="0.3">
      <c r="A708" s="13" t="s">
        <v>719</v>
      </c>
      <c r="B708" s="14">
        <v>45797</v>
      </c>
      <c r="C708" s="15">
        <v>45801</v>
      </c>
      <c r="D708" s="16" t="str">
        <f>TRIM('data cleaning'!$E708)</f>
        <v>David Hernandez</v>
      </c>
      <c r="E708" s="17" t="s">
        <v>1471</v>
      </c>
      <c r="F708" s="17" t="str">
        <f>TRIM('data cleaning'!$G708)</f>
        <v>Corporate</v>
      </c>
      <c r="G708" s="17" t="s">
        <v>1514</v>
      </c>
      <c r="H708" s="17" t="str">
        <f>TRIM('data cleaning'!$I708)</f>
        <v>South</v>
      </c>
      <c r="I708" s="17" t="s">
        <v>1517</v>
      </c>
      <c r="J708" s="17" t="str">
        <f>TRIM('data cleaning'!$K708)</f>
        <v>Technology</v>
      </c>
      <c r="K708" s="17" t="s">
        <v>1521</v>
      </c>
      <c r="L708" s="17" t="str">
        <f>TRIM('data cleaning'!$M708)</f>
        <v>Phones</v>
      </c>
      <c r="M708" s="17" t="s">
        <v>1530</v>
      </c>
      <c r="N708" s="17" t="str">
        <f>PROPER('data cleaning'!$O708)</f>
        <v>Significant Phones</v>
      </c>
      <c r="O708" s="17" t="str">
        <f>TRIM('data cleaning'!$P708)</f>
        <v>Significant Phones</v>
      </c>
      <c r="P708" s="17" t="s">
        <v>2206</v>
      </c>
      <c r="Q708" s="17">
        <v>761.42</v>
      </c>
      <c r="R708" s="17">
        <v>10</v>
      </c>
      <c r="S708" s="17">
        <v>0.1</v>
      </c>
      <c r="T708" s="18">
        <v>230.01</v>
      </c>
    </row>
    <row r="709" spans="1:20" ht="15.6" x14ac:dyDescent="0.3">
      <c r="A709" s="19" t="s">
        <v>720</v>
      </c>
      <c r="B709" s="20">
        <v>45257</v>
      </c>
      <c r="C709" s="21">
        <v>45263</v>
      </c>
      <c r="D709" s="22" t="str">
        <f>TRIM('data cleaning'!$E709)</f>
        <v>Jacob Hammond</v>
      </c>
      <c r="E709" s="23" t="s">
        <v>1472</v>
      </c>
      <c r="F709" s="23" t="str">
        <f>TRIM('data cleaning'!$G709)</f>
        <v>Consumer</v>
      </c>
      <c r="G709" s="23" t="s">
        <v>1513</v>
      </c>
      <c r="H709" s="23" t="str">
        <f>TRIM('data cleaning'!$I709)</f>
        <v>West</v>
      </c>
      <c r="I709" s="23" t="s">
        <v>1518</v>
      </c>
      <c r="J709" s="23" t="str">
        <f>TRIM('data cleaning'!$K709)</f>
        <v>Office Supplies</v>
      </c>
      <c r="K709" s="23" t="s">
        <v>1520</v>
      </c>
      <c r="L709" s="23" t="str">
        <f>TRIM('data cleaning'!$M709)</f>
        <v>Storage</v>
      </c>
      <c r="M709" s="23" t="s">
        <v>1525</v>
      </c>
      <c r="N709" s="23" t="str">
        <f>PROPER('data cleaning'!$O709)</f>
        <v>My Storage</v>
      </c>
      <c r="O709" s="23" t="str">
        <f>TRIM('data cleaning'!$P709)</f>
        <v>My Storage</v>
      </c>
      <c r="P709" s="23" t="s">
        <v>2207</v>
      </c>
      <c r="Q709" s="23">
        <v>3954.45</v>
      </c>
      <c r="R709" s="23">
        <v>6</v>
      </c>
      <c r="S709" s="23">
        <v>0.15</v>
      </c>
      <c r="T709" s="24">
        <v>269.41000000000003</v>
      </c>
    </row>
    <row r="710" spans="1:20" ht="15.6" x14ac:dyDescent="0.3">
      <c r="A710" s="13" t="s">
        <v>721</v>
      </c>
      <c r="B710" s="14">
        <v>45932</v>
      </c>
      <c r="C710" s="15">
        <v>45940</v>
      </c>
      <c r="D710" s="16" t="str">
        <f>TRIM('data cleaning'!$E710)</f>
        <v>Joseph Davis</v>
      </c>
      <c r="E710" s="17" t="s">
        <v>1473</v>
      </c>
      <c r="F710" s="17" t="str">
        <f>TRIM('data cleaning'!$G710)</f>
        <v>Home Office</v>
      </c>
      <c r="G710" s="17" t="s">
        <v>1515</v>
      </c>
      <c r="H710" s="17" t="str">
        <f>TRIM('data cleaning'!$I710)</f>
        <v>South</v>
      </c>
      <c r="I710" s="17" t="s">
        <v>1517</v>
      </c>
      <c r="J710" s="17" t="str">
        <f>TRIM('data cleaning'!$K710)</f>
        <v>Furniture</v>
      </c>
      <c r="K710" s="17" t="s">
        <v>1522</v>
      </c>
      <c r="L710" s="17" t="str">
        <f>TRIM('data cleaning'!$M710)</f>
        <v>Tables</v>
      </c>
      <c r="M710" s="17" t="s">
        <v>1529</v>
      </c>
      <c r="N710" s="17" t="str">
        <f>PROPER('data cleaning'!$O710)</f>
        <v>Computer Tables</v>
      </c>
      <c r="O710" s="17" t="str">
        <f>TRIM('data cleaning'!$P710)</f>
        <v>Computer Tables</v>
      </c>
      <c r="P710" s="17" t="s">
        <v>2208</v>
      </c>
      <c r="Q710" s="17">
        <v>2333.15</v>
      </c>
      <c r="R710" s="17">
        <v>3</v>
      </c>
      <c r="S710" s="17">
        <v>0.1</v>
      </c>
      <c r="T710" s="18">
        <v>518.82000000000005</v>
      </c>
    </row>
    <row r="711" spans="1:20" ht="15.6" x14ac:dyDescent="0.3">
      <c r="A711" s="19" t="s">
        <v>722</v>
      </c>
      <c r="B711" s="20">
        <v>45670</v>
      </c>
      <c r="C711" s="21">
        <v>45677</v>
      </c>
      <c r="D711" s="22" t="str">
        <f>TRIM('data cleaning'!$E711)</f>
        <v>Margaret Dennis</v>
      </c>
      <c r="E711" s="23" t="s">
        <v>1474</v>
      </c>
      <c r="F711" s="23" t="str">
        <f>TRIM('data cleaning'!$G711)</f>
        <v>Consumer</v>
      </c>
      <c r="G711" s="23" t="s">
        <v>1513</v>
      </c>
      <c r="H711" s="23" t="str">
        <f>TRIM('data cleaning'!$I711)</f>
        <v>East</v>
      </c>
      <c r="I711" s="23" t="s">
        <v>1519</v>
      </c>
      <c r="J711" s="23" t="str">
        <f>TRIM('data cleaning'!$K711)</f>
        <v>Office Supplies</v>
      </c>
      <c r="K711" s="23" t="s">
        <v>1520</v>
      </c>
      <c r="L711" s="23" t="str">
        <f>TRIM('data cleaning'!$M711)</f>
        <v>Binders</v>
      </c>
      <c r="M711" s="23" t="s">
        <v>1523</v>
      </c>
      <c r="N711" s="23" t="str">
        <f>PROPER('data cleaning'!$O711)</f>
        <v>Score Binders</v>
      </c>
      <c r="O711" s="23" t="str">
        <f>TRIM('data cleaning'!$P711)</f>
        <v>Score Binders</v>
      </c>
      <c r="P711" s="23" t="s">
        <v>2209</v>
      </c>
      <c r="Q711" s="23">
        <v>4096.8900000000003</v>
      </c>
      <c r="R711" s="23">
        <v>2</v>
      </c>
      <c r="S711" s="23">
        <v>0.1</v>
      </c>
      <c r="T711" s="24">
        <v>433.79</v>
      </c>
    </row>
    <row r="712" spans="1:20" ht="15.6" x14ac:dyDescent="0.3">
      <c r="A712" s="13" t="s">
        <v>723</v>
      </c>
      <c r="B712" s="14">
        <v>45406</v>
      </c>
      <c r="C712" s="15">
        <v>45413</v>
      </c>
      <c r="D712" s="16" t="str">
        <f>TRIM('data cleaning'!$E712)</f>
        <v>Tara Mcdonald</v>
      </c>
      <c r="E712" s="17" t="s">
        <v>1475</v>
      </c>
      <c r="F712" s="17" t="str">
        <f>TRIM('data cleaning'!$G712)</f>
        <v>Consumer</v>
      </c>
      <c r="G712" s="17" t="s">
        <v>1513</v>
      </c>
      <c r="H712" s="17" t="str">
        <f>TRIM('data cleaning'!$I712)</f>
        <v>West</v>
      </c>
      <c r="I712" s="17" t="s">
        <v>1518</v>
      </c>
      <c r="J712" s="17" t="str">
        <f>TRIM('data cleaning'!$K712)</f>
        <v>Office Supplies</v>
      </c>
      <c r="K712" s="17" t="s">
        <v>1520</v>
      </c>
      <c r="L712" s="17" t="str">
        <f>TRIM('data cleaning'!$M712)</f>
        <v>Paper</v>
      </c>
      <c r="M712" s="17" t="s">
        <v>1524</v>
      </c>
      <c r="N712" s="17" t="str">
        <f>PROPER('data cleaning'!$O712)</f>
        <v>Last Paper</v>
      </c>
      <c r="O712" s="17" t="str">
        <f>TRIM('data cleaning'!$P712)</f>
        <v>Last Paper</v>
      </c>
      <c r="P712" s="17" t="s">
        <v>1541</v>
      </c>
      <c r="Q712" s="17">
        <v>2973.15</v>
      </c>
      <c r="R712" s="17">
        <v>4</v>
      </c>
      <c r="S712" s="17">
        <v>0.2</v>
      </c>
      <c r="T712" s="18">
        <v>-196.14</v>
      </c>
    </row>
    <row r="713" spans="1:20" ht="15.6" x14ac:dyDescent="0.3">
      <c r="A713" s="19" t="s">
        <v>724</v>
      </c>
      <c r="B713" s="20">
        <v>45452</v>
      </c>
      <c r="C713" s="21">
        <v>45458</v>
      </c>
      <c r="D713" s="22" t="str">
        <f>TRIM('data cleaning'!$E713)</f>
        <v>Daniel Kelly</v>
      </c>
      <c r="E713" s="23" t="s">
        <v>1476</v>
      </c>
      <c r="F713" s="23" t="str">
        <f>TRIM('data cleaning'!$G713)</f>
        <v>Corporate</v>
      </c>
      <c r="G713" s="23" t="s">
        <v>1514</v>
      </c>
      <c r="H713" s="23" t="str">
        <f>TRIM('data cleaning'!$I713)</f>
        <v>East</v>
      </c>
      <c r="I713" s="23" t="s">
        <v>1519</v>
      </c>
      <c r="J713" s="23" t="str">
        <f>TRIM('data cleaning'!$K713)</f>
        <v>Technology</v>
      </c>
      <c r="K713" s="23" t="s">
        <v>1521</v>
      </c>
      <c r="L713" s="23" t="str">
        <f>TRIM('data cleaning'!$M713)</f>
        <v>Phones</v>
      </c>
      <c r="M713" s="23" t="s">
        <v>1530</v>
      </c>
      <c r="N713" s="23" t="str">
        <f>PROPER('data cleaning'!$O713)</f>
        <v>Meeting Phones</v>
      </c>
      <c r="O713" s="23" t="str">
        <f>TRIM('data cleaning'!$P713)</f>
        <v>Meeting Phones</v>
      </c>
      <c r="P713" s="23" t="s">
        <v>2210</v>
      </c>
      <c r="Q713" s="23">
        <v>1080.78</v>
      </c>
      <c r="R713" s="23">
        <v>10</v>
      </c>
      <c r="S713" s="23">
        <v>0.15</v>
      </c>
      <c r="T713" s="24">
        <v>250.06</v>
      </c>
    </row>
    <row r="714" spans="1:20" ht="15.6" x14ac:dyDescent="0.3">
      <c r="A714" s="13" t="s">
        <v>725</v>
      </c>
      <c r="B714" s="14">
        <v>45271</v>
      </c>
      <c r="C714" s="15">
        <v>45275</v>
      </c>
      <c r="D714" s="16" t="str">
        <f>TRIM('data cleaning'!$E714)</f>
        <v>Roberta Acevedo</v>
      </c>
      <c r="E714" s="17" t="s">
        <v>1477</v>
      </c>
      <c r="F714" s="17" t="str">
        <f>TRIM('data cleaning'!$G714)</f>
        <v>Home Office</v>
      </c>
      <c r="G714" s="17" t="s">
        <v>1515</v>
      </c>
      <c r="H714" s="17" t="str">
        <f>TRIM('data cleaning'!$I714)</f>
        <v>West</v>
      </c>
      <c r="I714" s="17" t="s">
        <v>1518</v>
      </c>
      <c r="J714" s="17" t="str">
        <f>TRIM('data cleaning'!$K714)</f>
        <v>Office Supplies</v>
      </c>
      <c r="K714" s="17" t="s">
        <v>1520</v>
      </c>
      <c r="L714" s="17" t="str">
        <f>TRIM('data cleaning'!$M714)</f>
        <v>Storage</v>
      </c>
      <c r="M714" s="17" t="s">
        <v>1525</v>
      </c>
      <c r="N714" s="17" t="str">
        <f>PROPER('data cleaning'!$O714)</f>
        <v>Senior Storage</v>
      </c>
      <c r="O714" s="17" t="str">
        <f>TRIM('data cleaning'!$P714)</f>
        <v>Senior Storage</v>
      </c>
      <c r="P714" s="17" t="s">
        <v>2211</v>
      </c>
      <c r="Q714" s="17">
        <v>906.77</v>
      </c>
      <c r="R714" s="17">
        <v>2</v>
      </c>
      <c r="S714" s="17"/>
      <c r="T714" s="18">
        <v>282.89</v>
      </c>
    </row>
    <row r="715" spans="1:20" ht="15.6" x14ac:dyDescent="0.3">
      <c r="A715" s="19" t="s">
        <v>726</v>
      </c>
      <c r="B715" s="20">
        <v>45926</v>
      </c>
      <c r="C715" s="21">
        <v>45936</v>
      </c>
      <c r="D715" s="22" t="str">
        <f>TRIM('data cleaning'!$E715)</f>
        <v>Victoria Watkins</v>
      </c>
      <c r="E715" s="23" t="s">
        <v>1478</v>
      </c>
      <c r="F715" s="23" t="str">
        <f>TRIM('data cleaning'!$G715)</f>
        <v>Consumer</v>
      </c>
      <c r="G715" s="23" t="s">
        <v>1513</v>
      </c>
      <c r="H715" s="23" t="str">
        <f>TRIM('data cleaning'!$I715)</f>
        <v>East</v>
      </c>
      <c r="I715" s="23" t="s">
        <v>1519</v>
      </c>
      <c r="J715" s="23" t="str">
        <f>TRIM('data cleaning'!$K715)</f>
        <v>Furniture</v>
      </c>
      <c r="K715" s="23" t="s">
        <v>1522</v>
      </c>
      <c r="L715" s="23" t="str">
        <f>TRIM('data cleaning'!$M715)</f>
        <v>Bookcases</v>
      </c>
      <c r="M715" s="23" t="s">
        <v>1527</v>
      </c>
      <c r="N715" s="23" t="str">
        <f>PROPER('data cleaning'!$O715)</f>
        <v>Anyone Bookcases</v>
      </c>
      <c r="O715" s="23" t="str">
        <f>TRIM('data cleaning'!$P715)</f>
        <v>Anyone Bookcases</v>
      </c>
      <c r="P715" s="23" t="s">
        <v>2212</v>
      </c>
      <c r="Q715" s="23">
        <v>2341.4</v>
      </c>
      <c r="R715" s="23">
        <v>9</v>
      </c>
      <c r="S715" s="23">
        <v>0</v>
      </c>
      <c r="T715" s="24">
        <v>590.29999999999995</v>
      </c>
    </row>
    <row r="716" spans="1:20" ht="15.6" x14ac:dyDescent="0.3">
      <c r="A716" s="13" t="s">
        <v>727</v>
      </c>
      <c r="B716" s="14">
        <v>45798</v>
      </c>
      <c r="C716" s="15">
        <v>45808</v>
      </c>
      <c r="D716" s="16" t="str">
        <f>TRIM('data cleaning'!$E716)</f>
        <v>Jeffrey Brown</v>
      </c>
      <c r="E716" s="17" t="s">
        <v>1479</v>
      </c>
      <c r="F716" s="17" t="str">
        <f>TRIM('data cleaning'!$G716)</f>
        <v>Home Office</v>
      </c>
      <c r="G716" s="17" t="s">
        <v>1515</v>
      </c>
      <c r="H716" s="17" t="str">
        <f>TRIM('data cleaning'!$I716)</f>
        <v>North</v>
      </c>
      <c r="I716" s="17" t="s">
        <v>1516</v>
      </c>
      <c r="J716" s="17" t="str">
        <f>TRIM('data cleaning'!$K716)</f>
        <v>Technology</v>
      </c>
      <c r="K716" s="17" t="s">
        <v>1521</v>
      </c>
      <c r="L716" s="17" t="str">
        <f>TRIM('data cleaning'!$M716)</f>
        <v>Phones</v>
      </c>
      <c r="M716" s="17" t="s">
        <v>1530</v>
      </c>
      <c r="N716" s="17" t="str">
        <f>PROPER('data cleaning'!$O716)</f>
        <v>Office Phones</v>
      </c>
      <c r="O716" s="17" t="str">
        <f>TRIM('data cleaning'!$P716)</f>
        <v>Office Phones</v>
      </c>
      <c r="P716" s="17" t="s">
        <v>2213</v>
      </c>
      <c r="Q716" s="17">
        <v>588.29</v>
      </c>
      <c r="R716" s="17">
        <v>10</v>
      </c>
      <c r="S716" s="17">
        <v>0.15</v>
      </c>
      <c r="T716" s="18">
        <v>-11.72</v>
      </c>
    </row>
    <row r="717" spans="1:20" ht="15.6" x14ac:dyDescent="0.3">
      <c r="A717" s="19" t="s">
        <v>728</v>
      </c>
      <c r="B717" s="20">
        <v>45998</v>
      </c>
      <c r="C717" s="21">
        <v>46001</v>
      </c>
      <c r="D717" s="22" t="str">
        <f>TRIM('data cleaning'!$E717)</f>
        <v>David Richards</v>
      </c>
      <c r="E717" s="23" t="s">
        <v>1480</v>
      </c>
      <c r="F717" s="23" t="str">
        <f>TRIM('data cleaning'!$G717)</f>
        <v>Corporate</v>
      </c>
      <c r="G717" s="23" t="s">
        <v>1514</v>
      </c>
      <c r="H717" s="23" t="str">
        <f>TRIM('data cleaning'!$I717)</f>
        <v>East</v>
      </c>
      <c r="I717" s="23" t="s">
        <v>1519</v>
      </c>
      <c r="J717" s="23" t="str">
        <f>TRIM('data cleaning'!$K717)</f>
        <v>Furniture</v>
      </c>
      <c r="K717" s="23" t="s">
        <v>1522</v>
      </c>
      <c r="L717" s="23" t="str">
        <f>TRIM('data cleaning'!$M717)</f>
        <v>Chairs</v>
      </c>
      <c r="M717" s="23" t="s">
        <v>1531</v>
      </c>
      <c r="N717" s="23" t="str">
        <f>PROPER('data cleaning'!$O717)</f>
        <v>Consumer Chairs</v>
      </c>
      <c r="O717" s="23" t="str">
        <f>TRIM('data cleaning'!$P717)</f>
        <v>Consumer Chairs</v>
      </c>
      <c r="P717" s="23" t="s">
        <v>2214</v>
      </c>
      <c r="Q717" s="23">
        <v>4441.9399999999996</v>
      </c>
      <c r="R717" s="23">
        <v>1</v>
      </c>
      <c r="S717" s="23">
        <v>0.05</v>
      </c>
      <c r="T717" s="24">
        <v>726.19</v>
      </c>
    </row>
    <row r="718" spans="1:20" ht="15.6" x14ac:dyDescent="0.3">
      <c r="A718" s="13" t="s">
        <v>729</v>
      </c>
      <c r="B718" s="14">
        <v>45458</v>
      </c>
      <c r="C718" s="15">
        <v>45468</v>
      </c>
      <c r="D718" s="16" t="str">
        <f>TRIM('data cleaning'!$E718)</f>
        <v>Aaron Smith</v>
      </c>
      <c r="E718" s="17" t="s">
        <v>1481</v>
      </c>
      <c r="F718" s="17" t="str">
        <f>TRIM('data cleaning'!$G718)</f>
        <v>Corporate</v>
      </c>
      <c r="G718" s="17" t="s">
        <v>1514</v>
      </c>
      <c r="H718" s="17" t="str">
        <f>TRIM('data cleaning'!$I718)</f>
        <v>East</v>
      </c>
      <c r="I718" s="17" t="s">
        <v>1519</v>
      </c>
      <c r="J718" s="17" t="str">
        <f>TRIM('data cleaning'!$K718)</f>
        <v>Technology</v>
      </c>
      <c r="K718" s="17" t="s">
        <v>1521</v>
      </c>
      <c r="L718" s="17" t="str">
        <f>TRIM('data cleaning'!$M718)</f>
        <v>Laptops</v>
      </c>
      <c r="M718" s="17" t="s">
        <v>1528</v>
      </c>
      <c r="N718" s="17" t="str">
        <f>PROPER('data cleaning'!$O718)</f>
        <v>About Laptops</v>
      </c>
      <c r="O718" s="17" t="str">
        <f>TRIM('data cleaning'!$P718)</f>
        <v>About Laptops</v>
      </c>
      <c r="P718" s="17" t="s">
        <v>2215</v>
      </c>
      <c r="Q718" s="17">
        <v>2263.44</v>
      </c>
      <c r="R718" s="17">
        <v>4</v>
      </c>
      <c r="S718" s="17"/>
      <c r="T718" s="18">
        <v>639.61</v>
      </c>
    </row>
    <row r="719" spans="1:20" ht="15.6" x14ac:dyDescent="0.3">
      <c r="A719" s="19" t="s">
        <v>730</v>
      </c>
      <c r="B719" s="20">
        <v>45879</v>
      </c>
      <c r="C719" s="21">
        <v>45885</v>
      </c>
      <c r="D719" s="22" t="str">
        <f>TRIM('data cleaning'!$E719)</f>
        <v>Danielle Miller</v>
      </c>
      <c r="E719" s="23" t="s">
        <v>1482</v>
      </c>
      <c r="F719" s="23" t="str">
        <f>TRIM('data cleaning'!$G719)</f>
        <v>Home Office</v>
      </c>
      <c r="G719" s="23" t="s">
        <v>1515</v>
      </c>
      <c r="H719" s="23" t="str">
        <f>TRIM('data cleaning'!$I719)</f>
        <v>West</v>
      </c>
      <c r="I719" s="23" t="s">
        <v>1518</v>
      </c>
      <c r="J719" s="23" t="str">
        <f>TRIM('data cleaning'!$K719)</f>
        <v>Technology</v>
      </c>
      <c r="K719" s="23" t="s">
        <v>1521</v>
      </c>
      <c r="L719" s="23" t="str">
        <f>TRIM('data cleaning'!$M719)</f>
        <v>Laptops</v>
      </c>
      <c r="M719" s="23" t="s">
        <v>1528</v>
      </c>
      <c r="N719" s="23" t="str">
        <f>PROPER('data cleaning'!$O719)</f>
        <v>Story Laptops</v>
      </c>
      <c r="O719" s="23" t="str">
        <f>TRIM('data cleaning'!$P719)</f>
        <v>Story Laptops</v>
      </c>
      <c r="P719" s="23" t="s">
        <v>2216</v>
      </c>
      <c r="Q719" s="23">
        <v>4951.93</v>
      </c>
      <c r="R719" s="23">
        <v>10</v>
      </c>
      <c r="S719" s="23">
        <v>0</v>
      </c>
      <c r="T719" s="24">
        <v>675.05</v>
      </c>
    </row>
    <row r="720" spans="1:20" ht="15.6" x14ac:dyDescent="0.3">
      <c r="A720" s="13" t="s">
        <v>731</v>
      </c>
      <c r="B720" s="14">
        <v>45676</v>
      </c>
      <c r="C720" s="15">
        <v>45677</v>
      </c>
      <c r="D720" s="16" t="str">
        <f>TRIM('data cleaning'!$E720)</f>
        <v>Jeff Lowe</v>
      </c>
      <c r="E720" s="17" t="s">
        <v>1483</v>
      </c>
      <c r="F720" s="17" t="str">
        <f>TRIM('data cleaning'!$G720)</f>
        <v>Home Office</v>
      </c>
      <c r="G720" s="17" t="s">
        <v>1515</v>
      </c>
      <c r="H720" s="17" t="str">
        <f>TRIM('data cleaning'!$I720)</f>
        <v>East</v>
      </c>
      <c r="I720" s="17" t="s">
        <v>1519</v>
      </c>
      <c r="J720" s="17" t="str">
        <f>TRIM('data cleaning'!$K720)</f>
        <v>Furniture</v>
      </c>
      <c r="K720" s="17" t="s">
        <v>1522</v>
      </c>
      <c r="L720" s="17" t="str">
        <f>TRIM('data cleaning'!$M720)</f>
        <v>Tables</v>
      </c>
      <c r="M720" s="17" t="s">
        <v>1529</v>
      </c>
      <c r="N720" s="17" t="str">
        <f>PROPER('data cleaning'!$O720)</f>
        <v>According Tables</v>
      </c>
      <c r="O720" s="17" t="str">
        <f>TRIM('data cleaning'!$P720)</f>
        <v>According Tables</v>
      </c>
      <c r="P720" s="17" t="s">
        <v>2217</v>
      </c>
      <c r="Q720" s="17">
        <v>1877.65</v>
      </c>
      <c r="R720" s="17">
        <v>9</v>
      </c>
      <c r="S720" s="17">
        <v>0</v>
      </c>
      <c r="T720" s="18">
        <v>-374.66</v>
      </c>
    </row>
    <row r="721" spans="1:20" ht="15.6" x14ac:dyDescent="0.3">
      <c r="A721" s="19" t="s">
        <v>732</v>
      </c>
      <c r="B721" s="20">
        <v>45890</v>
      </c>
      <c r="C721" s="21">
        <v>45891</v>
      </c>
      <c r="D721" s="22" t="str">
        <f>TRIM('data cleaning'!$E721)</f>
        <v>James Garcia</v>
      </c>
      <c r="E721" s="23" t="s">
        <v>1484</v>
      </c>
      <c r="F721" s="23" t="str">
        <f>TRIM('data cleaning'!$G721)</f>
        <v>Home Office</v>
      </c>
      <c r="G721" s="23" t="s">
        <v>1515</v>
      </c>
      <c r="H721" s="23" t="str">
        <f>TRIM('data cleaning'!$I721)</f>
        <v>West</v>
      </c>
      <c r="I721" s="23" t="s">
        <v>1518</v>
      </c>
      <c r="J721" s="23" t="str">
        <f>TRIM('data cleaning'!$K721)</f>
        <v>Furniture</v>
      </c>
      <c r="K721" s="23" t="s">
        <v>1522</v>
      </c>
      <c r="L721" s="23" t="str">
        <f>TRIM('data cleaning'!$M721)</f>
        <v>Tables</v>
      </c>
      <c r="M721" s="23" t="s">
        <v>1529</v>
      </c>
      <c r="N721" s="23" t="str">
        <f>PROPER('data cleaning'!$O721)</f>
        <v>Newspaper Tables</v>
      </c>
      <c r="O721" s="23" t="str">
        <f>TRIM('data cleaning'!$P721)</f>
        <v>Newspaper Tables</v>
      </c>
      <c r="P721" s="23" t="s">
        <v>2218</v>
      </c>
      <c r="Q721" s="23">
        <v>1214.44</v>
      </c>
      <c r="R721" s="23">
        <v>10</v>
      </c>
      <c r="S721" s="23">
        <v>0.15</v>
      </c>
      <c r="T721" s="24">
        <v>174.72</v>
      </c>
    </row>
    <row r="722" spans="1:20" ht="15.6" x14ac:dyDescent="0.3">
      <c r="A722" s="13" t="s">
        <v>733</v>
      </c>
      <c r="B722" s="14">
        <v>45606</v>
      </c>
      <c r="C722" s="15">
        <v>45613</v>
      </c>
      <c r="D722" s="16" t="str">
        <f>TRIM('data cleaning'!$E722)</f>
        <v>Ernest Wang</v>
      </c>
      <c r="E722" s="17" t="s">
        <v>1485</v>
      </c>
      <c r="F722" s="17" t="str">
        <f>TRIM('data cleaning'!$G722)</f>
        <v>Home Office</v>
      </c>
      <c r="G722" s="17" t="s">
        <v>1515</v>
      </c>
      <c r="H722" s="17" t="str">
        <f>TRIM('data cleaning'!$I722)</f>
        <v>West</v>
      </c>
      <c r="I722" s="17" t="s">
        <v>1518</v>
      </c>
      <c r="J722" s="17" t="str">
        <f>TRIM('data cleaning'!$K722)</f>
        <v>Technology</v>
      </c>
      <c r="K722" s="17" t="s">
        <v>1521</v>
      </c>
      <c r="L722" s="17" t="str">
        <f>TRIM('data cleaning'!$M722)</f>
        <v>Accessories</v>
      </c>
      <c r="M722" s="17" t="s">
        <v>1526</v>
      </c>
      <c r="N722" s="17" t="str">
        <f>PROPER('data cleaning'!$O722)</f>
        <v>Win Accessories</v>
      </c>
      <c r="O722" s="17" t="str">
        <f>TRIM('data cleaning'!$P722)</f>
        <v>Win Accessories</v>
      </c>
      <c r="P722" s="17" t="s">
        <v>2219</v>
      </c>
      <c r="Q722" s="17">
        <v>2748.34</v>
      </c>
      <c r="R722" s="17">
        <v>3</v>
      </c>
      <c r="S722" s="17">
        <v>0.15</v>
      </c>
      <c r="T722" s="18">
        <v>-339.45</v>
      </c>
    </row>
    <row r="723" spans="1:20" ht="15.6" x14ac:dyDescent="0.3">
      <c r="A723" s="19" t="s">
        <v>734</v>
      </c>
      <c r="B723" s="20">
        <v>46042</v>
      </c>
      <c r="C723" s="21">
        <v>46045</v>
      </c>
      <c r="D723" s="22" t="str">
        <f>TRIM('data cleaning'!$E723)</f>
        <v>James Shaw</v>
      </c>
      <c r="E723" s="23" t="s">
        <v>1486</v>
      </c>
      <c r="F723" s="23" t="str">
        <f>TRIM('data cleaning'!$G723)</f>
        <v>Home Office</v>
      </c>
      <c r="G723" s="23" t="s">
        <v>1515</v>
      </c>
      <c r="H723" s="23" t="str">
        <f>TRIM('data cleaning'!$I723)</f>
        <v>North</v>
      </c>
      <c r="I723" s="23" t="s">
        <v>1516</v>
      </c>
      <c r="J723" s="23" t="str">
        <f>TRIM('data cleaning'!$K723)</f>
        <v>Technology</v>
      </c>
      <c r="K723" s="23" t="s">
        <v>1521</v>
      </c>
      <c r="L723" s="23" t="str">
        <f>TRIM('data cleaning'!$M723)</f>
        <v>Accessories</v>
      </c>
      <c r="M723" s="23" t="s">
        <v>1526</v>
      </c>
      <c r="N723" s="23" t="str">
        <f>PROPER('data cleaning'!$O723)</f>
        <v>Personal Accessories</v>
      </c>
      <c r="O723" s="23" t="str">
        <f>TRIM('data cleaning'!$P723)</f>
        <v>Personal Accessories</v>
      </c>
      <c r="P723" s="23" t="s">
        <v>2220</v>
      </c>
      <c r="Q723" s="23">
        <v>1477.93</v>
      </c>
      <c r="R723" s="23">
        <v>3</v>
      </c>
      <c r="S723" s="23">
        <v>0.05</v>
      </c>
      <c r="T723" s="24">
        <v>-286.14999999999998</v>
      </c>
    </row>
    <row r="724" spans="1:20" ht="15.6" x14ac:dyDescent="0.3">
      <c r="A724" s="13" t="s">
        <v>735</v>
      </c>
      <c r="B724" s="14">
        <v>45329</v>
      </c>
      <c r="C724" s="15">
        <v>45337</v>
      </c>
      <c r="D724" s="16" t="str">
        <f>TRIM('data cleaning'!$E724)</f>
        <v>Derrick Weber</v>
      </c>
      <c r="E724" s="17" t="s">
        <v>1487</v>
      </c>
      <c r="F724" s="17" t="str">
        <f>TRIM('data cleaning'!$G724)</f>
        <v>Corporate</v>
      </c>
      <c r="G724" s="17" t="s">
        <v>1514</v>
      </c>
      <c r="H724" s="17" t="str">
        <f>TRIM('data cleaning'!$I724)</f>
        <v>West</v>
      </c>
      <c r="I724" s="17" t="s">
        <v>1518</v>
      </c>
      <c r="J724" s="17" t="str">
        <f>TRIM('data cleaning'!$K724)</f>
        <v>Furniture</v>
      </c>
      <c r="K724" s="17" t="s">
        <v>1522</v>
      </c>
      <c r="L724" s="17" t="str">
        <f>TRIM('data cleaning'!$M724)</f>
        <v>Bookcases</v>
      </c>
      <c r="M724" s="17" t="s">
        <v>1527</v>
      </c>
      <c r="N724" s="17" t="str">
        <f>PROPER('data cleaning'!$O724)</f>
        <v>Agent Bookcases</v>
      </c>
      <c r="O724" s="17" t="str">
        <f>TRIM('data cleaning'!$P724)</f>
        <v>Agent Bookcases</v>
      </c>
      <c r="P724" s="17" t="s">
        <v>2221</v>
      </c>
      <c r="Q724" s="17">
        <v>3306.74</v>
      </c>
      <c r="R724" s="17">
        <v>3</v>
      </c>
      <c r="S724" s="17">
        <v>0</v>
      </c>
      <c r="T724" s="18">
        <v>-411.78</v>
      </c>
    </row>
    <row r="725" spans="1:20" ht="15.6" x14ac:dyDescent="0.3">
      <c r="A725" s="19" t="s">
        <v>736</v>
      </c>
      <c r="B725" s="20">
        <v>46130</v>
      </c>
      <c r="C725" s="21">
        <v>46137</v>
      </c>
      <c r="D725" s="22" t="str">
        <f>TRIM('data cleaning'!$E725)</f>
        <v>Tracie Davenport</v>
      </c>
      <c r="E725" s="23" t="s">
        <v>1488</v>
      </c>
      <c r="F725" s="23" t="str">
        <f>TRIM('data cleaning'!$G725)</f>
        <v>Corporate</v>
      </c>
      <c r="G725" s="23" t="s">
        <v>1514</v>
      </c>
      <c r="H725" s="23" t="str">
        <f>TRIM('data cleaning'!$I725)</f>
        <v>West</v>
      </c>
      <c r="I725" s="23" t="s">
        <v>1518</v>
      </c>
      <c r="J725" s="23" t="str">
        <f>TRIM('data cleaning'!$K725)</f>
        <v>Office Supplies</v>
      </c>
      <c r="K725" s="23" t="s">
        <v>1520</v>
      </c>
      <c r="L725" s="23" t="str">
        <f>TRIM('data cleaning'!$M725)</f>
        <v>Storage</v>
      </c>
      <c r="M725" s="23" t="s">
        <v>1525</v>
      </c>
      <c r="N725" s="23" t="str">
        <f>PROPER('data cleaning'!$O725)</f>
        <v>Teacher Storage</v>
      </c>
      <c r="O725" s="23" t="str">
        <f>TRIM('data cleaning'!$P725)</f>
        <v>Teacher Storage</v>
      </c>
      <c r="P725" s="23" t="s">
        <v>2222</v>
      </c>
      <c r="Q725" s="23">
        <v>3135.08</v>
      </c>
      <c r="R725" s="23">
        <v>8</v>
      </c>
      <c r="S725" s="23">
        <v>0.2</v>
      </c>
      <c r="T725" s="24">
        <v>104.3</v>
      </c>
    </row>
    <row r="726" spans="1:20" ht="15.6" x14ac:dyDescent="0.3">
      <c r="A726" s="13" t="s">
        <v>737</v>
      </c>
      <c r="B726" s="14">
        <v>46109</v>
      </c>
      <c r="C726" s="15">
        <v>46112</v>
      </c>
      <c r="D726" s="16" t="str">
        <f>TRIM('data cleaning'!$E726)</f>
        <v>Jennifer Bishop</v>
      </c>
      <c r="E726" s="17" t="s">
        <v>1489</v>
      </c>
      <c r="F726" s="17" t="str">
        <f>TRIM('data cleaning'!$G726)</f>
        <v>Home Office</v>
      </c>
      <c r="G726" s="17" t="s">
        <v>1515</v>
      </c>
      <c r="H726" s="17" t="str">
        <f>TRIM('data cleaning'!$I726)</f>
        <v>South</v>
      </c>
      <c r="I726" s="17" t="s">
        <v>1517</v>
      </c>
      <c r="J726" s="17" t="str">
        <f>TRIM('data cleaning'!$K726)</f>
        <v>Technology</v>
      </c>
      <c r="K726" s="17" t="s">
        <v>1521</v>
      </c>
      <c r="L726" s="17" t="str">
        <f>TRIM('data cleaning'!$M726)</f>
        <v>Phones</v>
      </c>
      <c r="M726" s="17" t="s">
        <v>1530</v>
      </c>
      <c r="N726" s="17" t="str">
        <f>PROPER('data cleaning'!$O726)</f>
        <v>Institution Phones</v>
      </c>
      <c r="O726" s="17" t="str">
        <f>TRIM('data cleaning'!$P726)</f>
        <v>Institution Phones</v>
      </c>
      <c r="P726" s="17" t="s">
        <v>2223</v>
      </c>
      <c r="Q726" s="17">
        <v>2152.62</v>
      </c>
      <c r="R726" s="17">
        <v>1</v>
      </c>
      <c r="S726" s="17">
        <v>0.2</v>
      </c>
      <c r="T726" s="18">
        <v>159.26</v>
      </c>
    </row>
    <row r="727" spans="1:20" ht="15.6" x14ac:dyDescent="0.3">
      <c r="A727" s="19" t="s">
        <v>738</v>
      </c>
      <c r="B727" s="20">
        <v>45456</v>
      </c>
      <c r="C727" s="21">
        <v>45461</v>
      </c>
      <c r="D727" s="22" t="str">
        <f>TRIM('data cleaning'!$E727)</f>
        <v>Rebecca Daniel</v>
      </c>
      <c r="E727" s="23" t="s">
        <v>1490</v>
      </c>
      <c r="F727" s="23" t="str">
        <f>TRIM('data cleaning'!$G727)</f>
        <v>Consumer</v>
      </c>
      <c r="G727" s="23" t="s">
        <v>1513</v>
      </c>
      <c r="H727" s="23" t="str">
        <f>TRIM('data cleaning'!$I727)</f>
        <v>West</v>
      </c>
      <c r="I727" s="23" t="s">
        <v>1518</v>
      </c>
      <c r="J727" s="23" t="str">
        <f>TRIM('data cleaning'!$K727)</f>
        <v>Office Supplies</v>
      </c>
      <c r="K727" s="23" t="s">
        <v>1520</v>
      </c>
      <c r="L727" s="23" t="str">
        <f>TRIM('data cleaning'!$M727)</f>
        <v>Storage</v>
      </c>
      <c r="M727" s="23" t="s">
        <v>1525</v>
      </c>
      <c r="N727" s="23" t="str">
        <f>PROPER('data cleaning'!$O727)</f>
        <v>Director Storage</v>
      </c>
      <c r="O727" s="23" t="str">
        <f>TRIM('data cleaning'!$P727)</f>
        <v>Director Storage</v>
      </c>
      <c r="P727" s="23" t="s">
        <v>2224</v>
      </c>
      <c r="Q727" s="23">
        <v>2083.65</v>
      </c>
      <c r="R727" s="23">
        <v>9</v>
      </c>
      <c r="S727" s="23">
        <v>0.2</v>
      </c>
      <c r="T727" s="24">
        <v>3.82</v>
      </c>
    </row>
    <row r="728" spans="1:20" ht="15.6" x14ac:dyDescent="0.3">
      <c r="A728" s="13" t="s">
        <v>739</v>
      </c>
      <c r="B728" s="14">
        <v>46066</v>
      </c>
      <c r="C728" s="15">
        <v>46068</v>
      </c>
      <c r="D728" s="16" t="str">
        <f>TRIM('data cleaning'!$E728)</f>
        <v>Dr. Ryan Bailey</v>
      </c>
      <c r="E728" s="17" t="s">
        <v>1491</v>
      </c>
      <c r="F728" s="17" t="str">
        <f>TRIM('data cleaning'!$G728)</f>
        <v>Home Office</v>
      </c>
      <c r="G728" s="17" t="s">
        <v>1515</v>
      </c>
      <c r="H728" s="17" t="str">
        <f>TRIM('data cleaning'!$I728)</f>
        <v>East</v>
      </c>
      <c r="I728" s="17" t="s">
        <v>1519</v>
      </c>
      <c r="J728" s="17" t="str">
        <f>TRIM('data cleaning'!$K728)</f>
        <v>Office Supplies</v>
      </c>
      <c r="K728" s="17" t="s">
        <v>1520</v>
      </c>
      <c r="L728" s="17" t="str">
        <f>TRIM('data cleaning'!$M728)</f>
        <v>Paper</v>
      </c>
      <c r="M728" s="17" t="s">
        <v>1524</v>
      </c>
      <c r="N728" s="17" t="str">
        <f>PROPER('data cleaning'!$O728)</f>
        <v>Generation Paper</v>
      </c>
      <c r="O728" s="17" t="str">
        <f>TRIM('data cleaning'!$P728)</f>
        <v>Generation Paper</v>
      </c>
      <c r="P728" s="17" t="s">
        <v>2006</v>
      </c>
      <c r="Q728" s="17">
        <v>2922.33</v>
      </c>
      <c r="R728" s="17">
        <v>2</v>
      </c>
      <c r="S728" s="17">
        <v>0.05</v>
      </c>
      <c r="T728" s="18">
        <v>589.15</v>
      </c>
    </row>
    <row r="729" spans="1:20" ht="15.6" x14ac:dyDescent="0.3">
      <c r="A729" s="19" t="s">
        <v>740</v>
      </c>
      <c r="B729" s="20">
        <v>45630</v>
      </c>
      <c r="C729" s="21">
        <v>45632</v>
      </c>
      <c r="D729" s="22" t="str">
        <f>TRIM('data cleaning'!$E729)</f>
        <v>Mr. Andrew Anderson</v>
      </c>
      <c r="E729" s="23" t="s">
        <v>1492</v>
      </c>
      <c r="F729" s="23" t="str">
        <f>TRIM('data cleaning'!$G729)</f>
        <v>Home Office</v>
      </c>
      <c r="G729" s="23" t="s">
        <v>1515</v>
      </c>
      <c r="H729" s="23" t="str">
        <f>TRIM('data cleaning'!$I729)</f>
        <v>North</v>
      </c>
      <c r="I729" s="23" t="s">
        <v>1516</v>
      </c>
      <c r="J729" s="23" t="str">
        <f>TRIM('data cleaning'!$K729)</f>
        <v>Technology</v>
      </c>
      <c r="K729" s="23" t="s">
        <v>1521</v>
      </c>
      <c r="L729" s="23" t="str">
        <f>TRIM('data cleaning'!$M729)</f>
        <v>Laptops</v>
      </c>
      <c r="M729" s="23" t="s">
        <v>1528</v>
      </c>
      <c r="N729" s="23" t="str">
        <f>PROPER('data cleaning'!$O729)</f>
        <v>Fire Laptops</v>
      </c>
      <c r="O729" s="23" t="str">
        <f>TRIM('data cleaning'!$P729)</f>
        <v>Fire Laptops</v>
      </c>
      <c r="P729" s="23" t="s">
        <v>2225</v>
      </c>
      <c r="Q729" s="23">
        <v>2640.62</v>
      </c>
      <c r="R729" s="23">
        <v>10</v>
      </c>
      <c r="S729" s="23">
        <v>0</v>
      </c>
      <c r="T729" s="24">
        <v>-171.96</v>
      </c>
    </row>
    <row r="730" spans="1:20" ht="15.6" x14ac:dyDescent="0.3">
      <c r="A730" s="13" t="s">
        <v>741</v>
      </c>
      <c r="B730" s="14">
        <v>46057</v>
      </c>
      <c r="C730" s="15">
        <v>46066</v>
      </c>
      <c r="D730" s="16" t="str">
        <f>TRIM('data cleaning'!$E730)</f>
        <v>Juan Norman</v>
      </c>
      <c r="E730" s="17" t="s">
        <v>1493</v>
      </c>
      <c r="F730" s="17" t="str">
        <f>TRIM('data cleaning'!$G730)</f>
        <v>Corporate</v>
      </c>
      <c r="G730" s="17" t="s">
        <v>1514</v>
      </c>
      <c r="H730" s="17" t="str">
        <f>TRIM('data cleaning'!$I730)</f>
        <v>North</v>
      </c>
      <c r="I730" s="17" t="s">
        <v>1516</v>
      </c>
      <c r="J730" s="17" t="str">
        <f>TRIM('data cleaning'!$K730)</f>
        <v>Office Supplies</v>
      </c>
      <c r="K730" s="17" t="s">
        <v>1520</v>
      </c>
      <c r="L730" s="17" t="str">
        <f>TRIM('data cleaning'!$M730)</f>
        <v>Storage</v>
      </c>
      <c r="M730" s="17" t="s">
        <v>1525</v>
      </c>
      <c r="N730" s="17" t="str">
        <f>PROPER('data cleaning'!$O730)</f>
        <v>Player Storage</v>
      </c>
      <c r="O730" s="17" t="str">
        <f>TRIM('data cleaning'!$P730)</f>
        <v>Player Storage</v>
      </c>
      <c r="P730" s="17" t="s">
        <v>2226</v>
      </c>
      <c r="Q730" s="17">
        <v>4000.59</v>
      </c>
      <c r="R730" s="17">
        <v>5</v>
      </c>
      <c r="S730" s="17">
        <v>0.2</v>
      </c>
      <c r="T730" s="18">
        <v>-684</v>
      </c>
    </row>
    <row r="731" spans="1:20" ht="15.6" x14ac:dyDescent="0.3">
      <c r="A731" s="19" t="s">
        <v>742</v>
      </c>
      <c r="B731" s="20">
        <v>46029</v>
      </c>
      <c r="C731" s="21">
        <v>46038</v>
      </c>
      <c r="D731" s="22" t="str">
        <f>TRIM('data cleaning'!$E731)</f>
        <v>Duane Johnston</v>
      </c>
      <c r="E731" s="23" t="s">
        <v>1494</v>
      </c>
      <c r="F731" s="23" t="str">
        <f>TRIM('data cleaning'!$G731)</f>
        <v>Corporate</v>
      </c>
      <c r="G731" s="23" t="s">
        <v>1514</v>
      </c>
      <c r="H731" s="23" t="str">
        <f>TRIM('data cleaning'!$I731)</f>
        <v>East</v>
      </c>
      <c r="I731" s="23" t="s">
        <v>1519</v>
      </c>
      <c r="J731" s="23" t="str">
        <f>TRIM('data cleaning'!$K731)</f>
        <v>Technology</v>
      </c>
      <c r="K731" s="23" t="s">
        <v>1521</v>
      </c>
      <c r="L731" s="23" t="str">
        <f>TRIM('data cleaning'!$M731)</f>
        <v>Accessories</v>
      </c>
      <c r="M731" s="23" t="s">
        <v>1526</v>
      </c>
      <c r="N731" s="23" t="str">
        <f>PROPER('data cleaning'!$O731)</f>
        <v>Explain Accessories</v>
      </c>
      <c r="O731" s="23" t="str">
        <f>TRIM('data cleaning'!$P731)</f>
        <v>Explain Accessories</v>
      </c>
      <c r="P731" s="23" t="s">
        <v>2227</v>
      </c>
      <c r="Q731" s="23">
        <v>4534.97</v>
      </c>
      <c r="R731" s="23">
        <v>10</v>
      </c>
      <c r="S731" s="23"/>
      <c r="T731" s="24">
        <v>-80.12</v>
      </c>
    </row>
    <row r="732" spans="1:20" ht="15.6" x14ac:dyDescent="0.3">
      <c r="A732" s="13" t="s">
        <v>743</v>
      </c>
      <c r="B732" s="14">
        <v>45308</v>
      </c>
      <c r="C732" s="15">
        <v>45309</v>
      </c>
      <c r="D732" s="16" t="str">
        <f>TRIM('data cleaning'!$E732)</f>
        <v>Michael Miller</v>
      </c>
      <c r="E732" s="17" t="s">
        <v>1495</v>
      </c>
      <c r="F732" s="17" t="str">
        <f>TRIM('data cleaning'!$G732)</f>
        <v>Home Office</v>
      </c>
      <c r="G732" s="17" t="s">
        <v>1515</v>
      </c>
      <c r="H732" s="17" t="str">
        <f>TRIM('data cleaning'!$I732)</f>
        <v>East</v>
      </c>
      <c r="I732" s="17" t="s">
        <v>1519</v>
      </c>
      <c r="J732" s="17" t="str">
        <f>TRIM('data cleaning'!$K732)</f>
        <v>Technology</v>
      </c>
      <c r="K732" s="17" t="s">
        <v>1521</v>
      </c>
      <c r="L732" s="17" t="str">
        <f>TRIM('data cleaning'!$M732)</f>
        <v>Phones</v>
      </c>
      <c r="M732" s="17" t="s">
        <v>1530</v>
      </c>
      <c r="N732" s="17" t="str">
        <f>PROPER('data cleaning'!$O732)</f>
        <v>Ask Phones</v>
      </c>
      <c r="O732" s="17" t="str">
        <f>TRIM('data cleaning'!$P732)</f>
        <v>Ask Phones</v>
      </c>
      <c r="P732" s="17" t="s">
        <v>2228</v>
      </c>
      <c r="Q732" s="17">
        <v>3490.5</v>
      </c>
      <c r="R732" s="17">
        <v>10</v>
      </c>
      <c r="S732" s="17"/>
      <c r="T732" s="18">
        <v>-114.35</v>
      </c>
    </row>
    <row r="733" spans="1:20" ht="15.6" x14ac:dyDescent="0.3">
      <c r="A733" s="19" t="s">
        <v>744</v>
      </c>
      <c r="B733" s="20">
        <v>46159</v>
      </c>
      <c r="C733" s="21">
        <v>46167</v>
      </c>
      <c r="D733" s="22" t="str">
        <f>TRIM('data cleaning'!$E733)</f>
        <v>Christopher Gonzalez</v>
      </c>
      <c r="E733" s="23" t="s">
        <v>1496</v>
      </c>
      <c r="F733" s="23" t="str">
        <f>TRIM('data cleaning'!$G733)</f>
        <v>Corporate</v>
      </c>
      <c r="G733" s="23" t="s">
        <v>1514</v>
      </c>
      <c r="H733" s="23" t="str">
        <f>TRIM('data cleaning'!$I733)</f>
        <v>North</v>
      </c>
      <c r="I733" s="23" t="s">
        <v>1516</v>
      </c>
      <c r="J733" s="23" t="str">
        <f>TRIM('data cleaning'!$K733)</f>
        <v>Furniture</v>
      </c>
      <c r="K733" s="23" t="s">
        <v>1522</v>
      </c>
      <c r="L733" s="23" t="str">
        <f>TRIM('data cleaning'!$M733)</f>
        <v>Bookcases</v>
      </c>
      <c r="M733" s="23" t="s">
        <v>1527</v>
      </c>
      <c r="N733" s="23" t="str">
        <f>PROPER('data cleaning'!$O733)</f>
        <v>Position Bookcases</v>
      </c>
      <c r="O733" s="23" t="str">
        <f>TRIM('data cleaning'!$P733)</f>
        <v>Position Bookcases</v>
      </c>
      <c r="P733" s="23" t="s">
        <v>2229</v>
      </c>
      <c r="Q733" s="23">
        <v>2911.8</v>
      </c>
      <c r="R733" s="23">
        <v>10</v>
      </c>
      <c r="S733" s="23">
        <v>0</v>
      </c>
      <c r="T733" s="24">
        <v>468.73</v>
      </c>
    </row>
    <row r="734" spans="1:20" ht="15.6" x14ac:dyDescent="0.3">
      <c r="A734" s="13" t="s">
        <v>745</v>
      </c>
      <c r="B734" s="14">
        <v>45560</v>
      </c>
      <c r="C734" s="15">
        <v>45562</v>
      </c>
      <c r="D734" s="16" t="str">
        <f>TRIM('data cleaning'!$E734)</f>
        <v>Mark Chen</v>
      </c>
      <c r="E734" s="17" t="s">
        <v>1497</v>
      </c>
      <c r="F734" s="17" t="str">
        <f>TRIM('data cleaning'!$G734)</f>
        <v>Home Office</v>
      </c>
      <c r="G734" s="17" t="s">
        <v>1515</v>
      </c>
      <c r="H734" s="17" t="str">
        <f>TRIM('data cleaning'!$I734)</f>
        <v>East</v>
      </c>
      <c r="I734" s="17" t="s">
        <v>1519</v>
      </c>
      <c r="J734" s="17" t="str">
        <f>TRIM('data cleaning'!$K734)</f>
        <v>Technology</v>
      </c>
      <c r="K734" s="17" t="s">
        <v>1521</v>
      </c>
      <c r="L734" s="17" t="str">
        <f>TRIM('data cleaning'!$M734)</f>
        <v>Accessories</v>
      </c>
      <c r="M734" s="17" t="s">
        <v>1526</v>
      </c>
      <c r="N734" s="17" t="str">
        <f>PROPER('data cleaning'!$O734)</f>
        <v>Material Accessories</v>
      </c>
      <c r="O734" s="17" t="str">
        <f>TRIM('data cleaning'!$P734)</f>
        <v>Material Accessories</v>
      </c>
      <c r="P734" s="17" t="s">
        <v>2230</v>
      </c>
      <c r="Q734" s="17">
        <v>677.77</v>
      </c>
      <c r="R734" s="17">
        <v>2</v>
      </c>
      <c r="S734" s="17">
        <v>0.1</v>
      </c>
      <c r="T734" s="18">
        <v>-41.6</v>
      </c>
    </row>
    <row r="735" spans="1:20" ht="15.6" x14ac:dyDescent="0.3">
      <c r="A735" s="19" t="s">
        <v>746</v>
      </c>
      <c r="B735" s="20">
        <v>45093</v>
      </c>
      <c r="C735" s="21">
        <v>45094</v>
      </c>
      <c r="D735" s="22" t="str">
        <f>TRIM('data cleaning'!$E735)</f>
        <v>Pamela Baxter</v>
      </c>
      <c r="E735" s="23" t="s">
        <v>1498</v>
      </c>
      <c r="F735" s="23" t="str">
        <f>TRIM('data cleaning'!$G735)</f>
        <v/>
      </c>
      <c r="G735" s="23"/>
      <c r="H735" s="23" t="str">
        <f>TRIM('data cleaning'!$I735)</f>
        <v>South</v>
      </c>
      <c r="I735" s="23" t="s">
        <v>1517</v>
      </c>
      <c r="J735" s="23" t="str">
        <f>TRIM('data cleaning'!$K735)</f>
        <v>Technology</v>
      </c>
      <c r="K735" s="23" t="s">
        <v>1521</v>
      </c>
      <c r="L735" s="23" t="str">
        <f>TRIM('data cleaning'!$M735)</f>
        <v>Accessories</v>
      </c>
      <c r="M735" s="23" t="s">
        <v>1526</v>
      </c>
      <c r="N735" s="23" t="str">
        <f>PROPER('data cleaning'!$O735)</f>
        <v>Director Accessories</v>
      </c>
      <c r="O735" s="23" t="str">
        <f>TRIM('data cleaning'!$P735)</f>
        <v>Director Accessories</v>
      </c>
      <c r="P735" s="23" t="s">
        <v>2231</v>
      </c>
      <c r="Q735" s="23">
        <v>3720.07</v>
      </c>
      <c r="R735" s="23">
        <v>10</v>
      </c>
      <c r="S735" s="23">
        <v>0.05</v>
      </c>
      <c r="T735" s="24">
        <v>1118.1500000000001</v>
      </c>
    </row>
    <row r="736" spans="1:20" ht="15.6" x14ac:dyDescent="0.3">
      <c r="A736" s="13" t="s">
        <v>747</v>
      </c>
      <c r="B736" s="14">
        <v>45690</v>
      </c>
      <c r="C736" s="15">
        <v>45696</v>
      </c>
      <c r="D736" s="16" t="str">
        <f>TRIM('data cleaning'!$E736)</f>
        <v>Shannon Morgan</v>
      </c>
      <c r="E736" s="17" t="s">
        <v>1499</v>
      </c>
      <c r="F736" s="17" t="str">
        <f>TRIM('data cleaning'!$G736)</f>
        <v>Consumer</v>
      </c>
      <c r="G736" s="17" t="s">
        <v>1513</v>
      </c>
      <c r="H736" s="17" t="str">
        <f>TRIM('data cleaning'!$I736)</f>
        <v>North</v>
      </c>
      <c r="I736" s="17" t="s">
        <v>1516</v>
      </c>
      <c r="J736" s="17" t="str">
        <f>TRIM('data cleaning'!$K736)</f>
        <v>Office Supplies</v>
      </c>
      <c r="K736" s="17" t="s">
        <v>1520</v>
      </c>
      <c r="L736" s="17" t="str">
        <f>TRIM('data cleaning'!$M736)</f>
        <v>Paper</v>
      </c>
      <c r="M736" s="17" t="s">
        <v>1524</v>
      </c>
      <c r="N736" s="17" t="str">
        <f>PROPER('data cleaning'!$O736)</f>
        <v>There Paper</v>
      </c>
      <c r="O736" s="17" t="str">
        <f>TRIM('data cleaning'!$P736)</f>
        <v>There Paper</v>
      </c>
      <c r="P736" s="17" t="s">
        <v>2232</v>
      </c>
      <c r="Q736" s="17">
        <v>4048.81</v>
      </c>
      <c r="R736" s="17">
        <v>5</v>
      </c>
      <c r="S736" s="17"/>
      <c r="T736" s="18">
        <v>-283.79000000000002</v>
      </c>
    </row>
    <row r="737" spans="1:20" ht="15.6" x14ac:dyDescent="0.3">
      <c r="A737" s="19" t="s">
        <v>748</v>
      </c>
      <c r="B737" s="20">
        <v>45252</v>
      </c>
      <c r="C737" s="21">
        <v>45255</v>
      </c>
      <c r="D737" s="22" t="str">
        <f>TRIM('data cleaning'!$E737)</f>
        <v>Joanna Weiss</v>
      </c>
      <c r="E737" s="23" t="s">
        <v>1500</v>
      </c>
      <c r="F737" s="23" t="str">
        <f>TRIM('data cleaning'!$G737)</f>
        <v>Corporate</v>
      </c>
      <c r="G737" s="23" t="s">
        <v>1514</v>
      </c>
      <c r="H737" s="23" t="str">
        <f>TRIM('data cleaning'!$I737)</f>
        <v>West</v>
      </c>
      <c r="I737" s="23" t="s">
        <v>1518</v>
      </c>
      <c r="J737" s="23" t="str">
        <f>TRIM('data cleaning'!$K737)</f>
        <v>Technology</v>
      </c>
      <c r="K737" s="23" t="s">
        <v>1521</v>
      </c>
      <c r="L737" s="23" t="str">
        <f>TRIM('data cleaning'!$M737)</f>
        <v>Phones</v>
      </c>
      <c r="M737" s="23" t="s">
        <v>1530</v>
      </c>
      <c r="N737" s="23" t="str">
        <f>PROPER('data cleaning'!$O737)</f>
        <v>New Phones</v>
      </c>
      <c r="O737" s="23" t="str">
        <f>TRIM('data cleaning'!$P737)</f>
        <v>New Phones</v>
      </c>
      <c r="P737" s="23" t="s">
        <v>2233</v>
      </c>
      <c r="Q737" s="23">
        <v>2997.94</v>
      </c>
      <c r="R737" s="23">
        <v>3</v>
      </c>
      <c r="S737" s="23">
        <v>0.15</v>
      </c>
      <c r="T737" s="24">
        <v>641.62</v>
      </c>
    </row>
    <row r="738" spans="1:20" ht="15.6" x14ac:dyDescent="0.3">
      <c r="A738" s="13" t="s">
        <v>749</v>
      </c>
      <c r="B738" s="14">
        <v>45256</v>
      </c>
      <c r="C738" s="15">
        <v>45264</v>
      </c>
      <c r="D738" s="16" t="str">
        <f>TRIM('data cleaning'!$E738)</f>
        <v/>
      </c>
      <c r="E738" s="17"/>
      <c r="F738" s="17" t="str">
        <f>TRIM('data cleaning'!$G738)</f>
        <v>Corporate</v>
      </c>
      <c r="G738" s="17" t="s">
        <v>1514</v>
      </c>
      <c r="H738" s="17" t="str">
        <f>TRIM('data cleaning'!$I738)</f>
        <v>North</v>
      </c>
      <c r="I738" s="17" t="s">
        <v>1516</v>
      </c>
      <c r="J738" s="17" t="str">
        <f>TRIM('data cleaning'!$K738)</f>
        <v>Furniture</v>
      </c>
      <c r="K738" s="17" t="s">
        <v>1522</v>
      </c>
      <c r="L738" s="17" t="str">
        <f>TRIM('data cleaning'!$M738)</f>
        <v>Bookcases</v>
      </c>
      <c r="M738" s="17" t="s">
        <v>1527</v>
      </c>
      <c r="N738" s="17" t="str">
        <f>PROPER('data cleaning'!$O738)</f>
        <v>Raise Bookcases</v>
      </c>
      <c r="O738" s="17" t="str">
        <f>TRIM('data cleaning'!$P738)</f>
        <v>Raise Bookcases</v>
      </c>
      <c r="P738" s="17" t="s">
        <v>2234</v>
      </c>
      <c r="Q738" s="17">
        <v>3643.7</v>
      </c>
      <c r="R738" s="17">
        <v>3</v>
      </c>
      <c r="S738" s="17">
        <v>0.05</v>
      </c>
      <c r="T738" s="18">
        <v>429.11</v>
      </c>
    </row>
    <row r="739" spans="1:20" ht="15.6" x14ac:dyDescent="0.3">
      <c r="A739" s="19" t="s">
        <v>750</v>
      </c>
      <c r="B739" s="20">
        <v>45506</v>
      </c>
      <c r="C739" s="21">
        <v>45508</v>
      </c>
      <c r="D739" s="22" t="str">
        <f>TRIM('data cleaning'!$E739)</f>
        <v>Jody Martinez</v>
      </c>
      <c r="E739" s="23" t="s">
        <v>1501</v>
      </c>
      <c r="F739" s="23" t="str">
        <f>TRIM('data cleaning'!$G739)</f>
        <v>Corporate</v>
      </c>
      <c r="G739" s="23" t="s">
        <v>1514</v>
      </c>
      <c r="H739" s="23" t="str">
        <f>TRIM('data cleaning'!$I739)</f>
        <v>South</v>
      </c>
      <c r="I739" s="23" t="s">
        <v>1517</v>
      </c>
      <c r="J739" s="23" t="str">
        <f>TRIM('data cleaning'!$K739)</f>
        <v>Office Supplies</v>
      </c>
      <c r="K739" s="23" t="s">
        <v>1520</v>
      </c>
      <c r="L739" s="23" t="str">
        <f>TRIM('data cleaning'!$M739)</f>
        <v>Paper</v>
      </c>
      <c r="M739" s="23" t="s">
        <v>1524</v>
      </c>
      <c r="N739" s="23" t="str">
        <f>PROPER('data cleaning'!$O739)</f>
        <v>Will Paper</v>
      </c>
      <c r="O739" s="23" t="str">
        <f>TRIM('data cleaning'!$P739)</f>
        <v>Will Paper</v>
      </c>
      <c r="P739" s="23" t="s">
        <v>2235</v>
      </c>
      <c r="Q739" s="23">
        <v>309.99</v>
      </c>
      <c r="R739" s="23">
        <v>8</v>
      </c>
      <c r="S739" s="23">
        <v>0.15</v>
      </c>
      <c r="T739" s="24">
        <v>19.2</v>
      </c>
    </row>
    <row r="740" spans="1:20" ht="15.6" x14ac:dyDescent="0.3">
      <c r="A740" s="13" t="s">
        <v>751</v>
      </c>
      <c r="B740" s="14">
        <v>45256</v>
      </c>
      <c r="C740" s="15">
        <v>45263</v>
      </c>
      <c r="D740" s="16" t="str">
        <f>TRIM('data cleaning'!$E740)</f>
        <v>Jason Moss</v>
      </c>
      <c r="E740" s="17" t="s">
        <v>1502</v>
      </c>
      <c r="F740" s="17" t="str">
        <f>TRIM('data cleaning'!$G740)</f>
        <v>Consumer</v>
      </c>
      <c r="G740" s="17" t="s">
        <v>1513</v>
      </c>
      <c r="H740" s="17" t="str">
        <f>TRIM('data cleaning'!$I740)</f>
        <v>East</v>
      </c>
      <c r="I740" s="17" t="s">
        <v>1519</v>
      </c>
      <c r="J740" s="17" t="str">
        <f>TRIM('data cleaning'!$K740)</f>
        <v>Technology</v>
      </c>
      <c r="K740" s="17" t="s">
        <v>1521</v>
      </c>
      <c r="L740" s="17" t="str">
        <f>TRIM('data cleaning'!$M740)</f>
        <v>Laptops</v>
      </c>
      <c r="M740" s="17" t="s">
        <v>1528</v>
      </c>
      <c r="N740" s="17" t="str">
        <f>PROPER('data cleaning'!$O740)</f>
        <v>Couple Laptops</v>
      </c>
      <c r="O740" s="17" t="str">
        <f>TRIM('data cleaning'!$P740)</f>
        <v>Couple Laptops</v>
      </c>
      <c r="P740" s="17" t="s">
        <v>2236</v>
      </c>
      <c r="Q740" s="17">
        <v>2399.2199999999998</v>
      </c>
      <c r="R740" s="17">
        <v>3</v>
      </c>
      <c r="S740" s="17">
        <v>0.2</v>
      </c>
      <c r="T740" s="18">
        <v>668.55</v>
      </c>
    </row>
    <row r="741" spans="1:20" ht="15.6" x14ac:dyDescent="0.3">
      <c r="A741" s="19" t="s">
        <v>752</v>
      </c>
      <c r="B741" s="20">
        <v>45775</v>
      </c>
      <c r="C741" s="21">
        <v>45781</v>
      </c>
      <c r="D741" s="22" t="str">
        <f>TRIM('data cleaning'!$E741)</f>
        <v>Gregory Mills</v>
      </c>
      <c r="E741" s="23" t="s">
        <v>1503</v>
      </c>
      <c r="F741" s="23" t="str">
        <f>TRIM('data cleaning'!$G741)</f>
        <v>Home Office</v>
      </c>
      <c r="G741" s="23" t="s">
        <v>1515</v>
      </c>
      <c r="H741" s="23" t="str">
        <f>TRIM('data cleaning'!$I741)</f>
        <v>East</v>
      </c>
      <c r="I741" s="23" t="s">
        <v>1519</v>
      </c>
      <c r="J741" s="23" t="str">
        <f>TRIM('data cleaning'!$K741)</f>
        <v>Technology</v>
      </c>
      <c r="K741" s="23" t="s">
        <v>1521</v>
      </c>
      <c r="L741" s="23" t="str">
        <f>TRIM('data cleaning'!$M741)</f>
        <v>Accessories</v>
      </c>
      <c r="M741" s="23" t="s">
        <v>1526</v>
      </c>
      <c r="N741" s="23" t="str">
        <f>PROPER('data cleaning'!$O741)</f>
        <v>During Accessories</v>
      </c>
      <c r="O741" s="23" t="str">
        <f>TRIM('data cleaning'!$P741)</f>
        <v>During Accessories</v>
      </c>
      <c r="P741" s="23" t="s">
        <v>2237</v>
      </c>
      <c r="Q741" s="23">
        <v>4810.7299999999996</v>
      </c>
      <c r="R741" s="23">
        <v>1</v>
      </c>
      <c r="S741" s="23">
        <v>0</v>
      </c>
      <c r="T741" s="24">
        <v>1466.03</v>
      </c>
    </row>
    <row r="742" spans="1:20" ht="15.6" x14ac:dyDescent="0.3">
      <c r="A742" s="13" t="s">
        <v>753</v>
      </c>
      <c r="B742" s="14">
        <v>46103</v>
      </c>
      <c r="C742" s="15">
        <v>46108</v>
      </c>
      <c r="D742" s="16" t="str">
        <f>TRIM('data cleaning'!$E742)</f>
        <v>Edward Carlson</v>
      </c>
      <c r="E742" s="17" t="s">
        <v>1504</v>
      </c>
      <c r="F742" s="17" t="str">
        <f>TRIM('data cleaning'!$G742)</f>
        <v>Home Office</v>
      </c>
      <c r="G742" s="17" t="s">
        <v>1515</v>
      </c>
      <c r="H742" s="17" t="str">
        <f>TRIM('data cleaning'!$I742)</f>
        <v>West</v>
      </c>
      <c r="I742" s="17" t="s">
        <v>1518</v>
      </c>
      <c r="J742" s="17" t="str">
        <f>TRIM('data cleaning'!$K742)</f>
        <v>Technology</v>
      </c>
      <c r="K742" s="17" t="s">
        <v>1521</v>
      </c>
      <c r="L742" s="17" t="str">
        <f>TRIM('data cleaning'!$M742)</f>
        <v>Laptops</v>
      </c>
      <c r="M742" s="17" t="s">
        <v>1528</v>
      </c>
      <c r="N742" s="17" t="str">
        <f>PROPER('data cleaning'!$O742)</f>
        <v>History Laptops</v>
      </c>
      <c r="O742" s="17" t="str">
        <f>TRIM('data cleaning'!$P742)</f>
        <v>History Laptops</v>
      </c>
      <c r="P742" s="17" t="s">
        <v>2238</v>
      </c>
      <c r="Q742" s="17">
        <v>1708.09</v>
      </c>
      <c r="R742" s="17">
        <v>5</v>
      </c>
      <c r="S742" s="17">
        <v>0</v>
      </c>
      <c r="T742" s="18">
        <v>-101.74</v>
      </c>
    </row>
    <row r="743" spans="1:20" ht="15.6" x14ac:dyDescent="0.3">
      <c r="A743" s="19" t="s">
        <v>754</v>
      </c>
      <c r="B743" s="20">
        <v>45364</v>
      </c>
      <c r="C743" s="21">
        <v>45368</v>
      </c>
      <c r="D743" s="22" t="str">
        <f>TRIM('data cleaning'!$E743)</f>
        <v>Justin Tate</v>
      </c>
      <c r="E743" s="23" t="s">
        <v>1505</v>
      </c>
      <c r="F743" s="23" t="str">
        <f>TRIM('data cleaning'!$G743)</f>
        <v>Home Office</v>
      </c>
      <c r="G743" s="23" t="s">
        <v>1515</v>
      </c>
      <c r="H743" s="23" t="str">
        <f>TRIM('data cleaning'!$I743)</f>
        <v>South</v>
      </c>
      <c r="I743" s="23" t="s">
        <v>1517</v>
      </c>
      <c r="J743" s="23" t="str">
        <f>TRIM('data cleaning'!$K743)</f>
        <v>Technology</v>
      </c>
      <c r="K743" s="23" t="s">
        <v>1521</v>
      </c>
      <c r="L743" s="23" t="str">
        <f>TRIM('data cleaning'!$M743)</f>
        <v>Laptops</v>
      </c>
      <c r="M743" s="23" t="s">
        <v>1528</v>
      </c>
      <c r="N743" s="23" t="str">
        <f>PROPER('data cleaning'!$O743)</f>
        <v>Career Laptops</v>
      </c>
      <c r="O743" s="23" t="str">
        <f>TRIM('data cleaning'!$P743)</f>
        <v>Career Laptops</v>
      </c>
      <c r="P743" s="23" t="s">
        <v>2092</v>
      </c>
      <c r="Q743" s="23">
        <v>3684.85</v>
      </c>
      <c r="R743" s="23">
        <v>10</v>
      </c>
      <c r="S743" s="23">
        <v>0.05</v>
      </c>
      <c r="T743" s="24">
        <v>316.8</v>
      </c>
    </row>
    <row r="744" spans="1:20" ht="15.6" x14ac:dyDescent="0.3">
      <c r="A744" s="13" t="s">
        <v>755</v>
      </c>
      <c r="B744" s="14">
        <v>45982</v>
      </c>
      <c r="C744" s="15">
        <v>45983</v>
      </c>
      <c r="D744" s="16" t="str">
        <f>TRIM('data cleaning'!$E744)</f>
        <v>Benjamin Hughes</v>
      </c>
      <c r="E744" s="17" t="s">
        <v>1506</v>
      </c>
      <c r="F744" s="17" t="str">
        <f>TRIM('data cleaning'!$G744)</f>
        <v>Home Office</v>
      </c>
      <c r="G744" s="17" t="s">
        <v>1515</v>
      </c>
      <c r="H744" s="17" t="str">
        <f>TRIM('data cleaning'!$I744)</f>
        <v/>
      </c>
      <c r="I744" s="17"/>
      <c r="J744" s="17" t="str">
        <f>TRIM('data cleaning'!$K744)</f>
        <v>Technology</v>
      </c>
      <c r="K744" s="17" t="s">
        <v>1521</v>
      </c>
      <c r="L744" s="17" t="str">
        <f>TRIM('data cleaning'!$M744)</f>
        <v>Laptops</v>
      </c>
      <c r="M744" s="17" t="s">
        <v>1528</v>
      </c>
      <c r="N744" s="17" t="str">
        <f>PROPER('data cleaning'!$O744)</f>
        <v>Assume Laptops</v>
      </c>
      <c r="O744" s="17" t="str">
        <f>TRIM('data cleaning'!$P744)</f>
        <v>Assume Laptops</v>
      </c>
      <c r="P744" s="17" t="s">
        <v>2239</v>
      </c>
      <c r="Q744" s="17">
        <v>3380.37</v>
      </c>
      <c r="R744" s="17">
        <v>2</v>
      </c>
      <c r="S744" s="17">
        <v>0</v>
      </c>
      <c r="T744" s="18">
        <v>88.52</v>
      </c>
    </row>
    <row r="745" spans="1:20" ht="15.6" x14ac:dyDescent="0.3">
      <c r="A745" s="19" t="s">
        <v>756</v>
      </c>
      <c r="B745" s="20">
        <v>45566</v>
      </c>
      <c r="C745" s="21">
        <v>45572</v>
      </c>
      <c r="D745" s="22" t="str">
        <f>TRIM('data cleaning'!$E745)</f>
        <v>Eric Fernandez</v>
      </c>
      <c r="E745" s="23" t="s">
        <v>1507</v>
      </c>
      <c r="F745" s="23" t="str">
        <f>TRIM('data cleaning'!$G745)</f>
        <v>Consumer</v>
      </c>
      <c r="G745" s="23" t="s">
        <v>1513</v>
      </c>
      <c r="H745" s="23" t="str">
        <f>TRIM('data cleaning'!$I745)</f>
        <v>North</v>
      </c>
      <c r="I745" s="23" t="s">
        <v>1516</v>
      </c>
      <c r="J745" s="23" t="str">
        <f>TRIM('data cleaning'!$K745)</f>
        <v>Office Supplies</v>
      </c>
      <c r="K745" s="23" t="s">
        <v>1520</v>
      </c>
      <c r="L745" s="23" t="str">
        <f>TRIM('data cleaning'!$M745)</f>
        <v>Paper</v>
      </c>
      <c r="M745" s="23" t="s">
        <v>1524</v>
      </c>
      <c r="N745" s="23" t="str">
        <f>PROPER('data cleaning'!$O745)</f>
        <v>Garden Paper</v>
      </c>
      <c r="O745" s="23" t="str">
        <f>TRIM('data cleaning'!$P745)</f>
        <v>Garden Paper</v>
      </c>
      <c r="P745" s="23" t="s">
        <v>2240</v>
      </c>
      <c r="Q745" s="23">
        <v>1136.1099999999999</v>
      </c>
      <c r="R745" s="23">
        <v>5</v>
      </c>
      <c r="S745" s="23">
        <v>0.1</v>
      </c>
      <c r="T745" s="24">
        <v>-106.57</v>
      </c>
    </row>
    <row r="746" spans="1:20" ht="15.6" x14ac:dyDescent="0.3">
      <c r="A746" s="13" t="s">
        <v>757</v>
      </c>
      <c r="B746" s="14">
        <v>45768</v>
      </c>
      <c r="C746" s="15">
        <v>45772</v>
      </c>
      <c r="D746" s="16" t="str">
        <f>TRIM('data cleaning'!$E746)</f>
        <v>Tamara Williams</v>
      </c>
      <c r="E746" s="17" t="s">
        <v>1508</v>
      </c>
      <c r="F746" s="17" t="str">
        <f>TRIM('data cleaning'!$G746)</f>
        <v>Consumer</v>
      </c>
      <c r="G746" s="17" t="s">
        <v>1513</v>
      </c>
      <c r="H746" s="17" t="str">
        <f>TRIM('data cleaning'!$I746)</f>
        <v>South</v>
      </c>
      <c r="I746" s="17" t="s">
        <v>1517</v>
      </c>
      <c r="J746" s="17" t="str">
        <f>TRIM('data cleaning'!$K746)</f>
        <v>Furniture</v>
      </c>
      <c r="K746" s="17" t="s">
        <v>1522</v>
      </c>
      <c r="L746" s="17" t="str">
        <f>TRIM('data cleaning'!$M746)</f>
        <v>Bookcases</v>
      </c>
      <c r="M746" s="17" t="s">
        <v>1527</v>
      </c>
      <c r="N746" s="17" t="str">
        <f>PROPER('data cleaning'!$O746)</f>
        <v>His Bookcases</v>
      </c>
      <c r="O746" s="17" t="str">
        <f>TRIM('data cleaning'!$P746)</f>
        <v>His Bookcases</v>
      </c>
      <c r="P746" s="17" t="s">
        <v>2241</v>
      </c>
      <c r="Q746" s="17">
        <v>4754.92</v>
      </c>
      <c r="R746" s="17">
        <v>2</v>
      </c>
      <c r="S746" s="17"/>
      <c r="T746" s="18">
        <v>1553.85</v>
      </c>
    </row>
    <row r="747" spans="1:20" ht="15.6" x14ac:dyDescent="0.3">
      <c r="A747" s="19" t="s">
        <v>758</v>
      </c>
      <c r="B747" s="20">
        <v>45852</v>
      </c>
      <c r="C747" s="21">
        <v>45862</v>
      </c>
      <c r="D747" s="22" t="str">
        <f>TRIM('data cleaning'!$E747)</f>
        <v>Austin Charles</v>
      </c>
      <c r="E747" s="23" t="s">
        <v>1509</v>
      </c>
      <c r="F747" s="23" t="str">
        <f>TRIM('data cleaning'!$G747)</f>
        <v>Corporate</v>
      </c>
      <c r="G747" s="23" t="s">
        <v>1514</v>
      </c>
      <c r="H747" s="23" t="str">
        <f>TRIM('data cleaning'!$I747)</f>
        <v>East</v>
      </c>
      <c r="I747" s="23" t="s">
        <v>1519</v>
      </c>
      <c r="J747" s="23" t="str">
        <f>TRIM('data cleaning'!$K747)</f>
        <v>Technology</v>
      </c>
      <c r="K747" s="23" t="s">
        <v>1521</v>
      </c>
      <c r="L747" s="23" t="str">
        <f>TRIM('data cleaning'!$M747)</f>
        <v>Laptops</v>
      </c>
      <c r="M747" s="23" t="s">
        <v>1528</v>
      </c>
      <c r="N747" s="23" t="str">
        <f>PROPER('data cleaning'!$O747)</f>
        <v>Raise Laptops</v>
      </c>
      <c r="O747" s="23" t="str">
        <f>TRIM('data cleaning'!$P747)</f>
        <v>Raise Laptops</v>
      </c>
      <c r="P747" s="23" t="s">
        <v>2242</v>
      </c>
      <c r="Q747" s="23">
        <v>4025.84</v>
      </c>
      <c r="R747" s="23">
        <v>3</v>
      </c>
      <c r="S747" s="23">
        <v>0</v>
      </c>
      <c r="T747" s="24">
        <v>735.16</v>
      </c>
    </row>
    <row r="748" spans="1:20" ht="15.6" x14ac:dyDescent="0.3">
      <c r="A748" s="13" t="s">
        <v>759</v>
      </c>
      <c r="B748" s="14">
        <v>46064</v>
      </c>
      <c r="C748" s="15">
        <v>46066</v>
      </c>
      <c r="D748" s="16" t="str">
        <f>TRIM('data cleaning'!$E748)</f>
        <v/>
      </c>
      <c r="E748" s="17"/>
      <c r="F748" s="17" t="str">
        <f>TRIM('data cleaning'!$G748)</f>
        <v>Home Office</v>
      </c>
      <c r="G748" s="17" t="s">
        <v>1515</v>
      </c>
      <c r="H748" s="17" t="str">
        <f>TRIM('data cleaning'!$I748)</f>
        <v>East</v>
      </c>
      <c r="I748" s="17" t="s">
        <v>1519</v>
      </c>
      <c r="J748" s="17" t="str">
        <f>TRIM('data cleaning'!$K748)</f>
        <v>Technology</v>
      </c>
      <c r="K748" s="17" t="s">
        <v>1521</v>
      </c>
      <c r="L748" s="17" t="str">
        <f>TRIM('data cleaning'!$M748)</f>
        <v>Laptops</v>
      </c>
      <c r="M748" s="17" t="s">
        <v>1528</v>
      </c>
      <c r="N748" s="17" t="str">
        <f>PROPER('data cleaning'!$O748)</f>
        <v>For Laptops</v>
      </c>
      <c r="O748" s="17" t="str">
        <f>TRIM('data cleaning'!$P748)</f>
        <v>For Laptops</v>
      </c>
      <c r="P748" s="17" t="s">
        <v>2243</v>
      </c>
      <c r="Q748" s="17">
        <v>3211.96</v>
      </c>
      <c r="R748" s="17">
        <v>5</v>
      </c>
      <c r="S748" s="17">
        <v>0.15</v>
      </c>
      <c r="T748" s="18">
        <v>580.47</v>
      </c>
    </row>
    <row r="749" spans="1:20" ht="15.6" x14ac:dyDescent="0.3">
      <c r="A749" s="19" t="s">
        <v>760</v>
      </c>
      <c r="B749" s="20">
        <v>45345</v>
      </c>
      <c r="C749" s="21">
        <v>45347</v>
      </c>
      <c r="D749" s="22" t="str">
        <f>TRIM('data cleaning'!$E749)</f>
        <v>Melissa Cox</v>
      </c>
      <c r="E749" s="23" t="s">
        <v>1510</v>
      </c>
      <c r="F749" s="23" t="str">
        <f>TRIM('data cleaning'!$G749)</f>
        <v>Consumer</v>
      </c>
      <c r="G749" s="23" t="s">
        <v>1513</v>
      </c>
      <c r="H749" s="23" t="str">
        <f>TRIM('data cleaning'!$I749)</f>
        <v>East</v>
      </c>
      <c r="I749" s="23" t="s">
        <v>1519</v>
      </c>
      <c r="J749" s="23" t="str">
        <f>TRIM('data cleaning'!$K749)</f>
        <v>Technology</v>
      </c>
      <c r="K749" s="23" t="s">
        <v>1521</v>
      </c>
      <c r="L749" s="23" t="str">
        <f>TRIM('data cleaning'!$M749)</f>
        <v>Phones</v>
      </c>
      <c r="M749" s="23" t="s">
        <v>1530</v>
      </c>
      <c r="N749" s="23" t="str">
        <f>PROPER('data cleaning'!$O749)</f>
        <v>Fall Phones</v>
      </c>
      <c r="O749" s="23" t="str">
        <f>TRIM('data cleaning'!$P749)</f>
        <v>Fall Phones</v>
      </c>
      <c r="P749" s="23" t="s">
        <v>2244</v>
      </c>
      <c r="Q749" s="23">
        <v>1422.57</v>
      </c>
      <c r="R749" s="23">
        <v>1</v>
      </c>
      <c r="S749" s="23">
        <v>0.15</v>
      </c>
      <c r="T749" s="24">
        <v>19.52</v>
      </c>
    </row>
    <row r="750" spans="1:20" ht="15.6" x14ac:dyDescent="0.3">
      <c r="A750" s="13" t="s">
        <v>761</v>
      </c>
      <c r="B750" s="14">
        <v>45570</v>
      </c>
      <c r="C750" s="15">
        <v>45578</v>
      </c>
      <c r="D750" s="16" t="str">
        <f>TRIM('data cleaning'!$E750)</f>
        <v>Dr. Jason Jackson</v>
      </c>
      <c r="E750" s="17" t="s">
        <v>1511</v>
      </c>
      <c r="F750" s="17" t="str">
        <f>TRIM('data cleaning'!$G750)</f>
        <v>Home Office</v>
      </c>
      <c r="G750" s="17" t="s">
        <v>1515</v>
      </c>
      <c r="H750" s="17" t="str">
        <f>TRIM('data cleaning'!$I750)</f>
        <v>West</v>
      </c>
      <c r="I750" s="17" t="s">
        <v>1518</v>
      </c>
      <c r="J750" s="17" t="str">
        <f>TRIM('data cleaning'!$K750)</f>
        <v>Technology</v>
      </c>
      <c r="K750" s="17" t="s">
        <v>1521</v>
      </c>
      <c r="L750" s="17" t="str">
        <f>TRIM('data cleaning'!$M750)</f>
        <v>Phones</v>
      </c>
      <c r="M750" s="17" t="s">
        <v>1530</v>
      </c>
      <c r="N750" s="17" t="str">
        <f>PROPER('data cleaning'!$O750)</f>
        <v>Society Phones</v>
      </c>
      <c r="O750" s="17" t="str">
        <f>TRIM('data cleaning'!$P750)</f>
        <v>Society Phones</v>
      </c>
      <c r="P750" s="17" t="s">
        <v>2245</v>
      </c>
      <c r="Q750" s="17">
        <v>393.52</v>
      </c>
      <c r="R750" s="17">
        <v>4</v>
      </c>
      <c r="S750" s="17">
        <v>0.2</v>
      </c>
      <c r="T750" s="18">
        <v>6.28</v>
      </c>
    </row>
    <row r="751" spans="1:20" ht="15.6" x14ac:dyDescent="0.3">
      <c r="A751" s="19" t="s">
        <v>762</v>
      </c>
      <c r="B751" s="20">
        <v>46104</v>
      </c>
      <c r="C751" s="21">
        <v>46113</v>
      </c>
      <c r="D751" s="22" t="str">
        <f>TRIM('data cleaning'!$E751)</f>
        <v>Dylan Whitehead</v>
      </c>
      <c r="E751" s="23" t="s">
        <v>1512</v>
      </c>
      <c r="F751" s="23" t="str">
        <f>TRIM('data cleaning'!$G751)</f>
        <v>Corporate</v>
      </c>
      <c r="G751" s="23" t="s">
        <v>1514</v>
      </c>
      <c r="H751" s="23" t="str">
        <f>TRIM('data cleaning'!$I751)</f>
        <v>East</v>
      </c>
      <c r="I751" s="23" t="s">
        <v>1519</v>
      </c>
      <c r="J751" s="23" t="str">
        <f>TRIM('data cleaning'!$K751)</f>
        <v>Furniture</v>
      </c>
      <c r="K751" s="23" t="s">
        <v>1522</v>
      </c>
      <c r="L751" s="23" t="str">
        <f>TRIM('data cleaning'!$M751)</f>
        <v>Chairs</v>
      </c>
      <c r="M751" s="23" t="s">
        <v>1531</v>
      </c>
      <c r="N751" s="23" t="str">
        <f>PROPER('data cleaning'!$O751)</f>
        <v>Five Chairs</v>
      </c>
      <c r="O751" s="23" t="str">
        <f>TRIM('data cleaning'!$P751)</f>
        <v>Five Chairs</v>
      </c>
      <c r="P751" s="23" t="s">
        <v>2246</v>
      </c>
      <c r="Q751" s="23">
        <v>3855.1</v>
      </c>
      <c r="R751" s="23">
        <v>4</v>
      </c>
      <c r="S751" s="23">
        <v>0.2</v>
      </c>
      <c r="T751" s="24">
        <v>593.04999999999995</v>
      </c>
    </row>
    <row r="752" spans="1:20" ht="15.6" x14ac:dyDescent="0.3">
      <c r="A752" s="13" t="s">
        <v>638</v>
      </c>
      <c r="B752" s="14">
        <v>46081</v>
      </c>
      <c r="C752" s="15">
        <v>46087</v>
      </c>
      <c r="D752" s="16" t="str">
        <f>TRIM('data cleaning'!$E752)</f>
        <v>Allison Hess</v>
      </c>
      <c r="E752" s="17" t="s">
        <v>1392</v>
      </c>
      <c r="F752" s="17" t="str">
        <f>TRIM('data cleaning'!$G752)</f>
        <v>Home Office</v>
      </c>
      <c r="G752" s="17" t="s">
        <v>1515</v>
      </c>
      <c r="H752" s="17" t="str">
        <f>TRIM('data cleaning'!$I752)</f>
        <v>East</v>
      </c>
      <c r="I752" s="17" t="s">
        <v>1519</v>
      </c>
      <c r="J752" s="17" t="str">
        <f>TRIM('data cleaning'!$K752)</f>
        <v>Technology</v>
      </c>
      <c r="K752" s="17" t="s">
        <v>1521</v>
      </c>
      <c r="L752" s="17" t="str">
        <f>TRIM('data cleaning'!$M752)</f>
        <v>Laptops</v>
      </c>
      <c r="M752" s="17" t="s">
        <v>1528</v>
      </c>
      <c r="N752" s="17" t="str">
        <f>PROPER('data cleaning'!$O752)</f>
        <v>Hit Laptops</v>
      </c>
      <c r="O752" s="17" t="str">
        <f>TRIM('data cleaning'!$P752)</f>
        <v>Hit Laptops</v>
      </c>
      <c r="P752" s="17" t="s">
        <v>2134</v>
      </c>
      <c r="Q752" s="17">
        <v>4232.03</v>
      </c>
      <c r="R752" s="17">
        <v>7</v>
      </c>
      <c r="S752" s="17"/>
      <c r="T752" s="18">
        <v>155.84</v>
      </c>
    </row>
    <row r="753" spans="1:20" ht="15.6" x14ac:dyDescent="0.3">
      <c r="A753" s="19" t="s">
        <v>331</v>
      </c>
      <c r="B753" s="20">
        <v>45990</v>
      </c>
      <c r="C753" s="21">
        <v>45992</v>
      </c>
      <c r="D753" s="22" t="str">
        <f>TRIM('data cleaning'!$E753)</f>
        <v>Randy Whitney</v>
      </c>
      <c r="E753" s="23" t="s">
        <v>1091</v>
      </c>
      <c r="F753" s="23" t="str">
        <f>TRIM('data cleaning'!$G753)</f>
        <v>Home Office</v>
      </c>
      <c r="G753" s="23" t="s">
        <v>1515</v>
      </c>
      <c r="H753" s="23" t="str">
        <f>TRIM('data cleaning'!$I753)</f>
        <v>South</v>
      </c>
      <c r="I753" s="23" t="s">
        <v>1517</v>
      </c>
      <c r="J753" s="23" t="str">
        <f>TRIM('data cleaning'!$K753)</f>
        <v>Technology</v>
      </c>
      <c r="K753" s="23" t="s">
        <v>1521</v>
      </c>
      <c r="L753" s="23" t="str">
        <f>TRIM('data cleaning'!$M753)</f>
        <v>Accessories</v>
      </c>
      <c r="M753" s="23" t="s">
        <v>1526</v>
      </c>
      <c r="N753" s="23" t="str">
        <f>PROPER('data cleaning'!$O753)</f>
        <v>Main Accessories</v>
      </c>
      <c r="O753" s="23" t="str">
        <f>TRIM('data cleaning'!$P753)</f>
        <v>Main Accessories</v>
      </c>
      <c r="P753" s="23" t="s">
        <v>1842</v>
      </c>
      <c r="Q753" s="23">
        <v>102.21</v>
      </c>
      <c r="R753" s="23">
        <v>5</v>
      </c>
      <c r="S753" s="23">
        <v>0.05</v>
      </c>
      <c r="T753" s="24">
        <v>8.27</v>
      </c>
    </row>
    <row r="754" spans="1:20" ht="15.6" x14ac:dyDescent="0.3">
      <c r="A754" s="13" t="s">
        <v>352</v>
      </c>
      <c r="B754" s="14">
        <v>46145</v>
      </c>
      <c r="C754" s="15">
        <v>46146</v>
      </c>
      <c r="D754" s="16" t="str">
        <f>TRIM('data cleaning'!$E754)</f>
        <v>Matthew Ryan</v>
      </c>
      <c r="E754" s="17" t="s">
        <v>1111</v>
      </c>
      <c r="F754" s="17" t="str">
        <f>TRIM('data cleaning'!$G754)</f>
        <v>Consumer</v>
      </c>
      <c r="G754" s="17" t="s">
        <v>1513</v>
      </c>
      <c r="H754" s="17" t="str">
        <f>TRIM('data cleaning'!$I754)</f>
        <v>East</v>
      </c>
      <c r="I754" s="17" t="s">
        <v>1519</v>
      </c>
      <c r="J754" s="17" t="str">
        <f>TRIM('data cleaning'!$K754)</f>
        <v>Furniture</v>
      </c>
      <c r="K754" s="17" t="s">
        <v>1522</v>
      </c>
      <c r="L754" s="17" t="str">
        <f>TRIM('data cleaning'!$M754)</f>
        <v>Chairs</v>
      </c>
      <c r="M754" s="17" t="s">
        <v>1531</v>
      </c>
      <c r="N754" s="17" t="str">
        <f>PROPER('data cleaning'!$O754)</f>
        <v>Amount Chairs</v>
      </c>
      <c r="O754" s="17" t="str">
        <f>TRIM('data cleaning'!$P754)</f>
        <v>Amount Chairs</v>
      </c>
      <c r="P754" s="17" t="s">
        <v>1863</v>
      </c>
      <c r="Q754" s="17">
        <v>2871.87</v>
      </c>
      <c r="R754" s="17">
        <v>9</v>
      </c>
      <c r="S754" s="17">
        <v>0.1</v>
      </c>
      <c r="T754" s="18">
        <v>368.38</v>
      </c>
    </row>
    <row r="755" spans="1:20" ht="15.6" x14ac:dyDescent="0.3">
      <c r="A755" s="19" t="s">
        <v>611</v>
      </c>
      <c r="B755" s="20">
        <v>45174</v>
      </c>
      <c r="C755" s="21">
        <v>45175</v>
      </c>
      <c r="D755" s="22" t="str">
        <f>TRIM('data cleaning'!$E755)</f>
        <v>Raymond Jenkins</v>
      </c>
      <c r="E755" s="23" t="s">
        <v>1365</v>
      </c>
      <c r="F755" s="23" t="str">
        <f>TRIM('data cleaning'!$G755)</f>
        <v>Consumer</v>
      </c>
      <c r="G755" s="23" t="s">
        <v>1513</v>
      </c>
      <c r="H755" s="23" t="str">
        <f>TRIM('data cleaning'!$I755)</f>
        <v>East</v>
      </c>
      <c r="I755" s="23" t="s">
        <v>1519</v>
      </c>
      <c r="J755" s="23" t="str">
        <f>TRIM('data cleaning'!$K755)</f>
        <v>Furniture</v>
      </c>
      <c r="K755" s="23" t="s">
        <v>1522</v>
      </c>
      <c r="L755" s="23" t="str">
        <f>TRIM('data cleaning'!$M755)</f>
        <v>Tables</v>
      </c>
      <c r="M755" s="23" t="s">
        <v>1529</v>
      </c>
      <c r="N755" s="23" t="str">
        <f>PROPER('data cleaning'!$O755)</f>
        <v>Above Tables</v>
      </c>
      <c r="O755" s="23" t="str">
        <f>TRIM('data cleaning'!$P755)</f>
        <v>Above Tables</v>
      </c>
      <c r="P755" s="23" t="s">
        <v>2109</v>
      </c>
      <c r="Q755" s="23">
        <v>803.14</v>
      </c>
      <c r="R755" s="23">
        <v>9</v>
      </c>
      <c r="S755" s="23">
        <v>0</v>
      </c>
      <c r="T755" s="24">
        <v>-78.489999999999995</v>
      </c>
    </row>
    <row r="756" spans="1:20" ht="15.6" x14ac:dyDescent="0.3">
      <c r="A756" s="13" t="s">
        <v>103</v>
      </c>
      <c r="B756" s="14">
        <v>46054</v>
      </c>
      <c r="C756" s="15">
        <v>46064</v>
      </c>
      <c r="D756" s="16" t="str">
        <f>TRIM('data cleaning'!$E756)</f>
        <v>Douglas Becker</v>
      </c>
      <c r="E756" s="17" t="s">
        <v>872</v>
      </c>
      <c r="F756" s="17" t="str">
        <f>TRIM('data cleaning'!$G756)</f>
        <v>Corporate</v>
      </c>
      <c r="G756" s="17" t="s">
        <v>1514</v>
      </c>
      <c r="H756" s="17" t="str">
        <f>TRIM('data cleaning'!$I756)</f>
        <v>West</v>
      </c>
      <c r="I756" s="17" t="s">
        <v>1518</v>
      </c>
      <c r="J756" s="17" t="str">
        <f>TRIM('data cleaning'!$K756)</f>
        <v>Office Supplies</v>
      </c>
      <c r="K756" s="17" t="s">
        <v>1520</v>
      </c>
      <c r="L756" s="17" t="str">
        <f>TRIM('data cleaning'!$M756)</f>
        <v>Paper</v>
      </c>
      <c r="M756" s="17" t="s">
        <v>1524</v>
      </c>
      <c r="N756" s="17" t="str">
        <f>PROPER('data cleaning'!$O756)</f>
        <v>Decide Paper</v>
      </c>
      <c r="O756" s="17" t="str">
        <f>TRIM('data cleaning'!$P756)</f>
        <v>Decide Paper</v>
      </c>
      <c r="P756" s="17" t="s">
        <v>1622</v>
      </c>
      <c r="Q756" s="17">
        <v>3000.83</v>
      </c>
      <c r="R756" s="17">
        <v>10</v>
      </c>
      <c r="S756" s="17">
        <v>0.05</v>
      </c>
      <c r="T756" s="18">
        <v>680.08</v>
      </c>
    </row>
    <row r="757" spans="1:20" ht="15.6" x14ac:dyDescent="0.3">
      <c r="A757" s="19" t="s">
        <v>679</v>
      </c>
      <c r="B757" s="20">
        <v>45913</v>
      </c>
      <c r="C757" s="21">
        <v>45916</v>
      </c>
      <c r="D757" s="22" t="str">
        <f>TRIM('data cleaning'!$E757)</f>
        <v>Jordan Martinez</v>
      </c>
      <c r="E757" s="23" t="s">
        <v>1432</v>
      </c>
      <c r="F757" s="23" t="str">
        <f>TRIM('data cleaning'!$G757)</f>
        <v>Consumer</v>
      </c>
      <c r="G757" s="23" t="s">
        <v>1513</v>
      </c>
      <c r="H757" s="23" t="str">
        <f>TRIM('data cleaning'!$I757)</f>
        <v>West</v>
      </c>
      <c r="I757" s="23" t="s">
        <v>1518</v>
      </c>
      <c r="J757" s="23" t="str">
        <f>TRIM('data cleaning'!$K757)</f>
        <v>Technology</v>
      </c>
      <c r="K757" s="23" t="s">
        <v>1521</v>
      </c>
      <c r="L757" s="23" t="str">
        <f>TRIM('data cleaning'!$M757)</f>
        <v>Accessories</v>
      </c>
      <c r="M757" s="23" t="s">
        <v>1526</v>
      </c>
      <c r="N757" s="23" t="str">
        <f>PROPER('data cleaning'!$O757)</f>
        <v>Forget Accessories</v>
      </c>
      <c r="O757" s="23" t="str">
        <f>TRIM('data cleaning'!$P757)</f>
        <v>Forget Accessories</v>
      </c>
      <c r="P757" s="23" t="s">
        <v>2171</v>
      </c>
      <c r="Q757" s="23">
        <v>2141.19</v>
      </c>
      <c r="R757" s="23">
        <v>10</v>
      </c>
      <c r="S757" s="23">
        <v>0</v>
      </c>
      <c r="T757" s="24">
        <v>384.29</v>
      </c>
    </row>
    <row r="758" spans="1:20" ht="15.6" x14ac:dyDescent="0.3">
      <c r="A758" s="13" t="s">
        <v>275</v>
      </c>
      <c r="B758" s="14">
        <v>45980</v>
      </c>
      <c r="C758" s="15">
        <v>45983</v>
      </c>
      <c r="D758" s="16" t="str">
        <f>TRIM('data cleaning'!$E758)</f>
        <v>Allen Trevino</v>
      </c>
      <c r="E758" s="17" t="s">
        <v>1038</v>
      </c>
      <c r="F758" s="17" t="str">
        <f>TRIM('data cleaning'!$G758)</f>
        <v>Corporate</v>
      </c>
      <c r="G758" s="17" t="s">
        <v>1514</v>
      </c>
      <c r="H758" s="17" t="str">
        <f>TRIM('data cleaning'!$I758)</f>
        <v>East</v>
      </c>
      <c r="I758" s="17" t="s">
        <v>1519</v>
      </c>
      <c r="J758" s="17" t="str">
        <f>TRIM('data cleaning'!$K758)</f>
        <v>Furniture</v>
      </c>
      <c r="K758" s="17" t="s">
        <v>1522</v>
      </c>
      <c r="L758" s="17" t="str">
        <f>TRIM('data cleaning'!$M758)</f>
        <v>Tables</v>
      </c>
      <c r="M758" s="17" t="s">
        <v>1529</v>
      </c>
      <c r="N758" s="17" t="str">
        <f>PROPER('data cleaning'!$O758)</f>
        <v>Necessary Tables</v>
      </c>
      <c r="O758" s="17" t="str">
        <f>TRIM('data cleaning'!$P758)</f>
        <v>Necessary Tables</v>
      </c>
      <c r="P758" s="17" t="s">
        <v>1790</v>
      </c>
      <c r="Q758" s="17">
        <v>2590.58</v>
      </c>
      <c r="R758" s="17">
        <v>8</v>
      </c>
      <c r="S758" s="17">
        <v>0.2</v>
      </c>
      <c r="T758" s="18">
        <v>-435.85</v>
      </c>
    </row>
    <row r="759" spans="1:20" ht="15.6" x14ac:dyDescent="0.3">
      <c r="A759" s="19" t="s">
        <v>97</v>
      </c>
      <c r="B759" s="20">
        <v>45138</v>
      </c>
      <c r="C759" s="21">
        <v>45147</v>
      </c>
      <c r="D759" s="22" t="str">
        <f>TRIM('data cleaning'!$E759)</f>
        <v>Brittany Bradley</v>
      </c>
      <c r="E759" s="23" t="s">
        <v>866</v>
      </c>
      <c r="F759" s="23" t="str">
        <f>TRIM('data cleaning'!$G759)</f>
        <v>Corporate</v>
      </c>
      <c r="G759" s="23" t="s">
        <v>1514</v>
      </c>
      <c r="H759" s="23" t="str">
        <f>TRIM('data cleaning'!$I759)</f>
        <v>East</v>
      </c>
      <c r="I759" s="23" t="s">
        <v>1519</v>
      </c>
      <c r="J759" s="23" t="str">
        <f>TRIM('data cleaning'!$K759)</f>
        <v>Furniture</v>
      </c>
      <c r="K759" s="23" t="s">
        <v>1522</v>
      </c>
      <c r="L759" s="23" t="str">
        <f>TRIM('data cleaning'!$M759)</f>
        <v>Bookcases</v>
      </c>
      <c r="M759" s="23" t="s">
        <v>1527</v>
      </c>
      <c r="N759" s="23" t="str">
        <f>PROPER('data cleaning'!$O759)</f>
        <v>Adult Bookcases</v>
      </c>
      <c r="O759" s="23" t="str">
        <f>TRIM('data cleaning'!$P759)</f>
        <v>Adult Bookcases</v>
      </c>
      <c r="P759" s="23" t="s">
        <v>1616</v>
      </c>
      <c r="Q759" s="23">
        <v>4756.84</v>
      </c>
      <c r="R759" s="23">
        <v>3</v>
      </c>
      <c r="S759" s="23">
        <v>0.05</v>
      </c>
      <c r="T759" s="24">
        <v>-385.25</v>
      </c>
    </row>
    <row r="760" spans="1:20" ht="15.6" x14ac:dyDescent="0.3">
      <c r="A760" s="13" t="s">
        <v>598</v>
      </c>
      <c r="B760" s="14">
        <v>45545</v>
      </c>
      <c r="C760" s="15">
        <v>45548</v>
      </c>
      <c r="D760" s="16" t="str">
        <f>TRIM('data cleaning'!$E760)</f>
        <v>Derek Dougherty</v>
      </c>
      <c r="E760" s="17" t="s">
        <v>1352</v>
      </c>
      <c r="F760" s="17" t="str">
        <f>TRIM('data cleaning'!$G760)</f>
        <v>Corporate</v>
      </c>
      <c r="G760" s="17" t="s">
        <v>1514</v>
      </c>
      <c r="H760" s="17" t="str">
        <f>TRIM('data cleaning'!$I760)</f>
        <v>North</v>
      </c>
      <c r="I760" s="17" t="s">
        <v>1516</v>
      </c>
      <c r="J760" s="17" t="str">
        <f>TRIM('data cleaning'!$K760)</f>
        <v>Technology</v>
      </c>
      <c r="K760" s="17" t="s">
        <v>1521</v>
      </c>
      <c r="L760" s="17" t="str">
        <f>TRIM('data cleaning'!$M760)</f>
        <v>Phones</v>
      </c>
      <c r="M760" s="17" t="s">
        <v>1530</v>
      </c>
      <c r="N760" s="17" t="str">
        <f>PROPER('data cleaning'!$O760)</f>
        <v>Past Phones</v>
      </c>
      <c r="O760" s="17" t="str">
        <f>TRIM('data cleaning'!$P760)</f>
        <v>Past Phones</v>
      </c>
      <c r="P760" s="17" t="s">
        <v>2096</v>
      </c>
      <c r="Q760" s="17">
        <v>4278.3500000000004</v>
      </c>
      <c r="R760" s="17">
        <v>3</v>
      </c>
      <c r="S760" s="17"/>
      <c r="T760" s="18">
        <v>-303.57</v>
      </c>
    </row>
    <row r="761" spans="1:20" ht="15.6" x14ac:dyDescent="0.3">
      <c r="A761" s="19" t="s">
        <v>98</v>
      </c>
      <c r="B761" s="20">
        <v>45760</v>
      </c>
      <c r="C761" s="21">
        <v>45769</v>
      </c>
      <c r="D761" s="22" t="str">
        <f>TRIM('data cleaning'!$E761)</f>
        <v>Christy Harris</v>
      </c>
      <c r="E761" s="23" t="s">
        <v>867</v>
      </c>
      <c r="F761" s="23" t="str">
        <f>TRIM('data cleaning'!$G761)</f>
        <v>Corporate</v>
      </c>
      <c r="G761" s="23" t="s">
        <v>1514</v>
      </c>
      <c r="H761" s="23" t="str">
        <f>TRIM('data cleaning'!$I761)</f>
        <v>South</v>
      </c>
      <c r="I761" s="23" t="s">
        <v>1517</v>
      </c>
      <c r="J761" s="23" t="str">
        <f>TRIM('data cleaning'!$K761)</f>
        <v>Office Supplies</v>
      </c>
      <c r="K761" s="23" t="s">
        <v>1520</v>
      </c>
      <c r="L761" s="23" t="str">
        <f>TRIM('data cleaning'!$M761)</f>
        <v>Storage</v>
      </c>
      <c r="M761" s="23" t="s">
        <v>1525</v>
      </c>
      <c r="N761" s="23" t="str">
        <f>PROPER('data cleaning'!$O761)</f>
        <v>Fear Storage</v>
      </c>
      <c r="O761" s="23" t="str">
        <f>TRIM('data cleaning'!$P761)</f>
        <v>Fear Storage</v>
      </c>
      <c r="P761" s="23" t="s">
        <v>1617</v>
      </c>
      <c r="Q761" s="23">
        <v>3004.11</v>
      </c>
      <c r="R761" s="23">
        <v>2</v>
      </c>
      <c r="S761" s="23">
        <v>0.05</v>
      </c>
      <c r="T761" s="24">
        <v>-111.35</v>
      </c>
    </row>
    <row r="762" spans="1:20" ht="15.6" x14ac:dyDescent="0.3">
      <c r="A762" s="13" t="s">
        <v>580</v>
      </c>
      <c r="B762" s="14">
        <v>45774</v>
      </c>
      <c r="C762" s="15">
        <v>45778</v>
      </c>
      <c r="D762" s="16" t="str">
        <f>TRIM('data cleaning'!$E762)</f>
        <v>Mr. Edward Lester</v>
      </c>
      <c r="E762" s="17" t="s">
        <v>1334</v>
      </c>
      <c r="F762" s="17" t="str">
        <f>TRIM('data cleaning'!$G762)</f>
        <v>Consumer</v>
      </c>
      <c r="G762" s="17" t="s">
        <v>1513</v>
      </c>
      <c r="H762" s="17" t="str">
        <f>TRIM('data cleaning'!$I762)</f>
        <v>North</v>
      </c>
      <c r="I762" s="17" t="s">
        <v>1516</v>
      </c>
      <c r="J762" s="17" t="str">
        <f>TRIM('data cleaning'!$K762)</f>
        <v>Furniture</v>
      </c>
      <c r="K762" s="17" t="s">
        <v>1522</v>
      </c>
      <c r="L762" s="17" t="str">
        <f>TRIM('data cleaning'!$M762)</f>
        <v>Chairs</v>
      </c>
      <c r="M762" s="17" t="s">
        <v>1531</v>
      </c>
      <c r="N762" s="17" t="str">
        <f>PROPER('data cleaning'!$O762)</f>
        <v>Machine Chairs</v>
      </c>
      <c r="O762" s="17" t="str">
        <f>TRIM('data cleaning'!$P762)</f>
        <v>Machine Chairs</v>
      </c>
      <c r="P762" s="17" t="s">
        <v>2080</v>
      </c>
      <c r="Q762" s="17">
        <v>4189.8599999999997</v>
      </c>
      <c r="R762" s="17">
        <v>6</v>
      </c>
      <c r="S762" s="17">
        <v>0.05</v>
      </c>
      <c r="T762" s="18">
        <v>957.03</v>
      </c>
    </row>
    <row r="763" spans="1:20" ht="15.6" x14ac:dyDescent="0.3">
      <c r="A763" s="19" t="s">
        <v>677</v>
      </c>
      <c r="B763" s="20">
        <v>46133</v>
      </c>
      <c r="C763" s="21">
        <v>46141</v>
      </c>
      <c r="D763" s="22" t="str">
        <f>TRIM('data cleaning'!$E763)</f>
        <v>Margaret Adams</v>
      </c>
      <c r="E763" s="23" t="s">
        <v>1430</v>
      </c>
      <c r="F763" s="23" t="str">
        <f>TRIM('data cleaning'!$G763)</f>
        <v>Corporate</v>
      </c>
      <c r="G763" s="23" t="s">
        <v>1514</v>
      </c>
      <c r="H763" s="23" t="str">
        <f>TRIM('data cleaning'!$I763)</f>
        <v>North</v>
      </c>
      <c r="I763" s="23" t="s">
        <v>1516</v>
      </c>
      <c r="J763" s="23" t="str">
        <f>TRIM('data cleaning'!$K763)</f>
        <v>Office Supplies</v>
      </c>
      <c r="K763" s="23" t="s">
        <v>1520</v>
      </c>
      <c r="L763" s="23" t="str">
        <f>TRIM('data cleaning'!$M763)</f>
        <v>Binders</v>
      </c>
      <c r="M763" s="23" t="s">
        <v>1523</v>
      </c>
      <c r="N763" s="23" t="str">
        <f>PROPER('data cleaning'!$O763)</f>
        <v>Game Binders</v>
      </c>
      <c r="O763" s="23" t="str">
        <f>TRIM('data cleaning'!$P763)</f>
        <v>Game Binders</v>
      </c>
      <c r="P763" s="23" t="s">
        <v>2169</v>
      </c>
      <c r="Q763" s="23">
        <v>2311.66</v>
      </c>
      <c r="R763" s="23">
        <v>1</v>
      </c>
      <c r="S763" s="23">
        <v>0.05</v>
      </c>
      <c r="T763" s="24">
        <v>197.15</v>
      </c>
    </row>
    <row r="764" spans="1:20" ht="15.6" x14ac:dyDescent="0.3">
      <c r="A764" s="13" t="s">
        <v>229</v>
      </c>
      <c r="B764" s="14">
        <v>45098</v>
      </c>
      <c r="C764" s="15">
        <v>45103</v>
      </c>
      <c r="D764" s="16" t="str">
        <f>TRIM('data cleaning'!$E764)</f>
        <v>Andrew Maldonado</v>
      </c>
      <c r="E764" s="17" t="s">
        <v>993</v>
      </c>
      <c r="F764" s="17" t="str">
        <f>TRIM('data cleaning'!$G764)</f>
        <v>Home Office</v>
      </c>
      <c r="G764" s="17" t="s">
        <v>1515</v>
      </c>
      <c r="H764" s="17" t="str">
        <f>TRIM('data cleaning'!$I764)</f>
        <v>South</v>
      </c>
      <c r="I764" s="17" t="s">
        <v>1517</v>
      </c>
      <c r="J764" s="17" t="str">
        <f>TRIM('data cleaning'!$K764)</f>
        <v>Office Supplies</v>
      </c>
      <c r="K764" s="17" t="s">
        <v>1520</v>
      </c>
      <c r="L764" s="17" t="str">
        <f>TRIM('data cleaning'!$M764)</f>
        <v>Storage</v>
      </c>
      <c r="M764" s="17" t="s">
        <v>1525</v>
      </c>
      <c r="N764" s="17" t="str">
        <f>PROPER('data cleaning'!$O764)</f>
        <v>Seven Storage</v>
      </c>
      <c r="O764" s="17" t="str">
        <f>TRIM('data cleaning'!$P764)</f>
        <v>Seven Storage</v>
      </c>
      <c r="P764" s="17" t="s">
        <v>1745</v>
      </c>
      <c r="Q764" s="17">
        <v>669.59</v>
      </c>
      <c r="R764" s="17">
        <v>5</v>
      </c>
      <c r="S764" s="17">
        <v>0.2</v>
      </c>
      <c r="T764" s="18">
        <v>62.55</v>
      </c>
    </row>
    <row r="765" spans="1:20" ht="15.6" x14ac:dyDescent="0.3">
      <c r="A765" s="19" t="s">
        <v>202</v>
      </c>
      <c r="B765" s="20">
        <v>45975</v>
      </c>
      <c r="C765" s="21">
        <v>45979</v>
      </c>
      <c r="D765" s="22" t="str">
        <f>TRIM('data cleaning'!$E765)</f>
        <v>Tina Taylor</v>
      </c>
      <c r="E765" s="23" t="s">
        <v>967</v>
      </c>
      <c r="F765" s="23" t="str">
        <f>TRIM('data cleaning'!$G765)</f>
        <v>Home Office</v>
      </c>
      <c r="G765" s="23" t="s">
        <v>1515</v>
      </c>
      <c r="H765" s="23" t="str">
        <f>TRIM('data cleaning'!$I765)</f>
        <v>West</v>
      </c>
      <c r="I765" s="23" t="s">
        <v>1518</v>
      </c>
      <c r="J765" s="23" t="str">
        <f>TRIM('data cleaning'!$K765)</f>
        <v>Furniture</v>
      </c>
      <c r="K765" s="23" t="s">
        <v>1522</v>
      </c>
      <c r="L765" s="23" t="str">
        <f>TRIM('data cleaning'!$M765)</f>
        <v>Tables</v>
      </c>
      <c r="M765" s="23" t="s">
        <v>1529</v>
      </c>
      <c r="N765" s="23" t="str">
        <f>PROPER('data cleaning'!$O765)</f>
        <v>Eye Tables</v>
      </c>
      <c r="O765" s="23" t="str">
        <f>TRIM('data cleaning'!$P765)</f>
        <v>Eye Tables</v>
      </c>
      <c r="P765" s="23" t="s">
        <v>1719</v>
      </c>
      <c r="Q765" s="23">
        <v>1540.7</v>
      </c>
      <c r="R765" s="23">
        <v>1</v>
      </c>
      <c r="S765" s="23">
        <v>0.05</v>
      </c>
      <c r="T765" s="24">
        <v>47.61</v>
      </c>
    </row>
    <row r="766" spans="1:20" ht="15.6" x14ac:dyDescent="0.3">
      <c r="A766" s="13" t="s">
        <v>32</v>
      </c>
      <c r="B766" s="14">
        <v>45662</v>
      </c>
      <c r="C766" s="15">
        <v>45665</v>
      </c>
      <c r="D766" s="16" t="str">
        <f>TRIM('data cleaning'!$E766)</f>
        <v>Joshua Smith</v>
      </c>
      <c r="E766" s="17" t="s">
        <v>801</v>
      </c>
      <c r="F766" s="17" t="str">
        <f>TRIM('data cleaning'!$G766)</f>
        <v>Home Office</v>
      </c>
      <c r="G766" s="17" t="s">
        <v>1515</v>
      </c>
      <c r="H766" s="17" t="str">
        <f>TRIM('data cleaning'!$I766)</f>
        <v>West</v>
      </c>
      <c r="I766" s="17" t="s">
        <v>1518</v>
      </c>
      <c r="J766" s="17" t="str">
        <f>TRIM('data cleaning'!$K766)</f>
        <v>Furniture</v>
      </c>
      <c r="K766" s="17" t="s">
        <v>1522</v>
      </c>
      <c r="L766" s="17" t="str">
        <f>TRIM('data cleaning'!$M766)</f>
        <v>Bookcases</v>
      </c>
      <c r="M766" s="17" t="s">
        <v>1527</v>
      </c>
      <c r="N766" s="17" t="str">
        <f>PROPER('data cleaning'!$O766)</f>
        <v>Cell Bookcases</v>
      </c>
      <c r="O766" s="17" t="str">
        <f>TRIM('data cleaning'!$P766)</f>
        <v>Cell Bookcases</v>
      </c>
      <c r="P766" s="17" t="s">
        <v>1551</v>
      </c>
      <c r="Q766" s="17">
        <v>685.54</v>
      </c>
      <c r="R766" s="17">
        <v>8</v>
      </c>
      <c r="S766" s="17">
        <v>0.2</v>
      </c>
      <c r="T766" s="18">
        <v>-74.849999999999994</v>
      </c>
    </row>
    <row r="767" spans="1:20" ht="15.6" x14ac:dyDescent="0.3">
      <c r="A767" s="19" t="s">
        <v>286</v>
      </c>
      <c r="B767" s="20">
        <v>46031</v>
      </c>
      <c r="C767" s="21">
        <v>46034</v>
      </c>
      <c r="D767" s="22" t="str">
        <f>TRIM('data cleaning'!$E767)</f>
        <v>Jon Eaton Jr.</v>
      </c>
      <c r="E767" s="23" t="s">
        <v>1049</v>
      </c>
      <c r="F767" s="23" t="str">
        <f>TRIM('data cleaning'!$G767)</f>
        <v>Corporate</v>
      </c>
      <c r="G767" s="23" t="s">
        <v>1514</v>
      </c>
      <c r="H767" s="23" t="str">
        <f>TRIM('data cleaning'!$I767)</f>
        <v>North</v>
      </c>
      <c r="I767" s="23" t="s">
        <v>1516</v>
      </c>
      <c r="J767" s="23" t="str">
        <f>TRIM('data cleaning'!$K767)</f>
        <v>Furniture</v>
      </c>
      <c r="K767" s="23" t="s">
        <v>1522</v>
      </c>
      <c r="L767" s="23" t="str">
        <f>TRIM('data cleaning'!$M767)</f>
        <v>Tables</v>
      </c>
      <c r="M767" s="23" t="s">
        <v>1529</v>
      </c>
      <c r="N767" s="23" t="str">
        <f>PROPER('data cleaning'!$O767)</f>
        <v>Although Tables</v>
      </c>
      <c r="O767" s="23" t="str">
        <f>TRIM('data cleaning'!$P767)</f>
        <v>Although Tables</v>
      </c>
      <c r="P767" s="23" t="s">
        <v>1800</v>
      </c>
      <c r="Q767" s="23">
        <v>4929.1899999999996</v>
      </c>
      <c r="R767" s="23">
        <v>9</v>
      </c>
      <c r="S767" s="23">
        <v>0.05</v>
      </c>
      <c r="T767" s="24">
        <v>135.35</v>
      </c>
    </row>
    <row r="768" spans="1:20" ht="15.6" x14ac:dyDescent="0.3">
      <c r="A768" s="13" t="s">
        <v>327</v>
      </c>
      <c r="B768" s="14">
        <v>45928</v>
      </c>
      <c r="C768" s="15">
        <v>45933</v>
      </c>
      <c r="D768" s="16" t="str">
        <f>TRIM('data cleaning'!$E768)</f>
        <v>Victor Arroyo</v>
      </c>
      <c r="E768" s="17" t="s">
        <v>1087</v>
      </c>
      <c r="F768" s="17" t="str">
        <f>TRIM('data cleaning'!$G768)</f>
        <v>Corporate</v>
      </c>
      <c r="G768" s="17" t="s">
        <v>1514</v>
      </c>
      <c r="H768" s="17" t="str">
        <f>TRIM('data cleaning'!$I768)</f>
        <v>North</v>
      </c>
      <c r="I768" s="17" t="s">
        <v>1516</v>
      </c>
      <c r="J768" s="17" t="str">
        <f>TRIM('data cleaning'!$K768)</f>
        <v>Furniture</v>
      </c>
      <c r="K768" s="17" t="s">
        <v>1522</v>
      </c>
      <c r="L768" s="17" t="str">
        <f>TRIM('data cleaning'!$M768)</f>
        <v>Bookcases</v>
      </c>
      <c r="M768" s="17" t="s">
        <v>1527</v>
      </c>
      <c r="N768" s="17" t="str">
        <f>PROPER('data cleaning'!$O768)</f>
        <v>Either Bookcases</v>
      </c>
      <c r="O768" s="17" t="str">
        <f>TRIM('data cleaning'!$P768)</f>
        <v>Either Bookcases</v>
      </c>
      <c r="P768" s="17" t="s">
        <v>1838</v>
      </c>
      <c r="Q768" s="17">
        <v>1248</v>
      </c>
      <c r="R768" s="17">
        <v>3</v>
      </c>
      <c r="S768" s="17"/>
      <c r="T768" s="18">
        <v>40.840000000000003</v>
      </c>
    </row>
    <row r="769" spans="1:20" ht="15.6" x14ac:dyDescent="0.3">
      <c r="A769" s="19" t="s">
        <v>388</v>
      </c>
      <c r="B769" s="20">
        <v>45745</v>
      </c>
      <c r="C769" s="21">
        <v>45752</v>
      </c>
      <c r="D769" s="22" t="str">
        <f>TRIM('data cleaning'!$E769)</f>
        <v>Rebecca Brown</v>
      </c>
      <c r="E769" s="23" t="s">
        <v>1146</v>
      </c>
      <c r="F769" s="23" t="str">
        <f>TRIM('data cleaning'!$G769)</f>
        <v>Consumer</v>
      </c>
      <c r="G769" s="23" t="s">
        <v>1513</v>
      </c>
      <c r="H769" s="23" t="str">
        <f>TRIM('data cleaning'!$I769)</f>
        <v>West</v>
      </c>
      <c r="I769" s="23" t="s">
        <v>1518</v>
      </c>
      <c r="J769" s="23" t="str">
        <f>TRIM('data cleaning'!$K769)</f>
        <v>Technology</v>
      </c>
      <c r="K769" s="23" t="s">
        <v>1521</v>
      </c>
      <c r="L769" s="23" t="str">
        <f>TRIM('data cleaning'!$M769)</f>
        <v>Phones</v>
      </c>
      <c r="M769" s="23" t="s">
        <v>1530</v>
      </c>
      <c r="N769" s="23" t="str">
        <f>PROPER('data cleaning'!$O769)</f>
        <v>Wonder Phones</v>
      </c>
      <c r="O769" s="23" t="str">
        <f>TRIM('data cleaning'!$P769)</f>
        <v>Wonder Phones</v>
      </c>
      <c r="P769" s="23" t="s">
        <v>1898</v>
      </c>
      <c r="Q769" s="23">
        <v>4252.58</v>
      </c>
      <c r="R769" s="23">
        <v>5</v>
      </c>
      <c r="S769" s="23">
        <v>0</v>
      </c>
      <c r="T769" s="24">
        <v>-370.58</v>
      </c>
    </row>
    <row r="770" spans="1:20" ht="15.6" x14ac:dyDescent="0.3">
      <c r="A770" s="13" t="s">
        <v>73</v>
      </c>
      <c r="B770" s="14">
        <v>45691</v>
      </c>
      <c r="C770" s="15">
        <v>45695</v>
      </c>
      <c r="D770" s="16" t="str">
        <f>TRIM('data cleaning'!$E770)</f>
        <v>Wanda Byrd</v>
      </c>
      <c r="E770" s="17" t="s">
        <v>842</v>
      </c>
      <c r="F770" s="17" t="str">
        <f>TRIM('data cleaning'!$G770)</f>
        <v>Corporate</v>
      </c>
      <c r="G770" s="17" t="s">
        <v>1514</v>
      </c>
      <c r="H770" s="17" t="str">
        <f>TRIM('data cleaning'!$I770)</f>
        <v>East</v>
      </c>
      <c r="I770" s="17" t="s">
        <v>1519</v>
      </c>
      <c r="J770" s="17" t="str">
        <f>TRIM('data cleaning'!$K770)</f>
        <v>Office Supplies</v>
      </c>
      <c r="K770" s="17" t="s">
        <v>1520</v>
      </c>
      <c r="L770" s="17" t="str">
        <f>TRIM('data cleaning'!$M770)</f>
        <v>Paper</v>
      </c>
      <c r="M770" s="17" t="s">
        <v>1524</v>
      </c>
      <c r="N770" s="17" t="str">
        <f>PROPER('data cleaning'!$O770)</f>
        <v>Fact Paper</v>
      </c>
      <c r="O770" s="17" t="str">
        <f>TRIM('data cleaning'!$P770)</f>
        <v>Fact Paper</v>
      </c>
      <c r="P770" s="17" t="s">
        <v>1592</v>
      </c>
      <c r="Q770" s="17">
        <v>1409.26</v>
      </c>
      <c r="R770" s="17">
        <v>2</v>
      </c>
      <c r="S770" s="17"/>
      <c r="T770" s="18">
        <v>-60.39</v>
      </c>
    </row>
    <row r="771" spans="1:20" ht="15.6" x14ac:dyDescent="0.3">
      <c r="A771" s="25" t="s">
        <v>563</v>
      </c>
      <c r="B771" s="26">
        <v>45896</v>
      </c>
      <c r="C771" s="27">
        <v>45900</v>
      </c>
      <c r="D771" s="28" t="str">
        <f>TRIM('data cleaning'!$E771)</f>
        <v>Brenda Ryan</v>
      </c>
      <c r="E771" s="5" t="s">
        <v>1317</v>
      </c>
      <c r="F771" s="5" t="str">
        <f>TRIM('data cleaning'!$G771)</f>
        <v>Home Office</v>
      </c>
      <c r="G771" s="5" t="s">
        <v>1515</v>
      </c>
      <c r="H771" s="5" t="str">
        <f>TRIM('data cleaning'!$I771)</f>
        <v>West</v>
      </c>
      <c r="I771" s="5" t="s">
        <v>1518</v>
      </c>
      <c r="J771" s="5" t="str">
        <f>TRIM('data cleaning'!$K771)</f>
        <v>Office Supplies</v>
      </c>
      <c r="K771" s="5" t="s">
        <v>1520</v>
      </c>
      <c r="L771" s="5" t="str">
        <f>TRIM('data cleaning'!$M771)</f>
        <v>Paper</v>
      </c>
      <c r="M771" s="5" t="s">
        <v>1524</v>
      </c>
      <c r="N771" s="5" t="str">
        <f>PROPER('data cleaning'!$O771)</f>
        <v>Produce Paper</v>
      </c>
      <c r="O771" s="5" t="str">
        <f>TRIM('data cleaning'!$P771)</f>
        <v>Produce Paper</v>
      </c>
      <c r="P771" s="5" t="s">
        <v>2063</v>
      </c>
      <c r="Q771" s="5">
        <v>2095.48</v>
      </c>
      <c r="R771" s="5">
        <v>9</v>
      </c>
      <c r="S771" s="5">
        <v>0.15</v>
      </c>
      <c r="T771" s="4">
        <v>-213.12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6B59-E478-4763-B6A7-1090C3ADB741}">
  <dimension ref="A1:N771"/>
  <sheetViews>
    <sheetView tabSelected="1" workbookViewId="0">
      <selection activeCell="A78" sqref="A78"/>
    </sheetView>
  </sheetViews>
  <sheetFormatPr defaultRowHeight="14.4" x14ac:dyDescent="0.3"/>
  <cols>
    <col min="1" max="1" width="14.5546875" style="8" bestFit="1" customWidth="1"/>
    <col min="2" max="2" width="17.33203125" style="29" bestFit="1" customWidth="1"/>
    <col min="3" max="3" width="15.6640625" style="29" bestFit="1" customWidth="1"/>
    <col min="4" max="4" width="28.5546875" style="37" bestFit="1" customWidth="1"/>
    <col min="5" max="5" width="28.5546875" style="39" bestFit="1" customWidth="1"/>
    <col min="6" max="6" width="14.21875" style="41" customWidth="1"/>
    <col min="7" max="7" width="16.77734375" style="41" customWidth="1"/>
    <col min="8" max="8" width="19.44140625" style="41" customWidth="1"/>
    <col min="9" max="9" width="21.44140625" style="41" customWidth="1"/>
    <col min="10" max="10" width="11.5546875" style="47" customWidth="1"/>
    <col min="11" max="11" width="13.88671875" customWidth="1"/>
    <col min="12" max="12" width="12.6640625" style="44" customWidth="1"/>
    <col min="13" max="13" width="11.33203125" style="44" bestFit="1" customWidth="1"/>
    <col min="14" max="14" width="18.5546875" bestFit="1" customWidth="1"/>
  </cols>
  <sheetData>
    <row r="1" spans="1:14" ht="18" x14ac:dyDescent="0.35">
      <c r="A1" s="30" t="s">
        <v>0</v>
      </c>
      <c r="B1" s="32" t="s">
        <v>1</v>
      </c>
      <c r="C1" s="32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45" t="s">
        <v>9</v>
      </c>
      <c r="K1" s="34" t="s">
        <v>10</v>
      </c>
      <c r="L1" s="42" t="s">
        <v>11</v>
      </c>
      <c r="M1" s="42" t="s">
        <v>12</v>
      </c>
      <c r="N1" s="42" t="s">
        <v>2256</v>
      </c>
    </row>
    <row r="2" spans="1:14" ht="15.6" x14ac:dyDescent="0.3">
      <c r="A2" s="31" t="s">
        <v>339</v>
      </c>
      <c r="B2" s="33">
        <v>45073</v>
      </c>
      <c r="C2" s="33">
        <v>45075</v>
      </c>
      <c r="D2" s="54" t="s">
        <v>1099</v>
      </c>
      <c r="E2" s="38" t="s">
        <v>1513</v>
      </c>
      <c r="F2" s="40" t="s">
        <v>1518</v>
      </c>
      <c r="G2" s="40" t="s">
        <v>1522</v>
      </c>
      <c r="H2" s="40" t="s">
        <v>1529</v>
      </c>
      <c r="I2" s="40" t="s">
        <v>1850</v>
      </c>
      <c r="J2" s="46">
        <v>2907.87</v>
      </c>
      <c r="K2" s="3">
        <v>9</v>
      </c>
      <c r="L2" s="43">
        <v>0.05</v>
      </c>
      <c r="M2" s="48">
        <v>3.45</v>
      </c>
      <c r="N2" s="50" t="str">
        <f>IF(Table3[[#This Row],[Profit]]&lt;0,"Loss","Profit")</f>
        <v>Profit</v>
      </c>
    </row>
    <row r="3" spans="1:14" ht="15.6" x14ac:dyDescent="0.3">
      <c r="A3" s="31" t="s">
        <v>87</v>
      </c>
      <c r="B3" s="33">
        <v>45071</v>
      </c>
      <c r="C3" s="33">
        <v>45077</v>
      </c>
      <c r="D3" s="54" t="s">
        <v>2268</v>
      </c>
      <c r="E3" s="38" t="s">
        <v>1514</v>
      </c>
      <c r="F3" s="40" t="s">
        <v>1516</v>
      </c>
      <c r="G3" s="40" t="s">
        <v>1520</v>
      </c>
      <c r="H3" s="40" t="s">
        <v>1523</v>
      </c>
      <c r="I3" s="40" t="s">
        <v>1606</v>
      </c>
      <c r="J3" s="46">
        <v>2687.09</v>
      </c>
      <c r="K3" s="3">
        <v>6</v>
      </c>
      <c r="L3" s="43">
        <v>0</v>
      </c>
      <c r="M3" s="48">
        <v>210.34</v>
      </c>
      <c r="N3" s="48" t="str">
        <f>IF(Table3[[#This Row],[Profit]]&lt;0,"Loss","Profit")</f>
        <v>Profit</v>
      </c>
    </row>
    <row r="4" spans="1:14" ht="15.6" x14ac:dyDescent="0.3">
      <c r="A4" s="31" t="s">
        <v>602</v>
      </c>
      <c r="B4" s="33">
        <v>45074</v>
      </c>
      <c r="C4" s="33">
        <v>45080</v>
      </c>
      <c r="D4" s="54" t="s">
        <v>1356</v>
      </c>
      <c r="E4" s="38" t="s">
        <v>1515</v>
      </c>
      <c r="F4" s="40" t="s">
        <v>1519</v>
      </c>
      <c r="G4" s="40" t="s">
        <v>1522</v>
      </c>
      <c r="H4" s="40" t="s">
        <v>1527</v>
      </c>
      <c r="I4" s="40" t="s">
        <v>2100</v>
      </c>
      <c r="J4" s="46">
        <v>4308.83</v>
      </c>
      <c r="K4" s="3">
        <v>6</v>
      </c>
      <c r="L4" s="43">
        <v>0.15</v>
      </c>
      <c r="M4" s="48">
        <v>245.42</v>
      </c>
      <c r="N4" s="48" t="str">
        <f>IF(Table3[[#This Row],[Profit]]&lt;0,"Loss","Profit")</f>
        <v>Profit</v>
      </c>
    </row>
    <row r="5" spans="1:14" ht="15.6" x14ac:dyDescent="0.3">
      <c r="A5" s="31" t="s">
        <v>615</v>
      </c>
      <c r="B5" s="33">
        <v>45079</v>
      </c>
      <c r="C5" s="33">
        <v>45080</v>
      </c>
      <c r="D5" s="54" t="s">
        <v>1369</v>
      </c>
      <c r="E5" s="38" t="s">
        <v>1514</v>
      </c>
      <c r="F5" s="40" t="s">
        <v>1517</v>
      </c>
      <c r="G5" s="40" t="s">
        <v>1521</v>
      </c>
      <c r="H5" s="40" t="s">
        <v>1526</v>
      </c>
      <c r="I5" s="40" t="s">
        <v>1653</v>
      </c>
      <c r="J5" s="46">
        <v>653.71</v>
      </c>
      <c r="K5" s="3">
        <v>4</v>
      </c>
      <c r="L5" s="43">
        <v>0.15</v>
      </c>
      <c r="M5" s="48">
        <v>146.54</v>
      </c>
      <c r="N5" s="48" t="str">
        <f>IF(Table3[[#This Row],[Profit]]&lt;0,"Loss","Profit")</f>
        <v>Profit</v>
      </c>
    </row>
    <row r="6" spans="1:14" ht="15.6" x14ac:dyDescent="0.3">
      <c r="A6" s="31" t="s">
        <v>498</v>
      </c>
      <c r="B6" s="33">
        <v>45073</v>
      </c>
      <c r="C6" s="33">
        <v>45083</v>
      </c>
      <c r="D6" s="54" t="s">
        <v>1254</v>
      </c>
      <c r="E6" s="38" t="s">
        <v>1515</v>
      </c>
      <c r="F6" s="40" t="s">
        <v>1516</v>
      </c>
      <c r="G6" s="40" t="s">
        <v>1521</v>
      </c>
      <c r="H6" s="40" t="s">
        <v>1526</v>
      </c>
      <c r="I6" s="40" t="s">
        <v>2001</v>
      </c>
      <c r="J6" s="46">
        <v>4783.1400000000003</v>
      </c>
      <c r="K6" s="3">
        <v>3</v>
      </c>
      <c r="L6" s="43">
        <v>0.15</v>
      </c>
      <c r="M6" s="48">
        <v>-945.22</v>
      </c>
      <c r="N6" s="48" t="str">
        <f>IF(Table3[[#This Row],[Profit]]&lt;0,"Loss","Profit")</f>
        <v>Loss</v>
      </c>
    </row>
    <row r="7" spans="1:14" ht="15.6" x14ac:dyDescent="0.3">
      <c r="A7" s="31" t="s">
        <v>245</v>
      </c>
      <c r="B7" s="33">
        <v>45080</v>
      </c>
      <c r="C7" s="33">
        <v>45083</v>
      </c>
      <c r="D7" s="54" t="s">
        <v>1009</v>
      </c>
      <c r="E7" s="38" t="s">
        <v>1515</v>
      </c>
      <c r="F7" s="40" t="s">
        <v>1519</v>
      </c>
      <c r="G7" s="40" t="s">
        <v>1520</v>
      </c>
      <c r="H7" s="40" t="s">
        <v>1524</v>
      </c>
      <c r="I7" s="40" t="s">
        <v>1761</v>
      </c>
      <c r="J7" s="46">
        <v>3050.99</v>
      </c>
      <c r="K7" s="3">
        <v>9</v>
      </c>
      <c r="L7" s="43">
        <v>0.05</v>
      </c>
      <c r="M7" s="48">
        <v>-59.86</v>
      </c>
      <c r="N7" s="48" t="str">
        <f>IF(Table3[[#This Row],[Profit]]&lt;0,"Loss","Profit")</f>
        <v>Loss</v>
      </c>
    </row>
    <row r="8" spans="1:14" ht="15.6" x14ac:dyDescent="0.3">
      <c r="A8" s="31" t="s">
        <v>85</v>
      </c>
      <c r="B8" s="33">
        <v>45081</v>
      </c>
      <c r="C8" s="33">
        <v>45083</v>
      </c>
      <c r="D8" s="54" t="s">
        <v>854</v>
      </c>
      <c r="E8" s="38" t="s">
        <v>1514</v>
      </c>
      <c r="F8" s="40" t="s">
        <v>1518</v>
      </c>
      <c r="G8" s="40" t="s">
        <v>1522</v>
      </c>
      <c r="H8" s="40" t="s">
        <v>1529</v>
      </c>
      <c r="I8" s="40" t="s">
        <v>1604</v>
      </c>
      <c r="J8" s="46">
        <v>2914.49</v>
      </c>
      <c r="K8" s="3">
        <v>5</v>
      </c>
      <c r="L8" s="43">
        <v>0.2</v>
      </c>
      <c r="M8" s="48">
        <v>502.87</v>
      </c>
      <c r="N8" s="48" t="str">
        <f>IF(Table3[[#This Row],[Profit]]&lt;0,"Loss","Profit")</f>
        <v>Profit</v>
      </c>
    </row>
    <row r="9" spans="1:14" ht="15.6" x14ac:dyDescent="0.3">
      <c r="A9" s="31" t="s">
        <v>273</v>
      </c>
      <c r="B9" s="33">
        <v>45084</v>
      </c>
      <c r="C9" s="33">
        <v>45086</v>
      </c>
      <c r="D9" s="54" t="s">
        <v>1036</v>
      </c>
      <c r="E9" s="38" t="s">
        <v>1515</v>
      </c>
      <c r="F9" s="40" t="s">
        <v>1517</v>
      </c>
      <c r="G9" s="40" t="s">
        <v>1522</v>
      </c>
      <c r="H9" s="40" t="s">
        <v>1527</v>
      </c>
      <c r="I9" s="40" t="s">
        <v>1789</v>
      </c>
      <c r="J9" s="46">
        <v>355.7</v>
      </c>
      <c r="K9" s="3">
        <v>9</v>
      </c>
      <c r="L9" s="43">
        <v>0.2</v>
      </c>
      <c r="M9" s="48">
        <v>-31.59</v>
      </c>
      <c r="N9" s="48" t="str">
        <f>IF(Table3[[#This Row],[Profit]]&lt;0,"Loss","Profit")</f>
        <v>Loss</v>
      </c>
    </row>
    <row r="10" spans="1:14" ht="15.6" x14ac:dyDescent="0.3">
      <c r="A10" s="31" t="s">
        <v>607</v>
      </c>
      <c r="B10" s="33">
        <v>45087</v>
      </c>
      <c r="C10" s="33">
        <v>45088</v>
      </c>
      <c r="D10" s="54" t="s">
        <v>1361</v>
      </c>
      <c r="E10" s="38" t="s">
        <v>1514</v>
      </c>
      <c r="F10" s="40" t="s">
        <v>1518</v>
      </c>
      <c r="G10" s="40" t="s">
        <v>1520</v>
      </c>
      <c r="H10" s="40" t="s">
        <v>1523</v>
      </c>
      <c r="I10" s="40" t="s">
        <v>2105</v>
      </c>
      <c r="J10" s="46">
        <v>2763.65</v>
      </c>
      <c r="K10" s="3">
        <v>4</v>
      </c>
      <c r="L10" s="43">
        <v>0.15</v>
      </c>
      <c r="M10" s="48">
        <v>788.16</v>
      </c>
      <c r="N10" s="48" t="str">
        <f>IF(Table3[[#This Row],[Profit]]&lt;0,"Loss","Profit")</f>
        <v>Profit</v>
      </c>
    </row>
    <row r="11" spans="1:14" ht="15.6" x14ac:dyDescent="0.3">
      <c r="A11" s="31" t="s">
        <v>300</v>
      </c>
      <c r="B11" s="33">
        <v>45088</v>
      </c>
      <c r="C11" s="33">
        <v>45089</v>
      </c>
      <c r="D11" s="54" t="s">
        <v>1062</v>
      </c>
      <c r="E11" s="38" t="s">
        <v>1513</v>
      </c>
      <c r="F11" s="40" t="s">
        <v>1518</v>
      </c>
      <c r="G11" s="40" t="s">
        <v>1522</v>
      </c>
      <c r="H11" s="40" t="s">
        <v>1527</v>
      </c>
      <c r="I11" s="40" t="s">
        <v>1813</v>
      </c>
      <c r="J11" s="46">
        <v>2643.52</v>
      </c>
      <c r="K11" s="3">
        <v>2</v>
      </c>
      <c r="L11" s="43">
        <v>0.2</v>
      </c>
      <c r="M11" s="48">
        <v>-458.17</v>
      </c>
      <c r="N11" s="48" t="str">
        <f>IF(Table3[[#This Row],[Profit]]&lt;0,"Loss","Profit")</f>
        <v>Loss</v>
      </c>
    </row>
    <row r="12" spans="1:14" ht="15.6" x14ac:dyDescent="0.3">
      <c r="A12" s="31" t="s">
        <v>155</v>
      </c>
      <c r="B12" s="33">
        <v>45083</v>
      </c>
      <c r="C12" s="33">
        <v>45092</v>
      </c>
      <c r="D12" s="54" t="s">
        <v>922</v>
      </c>
      <c r="E12" s="38" t="s">
        <v>1514</v>
      </c>
      <c r="F12" s="40" t="s">
        <v>1518</v>
      </c>
      <c r="G12" s="40" t="s">
        <v>1520</v>
      </c>
      <c r="H12" s="40" t="s">
        <v>1523</v>
      </c>
      <c r="I12" s="40" t="s">
        <v>1673</v>
      </c>
      <c r="J12" s="46">
        <v>1543.07</v>
      </c>
      <c r="K12" s="3">
        <v>1</v>
      </c>
      <c r="L12" s="43">
        <v>0</v>
      </c>
      <c r="M12" s="48">
        <v>538.88</v>
      </c>
      <c r="N12" s="48" t="str">
        <f>IF(Table3[[#This Row],[Profit]]&lt;0,"Loss","Profit")</f>
        <v>Profit</v>
      </c>
    </row>
    <row r="13" spans="1:14" ht="15.6" x14ac:dyDescent="0.3">
      <c r="A13" s="31" t="s">
        <v>694</v>
      </c>
      <c r="B13" s="33">
        <v>45085</v>
      </c>
      <c r="C13" s="33">
        <v>45092</v>
      </c>
      <c r="D13" s="54" t="s">
        <v>1446</v>
      </c>
      <c r="E13" s="38" t="s">
        <v>1515</v>
      </c>
      <c r="F13" s="40" t="s">
        <v>1516</v>
      </c>
      <c r="G13" s="40" t="s">
        <v>1521</v>
      </c>
      <c r="H13" s="40" t="s">
        <v>1528</v>
      </c>
      <c r="I13" s="40" t="s">
        <v>2184</v>
      </c>
      <c r="J13" s="46">
        <v>2647</v>
      </c>
      <c r="K13" s="3">
        <v>4</v>
      </c>
      <c r="L13" s="43">
        <v>0.2</v>
      </c>
      <c r="M13" s="48">
        <v>-444.69</v>
      </c>
      <c r="N13" s="48" t="str">
        <f>IF(Table3[[#This Row],[Profit]]&lt;0,"Loss","Profit")</f>
        <v>Loss</v>
      </c>
    </row>
    <row r="14" spans="1:14" ht="15.6" x14ac:dyDescent="0.3">
      <c r="A14" s="31" t="s">
        <v>51</v>
      </c>
      <c r="B14" s="33">
        <v>45087</v>
      </c>
      <c r="C14" s="33">
        <v>45092</v>
      </c>
      <c r="D14" s="54" t="s">
        <v>820</v>
      </c>
      <c r="E14" s="38" t="s">
        <v>1514</v>
      </c>
      <c r="F14" s="40" t="s">
        <v>1519</v>
      </c>
      <c r="G14" s="40" t="s">
        <v>1522</v>
      </c>
      <c r="H14" s="40" t="s">
        <v>1527</v>
      </c>
      <c r="I14" s="40" t="s">
        <v>1570</v>
      </c>
      <c r="J14" s="46">
        <v>2551.77</v>
      </c>
      <c r="K14" s="3">
        <v>5</v>
      </c>
      <c r="L14" s="43">
        <v>0</v>
      </c>
      <c r="M14" s="48">
        <v>-380.82</v>
      </c>
      <c r="N14" s="48" t="str">
        <f>IF(Table3[[#This Row],[Profit]]&lt;0,"Loss","Profit")</f>
        <v>Loss</v>
      </c>
    </row>
    <row r="15" spans="1:14" ht="15.6" x14ac:dyDescent="0.3">
      <c r="A15" s="31" t="s">
        <v>746</v>
      </c>
      <c r="B15" s="33">
        <v>45093</v>
      </c>
      <c r="C15" s="33">
        <v>45094</v>
      </c>
      <c r="D15" s="54" t="s">
        <v>1498</v>
      </c>
      <c r="E15" s="38" t="s">
        <v>1515</v>
      </c>
      <c r="F15" s="40" t="s">
        <v>1517</v>
      </c>
      <c r="G15" s="40" t="s">
        <v>1521</v>
      </c>
      <c r="H15" s="40" t="s">
        <v>1526</v>
      </c>
      <c r="I15" s="40" t="s">
        <v>2231</v>
      </c>
      <c r="J15" s="46">
        <v>3720.07</v>
      </c>
      <c r="K15" s="3">
        <v>10</v>
      </c>
      <c r="L15" s="43">
        <v>0.05</v>
      </c>
      <c r="M15" s="48">
        <v>1118.1500000000001</v>
      </c>
      <c r="N15" s="48" t="str">
        <f>IF(Table3[[#This Row],[Profit]]&lt;0,"Loss","Profit")</f>
        <v>Profit</v>
      </c>
    </row>
    <row r="16" spans="1:14" ht="15.6" x14ac:dyDescent="0.3">
      <c r="A16" s="31" t="s">
        <v>208</v>
      </c>
      <c r="B16" s="33">
        <v>45088</v>
      </c>
      <c r="C16" s="33">
        <v>45096</v>
      </c>
      <c r="D16" s="54" t="s">
        <v>973</v>
      </c>
      <c r="E16" s="38" t="s">
        <v>1513</v>
      </c>
      <c r="F16" s="40" t="s">
        <v>1516</v>
      </c>
      <c r="G16" s="40" t="s">
        <v>1520</v>
      </c>
      <c r="H16" s="40" t="s">
        <v>1523</v>
      </c>
      <c r="I16" s="40" t="s">
        <v>1725</v>
      </c>
      <c r="J16" s="46">
        <v>4905.05</v>
      </c>
      <c r="K16" s="3">
        <v>8</v>
      </c>
      <c r="L16" s="43">
        <v>0.2</v>
      </c>
      <c r="M16" s="48">
        <v>-489.26</v>
      </c>
      <c r="N16" s="48" t="str">
        <f>IF(Table3[[#This Row],[Profit]]&lt;0,"Loss","Profit")</f>
        <v>Loss</v>
      </c>
    </row>
    <row r="17" spans="1:14" ht="15.6" x14ac:dyDescent="0.3">
      <c r="A17" s="31" t="s">
        <v>42</v>
      </c>
      <c r="B17" s="33">
        <v>45088</v>
      </c>
      <c r="C17" s="33">
        <v>45097</v>
      </c>
      <c r="D17" s="54" t="s">
        <v>811</v>
      </c>
      <c r="E17" s="38" t="s">
        <v>1513</v>
      </c>
      <c r="F17" s="40" t="s">
        <v>1516</v>
      </c>
      <c r="G17" s="40" t="s">
        <v>1521</v>
      </c>
      <c r="H17" s="40" t="s">
        <v>1528</v>
      </c>
      <c r="I17" s="40" t="s">
        <v>1561</v>
      </c>
      <c r="J17" s="46">
        <v>3326.26</v>
      </c>
      <c r="K17" s="3">
        <v>8</v>
      </c>
      <c r="L17" s="43">
        <v>0.05</v>
      </c>
      <c r="M17" s="48">
        <v>-317.83999999999997</v>
      </c>
      <c r="N17" s="48" t="str">
        <f>IF(Table3[[#This Row],[Profit]]&lt;0,"Loss","Profit")</f>
        <v>Loss</v>
      </c>
    </row>
    <row r="18" spans="1:14" ht="15.6" x14ac:dyDescent="0.3">
      <c r="A18" s="31" t="s">
        <v>229</v>
      </c>
      <c r="B18" s="33">
        <v>45098</v>
      </c>
      <c r="C18" s="33">
        <v>45103</v>
      </c>
      <c r="D18" s="54" t="s">
        <v>993</v>
      </c>
      <c r="E18" s="38" t="s">
        <v>1515</v>
      </c>
      <c r="F18" s="40" t="s">
        <v>1517</v>
      </c>
      <c r="G18" s="40" t="s">
        <v>1520</v>
      </c>
      <c r="H18" s="40" t="s">
        <v>1525</v>
      </c>
      <c r="I18" s="40" t="s">
        <v>1745</v>
      </c>
      <c r="J18" s="46">
        <v>669.59</v>
      </c>
      <c r="K18" s="3">
        <v>5</v>
      </c>
      <c r="L18" s="43">
        <v>0.2</v>
      </c>
      <c r="M18" s="48">
        <v>62.55</v>
      </c>
      <c r="N18" s="48" t="str">
        <f>IF(Table3[[#This Row],[Profit]]&lt;0,"Loss","Profit")</f>
        <v>Profit</v>
      </c>
    </row>
    <row r="19" spans="1:14" ht="15.6" x14ac:dyDescent="0.3">
      <c r="A19" s="31" t="s">
        <v>588</v>
      </c>
      <c r="B19" s="33">
        <v>45097</v>
      </c>
      <c r="C19" s="33">
        <v>45104</v>
      </c>
      <c r="D19" s="54" t="s">
        <v>1342</v>
      </c>
      <c r="E19" s="38" t="s">
        <v>1515</v>
      </c>
      <c r="F19" s="40" t="s">
        <v>1517</v>
      </c>
      <c r="G19" s="40" t="s">
        <v>1522</v>
      </c>
      <c r="H19" s="40" t="s">
        <v>1527</v>
      </c>
      <c r="I19" s="40" t="s">
        <v>2087</v>
      </c>
      <c r="J19" s="46">
        <v>4288.7299999999996</v>
      </c>
      <c r="K19" s="3">
        <v>4</v>
      </c>
      <c r="L19" s="43">
        <v>0.05</v>
      </c>
      <c r="M19" s="48">
        <v>1029.3800000000001</v>
      </c>
      <c r="N19" s="48" t="str">
        <f>IF(Table3[[#This Row],[Profit]]&lt;0,"Loss","Profit")</f>
        <v>Profit</v>
      </c>
    </row>
    <row r="20" spans="1:14" ht="15.6" x14ac:dyDescent="0.3">
      <c r="A20" s="31" t="s">
        <v>681</v>
      </c>
      <c r="B20" s="33">
        <v>45098</v>
      </c>
      <c r="C20" s="33">
        <v>45104</v>
      </c>
      <c r="D20" s="54" t="s">
        <v>1434</v>
      </c>
      <c r="E20" s="38" t="s">
        <v>1515</v>
      </c>
      <c r="F20" s="40" t="s">
        <v>1517</v>
      </c>
      <c r="G20" s="40" t="s">
        <v>1521</v>
      </c>
      <c r="H20" s="40" t="s">
        <v>1526</v>
      </c>
      <c r="I20" s="40" t="s">
        <v>2173</v>
      </c>
      <c r="J20" s="46">
        <v>2281.88</v>
      </c>
      <c r="K20" s="3">
        <v>3</v>
      </c>
      <c r="L20" s="43">
        <v>0.15</v>
      </c>
      <c r="M20" s="48">
        <v>284.49</v>
      </c>
      <c r="N20" s="48" t="str">
        <f>IF(Table3[[#This Row],[Profit]]&lt;0,"Loss","Profit")</f>
        <v>Profit</v>
      </c>
    </row>
    <row r="21" spans="1:14" ht="15.6" x14ac:dyDescent="0.3">
      <c r="A21" s="31" t="s">
        <v>356</v>
      </c>
      <c r="B21" s="33">
        <v>45100</v>
      </c>
      <c r="C21" s="33">
        <v>45107</v>
      </c>
      <c r="D21" s="54" t="s">
        <v>1115</v>
      </c>
      <c r="E21" s="38" t="s">
        <v>1514</v>
      </c>
      <c r="F21" s="40" t="s">
        <v>1518</v>
      </c>
      <c r="G21" s="40" t="s">
        <v>1520</v>
      </c>
      <c r="H21" s="40" t="s">
        <v>1523</v>
      </c>
      <c r="I21" s="40" t="s">
        <v>1867</v>
      </c>
      <c r="J21" s="46">
        <v>2602.29</v>
      </c>
      <c r="K21" s="3">
        <v>5</v>
      </c>
      <c r="L21" s="43">
        <v>0.2</v>
      </c>
      <c r="M21" s="48">
        <v>819.68</v>
      </c>
      <c r="N21" s="48" t="str">
        <f>IF(Table3[[#This Row],[Profit]]&lt;0,"Loss","Profit")</f>
        <v>Profit</v>
      </c>
    </row>
    <row r="22" spans="1:14" ht="15.6" x14ac:dyDescent="0.3">
      <c r="A22" s="31" t="s">
        <v>652</v>
      </c>
      <c r="B22" s="33">
        <v>45099</v>
      </c>
      <c r="C22" s="33">
        <v>45108</v>
      </c>
      <c r="D22" s="54" t="s">
        <v>1405</v>
      </c>
      <c r="E22" s="38" t="s">
        <v>1514</v>
      </c>
      <c r="F22" s="40" t="s">
        <v>1516</v>
      </c>
      <c r="G22" s="40" t="s">
        <v>1520</v>
      </c>
      <c r="H22" s="40" t="s">
        <v>1525</v>
      </c>
      <c r="I22" s="40" t="s">
        <v>2148</v>
      </c>
      <c r="J22" s="46">
        <v>1268.92</v>
      </c>
      <c r="K22" s="3">
        <v>2</v>
      </c>
      <c r="L22" s="43">
        <v>0.1</v>
      </c>
      <c r="M22" s="48">
        <v>288.33</v>
      </c>
      <c r="N22" s="48" t="str">
        <f>IF(Table3[[#This Row],[Profit]]&lt;0,"Loss","Profit")</f>
        <v>Profit</v>
      </c>
    </row>
    <row r="23" spans="1:14" ht="15.6" x14ac:dyDescent="0.3">
      <c r="A23" s="31" t="s">
        <v>84</v>
      </c>
      <c r="B23" s="33">
        <v>45102</v>
      </c>
      <c r="C23" s="33">
        <v>45110</v>
      </c>
      <c r="D23" s="54" t="s">
        <v>853</v>
      </c>
      <c r="E23" s="38" t="s">
        <v>1515</v>
      </c>
      <c r="F23" s="40" t="s">
        <v>1516</v>
      </c>
      <c r="G23" s="40" t="s">
        <v>1520</v>
      </c>
      <c r="H23" s="40" t="s">
        <v>1523</v>
      </c>
      <c r="I23" s="40" t="s">
        <v>1603</v>
      </c>
      <c r="J23" s="46">
        <v>3512.35</v>
      </c>
      <c r="K23" s="3">
        <v>6</v>
      </c>
      <c r="L23" s="43">
        <v>0.05</v>
      </c>
      <c r="M23" s="48">
        <v>467.99</v>
      </c>
      <c r="N23" s="48" t="str">
        <f>IF(Table3[[#This Row],[Profit]]&lt;0,"Loss","Profit")</f>
        <v>Profit</v>
      </c>
    </row>
    <row r="24" spans="1:14" ht="15.6" x14ac:dyDescent="0.3">
      <c r="A24" s="31" t="s">
        <v>238</v>
      </c>
      <c r="B24" s="33">
        <v>45104</v>
      </c>
      <c r="C24" s="33">
        <v>45112</v>
      </c>
      <c r="D24" s="54" t="s">
        <v>1002</v>
      </c>
      <c r="E24" s="38" t="s">
        <v>1513</v>
      </c>
      <c r="F24" s="40" t="s">
        <v>1517</v>
      </c>
      <c r="G24" s="40" t="s">
        <v>1521</v>
      </c>
      <c r="H24" s="40" t="s">
        <v>1526</v>
      </c>
      <c r="I24" s="40" t="s">
        <v>1754</v>
      </c>
      <c r="J24" s="46">
        <v>164.72</v>
      </c>
      <c r="K24" s="3">
        <v>7</v>
      </c>
      <c r="L24" s="43">
        <v>0.2</v>
      </c>
      <c r="M24" s="48">
        <v>8.48</v>
      </c>
      <c r="N24" s="48" t="str">
        <f>IF(Table3[[#This Row],[Profit]]&lt;0,"Loss","Profit")</f>
        <v>Profit</v>
      </c>
    </row>
    <row r="25" spans="1:14" ht="15.6" x14ac:dyDescent="0.3">
      <c r="A25" s="31" t="s">
        <v>358</v>
      </c>
      <c r="B25" s="33">
        <v>45107</v>
      </c>
      <c r="C25" s="33">
        <v>45114</v>
      </c>
      <c r="D25" s="54" t="s">
        <v>1117</v>
      </c>
      <c r="E25" s="38" t="s">
        <v>1514</v>
      </c>
      <c r="F25" s="40" t="s">
        <v>1519</v>
      </c>
      <c r="G25" s="40" t="s">
        <v>1522</v>
      </c>
      <c r="H25" s="40" t="s">
        <v>1527</v>
      </c>
      <c r="I25" s="40" t="s">
        <v>1869</v>
      </c>
      <c r="J25" s="46">
        <v>1128.26</v>
      </c>
      <c r="K25" s="3">
        <v>7</v>
      </c>
      <c r="L25" s="43">
        <v>0.05</v>
      </c>
      <c r="M25" s="48">
        <v>81.34</v>
      </c>
      <c r="N25" s="48" t="str">
        <f>IF(Table3[[#This Row],[Profit]]&lt;0,"Loss","Profit")</f>
        <v>Profit</v>
      </c>
    </row>
    <row r="26" spans="1:14" ht="15.6" x14ac:dyDescent="0.3">
      <c r="A26" s="31" t="s">
        <v>505</v>
      </c>
      <c r="B26" s="33">
        <v>45109</v>
      </c>
      <c r="C26" s="33">
        <v>45118</v>
      </c>
      <c r="D26" s="54" t="s">
        <v>1261</v>
      </c>
      <c r="E26" s="38" t="s">
        <v>1513</v>
      </c>
      <c r="F26" s="40" t="s">
        <v>1518</v>
      </c>
      <c r="G26" s="40" t="s">
        <v>1520</v>
      </c>
      <c r="H26" s="40" t="s">
        <v>1525</v>
      </c>
      <c r="I26" s="40" t="s">
        <v>2008</v>
      </c>
      <c r="J26" s="46">
        <v>1465.34</v>
      </c>
      <c r="K26" s="3">
        <v>7</v>
      </c>
      <c r="L26" s="43">
        <v>0</v>
      </c>
      <c r="M26" s="48">
        <v>128.22</v>
      </c>
      <c r="N26" s="48" t="str">
        <f>IF(Table3[[#This Row],[Profit]]&lt;0,"Loss","Profit")</f>
        <v>Profit</v>
      </c>
    </row>
    <row r="27" spans="1:14" ht="15.6" x14ac:dyDescent="0.3">
      <c r="A27" s="31" t="s">
        <v>482</v>
      </c>
      <c r="B27" s="33">
        <v>45111</v>
      </c>
      <c r="C27" s="33">
        <v>45118</v>
      </c>
      <c r="D27" s="54" t="s">
        <v>1239</v>
      </c>
      <c r="E27" s="38" t="s">
        <v>1514</v>
      </c>
      <c r="F27" s="40" t="s">
        <v>1518</v>
      </c>
      <c r="G27" s="40" t="s">
        <v>1522</v>
      </c>
      <c r="H27" s="40" t="s">
        <v>1529</v>
      </c>
      <c r="I27" s="40" t="s">
        <v>1985</v>
      </c>
      <c r="J27" s="46">
        <v>4813.43</v>
      </c>
      <c r="K27" s="3">
        <v>5</v>
      </c>
      <c r="L27" s="43">
        <v>0.15</v>
      </c>
      <c r="M27" s="48">
        <v>863.75</v>
      </c>
      <c r="N27" s="48" t="str">
        <f>IF(Table3[[#This Row],[Profit]]&lt;0,"Loss","Profit")</f>
        <v>Profit</v>
      </c>
    </row>
    <row r="28" spans="1:14" ht="15.6" x14ac:dyDescent="0.3">
      <c r="A28" s="31" t="s">
        <v>197</v>
      </c>
      <c r="B28" s="33">
        <v>45116</v>
      </c>
      <c r="C28" s="33">
        <v>45119</v>
      </c>
      <c r="D28" s="54" t="s">
        <v>962</v>
      </c>
      <c r="E28" s="38" t="s">
        <v>1513</v>
      </c>
      <c r="F28" s="40" t="s">
        <v>1517</v>
      </c>
      <c r="G28" s="40" t="s">
        <v>1521</v>
      </c>
      <c r="H28" s="40" t="s">
        <v>1530</v>
      </c>
      <c r="I28" s="40" t="s">
        <v>1714</v>
      </c>
      <c r="J28" s="46">
        <v>1400.32</v>
      </c>
      <c r="K28" s="3">
        <v>9</v>
      </c>
      <c r="L28" s="43">
        <v>0.05</v>
      </c>
      <c r="M28" s="48">
        <v>359.99</v>
      </c>
      <c r="N28" s="48" t="str">
        <f>IF(Table3[[#This Row],[Profit]]&lt;0,"Loss","Profit")</f>
        <v>Profit</v>
      </c>
    </row>
    <row r="29" spans="1:14" ht="15.6" x14ac:dyDescent="0.3">
      <c r="A29" s="31" t="s">
        <v>608</v>
      </c>
      <c r="B29" s="33">
        <v>45113</v>
      </c>
      <c r="C29" s="33">
        <v>45120</v>
      </c>
      <c r="D29" s="54" t="s">
        <v>1362</v>
      </c>
      <c r="E29" s="38" t="s">
        <v>1515</v>
      </c>
      <c r="F29" s="40" t="s">
        <v>1517</v>
      </c>
      <c r="G29" s="40" t="s">
        <v>1522</v>
      </c>
      <c r="H29" s="40" t="s">
        <v>1531</v>
      </c>
      <c r="I29" s="40" t="s">
        <v>2106</v>
      </c>
      <c r="J29" s="46">
        <v>4150.71</v>
      </c>
      <c r="K29" s="3">
        <v>4</v>
      </c>
      <c r="L29" s="43">
        <v>0.1</v>
      </c>
      <c r="M29" s="48">
        <v>-649.30999999999995</v>
      </c>
      <c r="N29" s="48" t="str">
        <f>IF(Table3[[#This Row],[Profit]]&lt;0,"Loss","Profit")</f>
        <v>Loss</v>
      </c>
    </row>
    <row r="30" spans="1:14" ht="15.6" x14ac:dyDescent="0.3">
      <c r="A30" s="31" t="s">
        <v>440</v>
      </c>
      <c r="B30" s="33">
        <v>45118</v>
      </c>
      <c r="C30" s="33">
        <v>45124</v>
      </c>
      <c r="D30" s="54" t="s">
        <v>1197</v>
      </c>
      <c r="E30" s="38" t="s">
        <v>1514</v>
      </c>
      <c r="F30" s="40" t="s">
        <v>1519</v>
      </c>
      <c r="G30" s="40" t="s">
        <v>1522</v>
      </c>
      <c r="H30" s="40" t="s">
        <v>1529</v>
      </c>
      <c r="I30" s="40" t="s">
        <v>1946</v>
      </c>
      <c r="J30" s="46">
        <v>3468.04</v>
      </c>
      <c r="K30" s="3">
        <v>1</v>
      </c>
      <c r="L30" s="43">
        <v>0.2</v>
      </c>
      <c r="M30" s="48">
        <v>212.83</v>
      </c>
      <c r="N30" s="48" t="str">
        <f>IF(Table3[[#This Row],[Profit]]&lt;0,"Loss","Profit")</f>
        <v>Profit</v>
      </c>
    </row>
    <row r="31" spans="1:14" ht="15.6" x14ac:dyDescent="0.3">
      <c r="A31" s="31" t="s">
        <v>212</v>
      </c>
      <c r="B31" s="33">
        <v>45127</v>
      </c>
      <c r="C31" s="33">
        <v>45130</v>
      </c>
      <c r="D31" s="54" t="s">
        <v>977</v>
      </c>
      <c r="E31" s="38" t="s">
        <v>1515</v>
      </c>
      <c r="F31" s="40" t="s">
        <v>1519</v>
      </c>
      <c r="G31" s="40" t="s">
        <v>1521</v>
      </c>
      <c r="H31" s="40" t="s">
        <v>1526</v>
      </c>
      <c r="I31" s="40" t="s">
        <v>1729</v>
      </c>
      <c r="J31" s="46">
        <v>2506.21</v>
      </c>
      <c r="K31" s="3">
        <v>8</v>
      </c>
      <c r="L31" s="43">
        <v>0.1</v>
      </c>
      <c r="M31" s="48">
        <v>772.84</v>
      </c>
      <c r="N31" s="48" t="str">
        <f>IF(Table3[[#This Row],[Profit]]&lt;0,"Loss","Profit")</f>
        <v>Profit</v>
      </c>
    </row>
    <row r="32" spans="1:14" ht="15.6" x14ac:dyDescent="0.3">
      <c r="A32" s="31" t="s">
        <v>203</v>
      </c>
      <c r="B32" s="33">
        <v>45123</v>
      </c>
      <c r="C32" s="33">
        <v>45131</v>
      </c>
      <c r="D32" s="54" t="s">
        <v>968</v>
      </c>
      <c r="E32" s="38" t="s">
        <v>1513</v>
      </c>
      <c r="F32" s="40" t="s">
        <v>1517</v>
      </c>
      <c r="G32" s="40" t="s">
        <v>1522</v>
      </c>
      <c r="H32" s="40" t="s">
        <v>1531</v>
      </c>
      <c r="I32" s="40" t="s">
        <v>1720</v>
      </c>
      <c r="J32" s="46">
        <v>3003.86</v>
      </c>
      <c r="K32" s="3">
        <v>1</v>
      </c>
      <c r="L32" s="43">
        <v>0.2</v>
      </c>
      <c r="M32" s="48">
        <v>250.69</v>
      </c>
      <c r="N32" s="48" t="str">
        <f>IF(Table3[[#This Row],[Profit]]&lt;0,"Loss","Profit")</f>
        <v>Profit</v>
      </c>
    </row>
    <row r="33" spans="1:14" ht="15.6" x14ac:dyDescent="0.3">
      <c r="A33" s="31" t="s">
        <v>586</v>
      </c>
      <c r="B33" s="33">
        <v>45125</v>
      </c>
      <c r="C33" s="33">
        <v>45131</v>
      </c>
      <c r="D33" s="54" t="s">
        <v>1340</v>
      </c>
      <c r="E33" s="38" t="s">
        <v>1514</v>
      </c>
      <c r="F33" s="40" t="s">
        <v>1519</v>
      </c>
      <c r="G33" s="40" t="s">
        <v>1520</v>
      </c>
      <c r="H33" s="40" t="s">
        <v>1524</v>
      </c>
      <c r="I33" s="40" t="s">
        <v>2085</v>
      </c>
      <c r="J33" s="46">
        <v>960.37</v>
      </c>
      <c r="K33" s="3">
        <v>7</v>
      </c>
      <c r="L33" s="43">
        <v>0.05</v>
      </c>
      <c r="M33" s="48">
        <v>29.29</v>
      </c>
      <c r="N33" s="48" t="str">
        <f>IF(Table3[[#This Row],[Profit]]&lt;0,"Loss","Profit")</f>
        <v>Profit</v>
      </c>
    </row>
    <row r="34" spans="1:14" ht="15.6" x14ac:dyDescent="0.3">
      <c r="A34" s="31" t="s">
        <v>631</v>
      </c>
      <c r="B34" s="33">
        <v>45123</v>
      </c>
      <c r="C34" s="33">
        <v>45133</v>
      </c>
      <c r="D34" s="54" t="s">
        <v>1385</v>
      </c>
      <c r="E34" s="38" t="s">
        <v>1513</v>
      </c>
      <c r="F34" s="40" t="s">
        <v>1516</v>
      </c>
      <c r="G34" s="40" t="s">
        <v>1520</v>
      </c>
      <c r="H34" s="40" t="s">
        <v>1525</v>
      </c>
      <c r="I34" s="40" t="s">
        <v>2127</v>
      </c>
      <c r="J34" s="46">
        <v>1316.9</v>
      </c>
      <c r="K34" s="3">
        <v>6</v>
      </c>
      <c r="L34" s="43">
        <v>0.05</v>
      </c>
      <c r="M34" s="48">
        <v>175.51</v>
      </c>
      <c r="N34" s="48" t="str">
        <f>IF(Table3[[#This Row],[Profit]]&lt;0,"Loss","Profit")</f>
        <v>Profit</v>
      </c>
    </row>
    <row r="35" spans="1:14" ht="15.6" x14ac:dyDescent="0.3">
      <c r="A35" s="31" t="s">
        <v>583</v>
      </c>
      <c r="B35" s="33">
        <v>45126</v>
      </c>
      <c r="C35" s="33">
        <v>45133</v>
      </c>
      <c r="D35" s="54" t="s">
        <v>1337</v>
      </c>
      <c r="E35" s="38" t="s">
        <v>1514</v>
      </c>
      <c r="F35" s="40" t="s">
        <v>1517</v>
      </c>
      <c r="G35" s="40" t="s">
        <v>1522</v>
      </c>
      <c r="H35" s="40" t="s">
        <v>1527</v>
      </c>
      <c r="I35" s="40" t="s">
        <v>2082</v>
      </c>
      <c r="J35" s="46">
        <v>2417.6799999999998</v>
      </c>
      <c r="K35" s="3">
        <v>9</v>
      </c>
      <c r="L35" s="43">
        <v>0</v>
      </c>
      <c r="M35" s="48">
        <v>184.62</v>
      </c>
      <c r="N35" s="48" t="str">
        <f>IF(Table3[[#This Row],[Profit]]&lt;0,"Loss","Profit")</f>
        <v>Profit</v>
      </c>
    </row>
    <row r="36" spans="1:14" ht="15.6" x14ac:dyDescent="0.3">
      <c r="A36" s="31" t="s">
        <v>496</v>
      </c>
      <c r="B36" s="33">
        <v>45127</v>
      </c>
      <c r="C36" s="33">
        <v>45134</v>
      </c>
      <c r="D36" s="54" t="s">
        <v>1252</v>
      </c>
      <c r="E36" s="38" t="s">
        <v>1514</v>
      </c>
      <c r="F36" s="40" t="s">
        <v>1517</v>
      </c>
      <c r="G36" s="40" t="s">
        <v>1522</v>
      </c>
      <c r="H36" s="40" t="s">
        <v>1527</v>
      </c>
      <c r="I36" s="40" t="s">
        <v>1999</v>
      </c>
      <c r="J36" s="46">
        <v>579.46</v>
      </c>
      <c r="K36" s="3">
        <v>10</v>
      </c>
      <c r="L36" s="43">
        <v>0.05</v>
      </c>
      <c r="M36" s="48">
        <v>-56.12</v>
      </c>
      <c r="N36" s="48" t="str">
        <f>IF(Table3[[#This Row],[Profit]]&lt;0,"Loss","Profit")</f>
        <v>Loss</v>
      </c>
    </row>
    <row r="37" spans="1:14" ht="15.6" x14ac:dyDescent="0.3">
      <c r="A37" s="31" t="s">
        <v>449</v>
      </c>
      <c r="B37" s="33">
        <v>45130</v>
      </c>
      <c r="C37" s="33">
        <v>45134</v>
      </c>
      <c r="D37" s="54" t="s">
        <v>1206</v>
      </c>
      <c r="E37" s="38" t="s">
        <v>1513</v>
      </c>
      <c r="F37" s="40" t="s">
        <v>1516</v>
      </c>
      <c r="G37" s="40" t="s">
        <v>1522</v>
      </c>
      <c r="H37" s="40" t="s">
        <v>1527</v>
      </c>
      <c r="I37" s="40" t="s">
        <v>1955</v>
      </c>
      <c r="J37" s="46">
        <v>3404.59</v>
      </c>
      <c r="K37" s="3">
        <v>5</v>
      </c>
      <c r="L37" s="43">
        <v>0.2</v>
      </c>
      <c r="M37" s="48">
        <v>85.89</v>
      </c>
      <c r="N37" s="48" t="str">
        <f>IF(Table3[[#This Row],[Profit]]&lt;0,"Loss","Profit")</f>
        <v>Profit</v>
      </c>
    </row>
    <row r="38" spans="1:14" ht="15.6" x14ac:dyDescent="0.3">
      <c r="A38" s="31" t="s">
        <v>685</v>
      </c>
      <c r="B38" s="33">
        <v>45131</v>
      </c>
      <c r="C38" s="33">
        <v>45134</v>
      </c>
      <c r="D38" s="54" t="s">
        <v>1438</v>
      </c>
      <c r="E38" s="38" t="s">
        <v>1515</v>
      </c>
      <c r="F38" s="40" t="s">
        <v>1518</v>
      </c>
      <c r="G38" s="40" t="s">
        <v>1522</v>
      </c>
      <c r="H38" s="40" t="s">
        <v>1531</v>
      </c>
      <c r="I38" s="40" t="s">
        <v>1553</v>
      </c>
      <c r="J38" s="46">
        <v>3857.33</v>
      </c>
      <c r="K38" s="3">
        <v>1</v>
      </c>
      <c r="L38" s="43">
        <v>0.15</v>
      </c>
      <c r="M38" s="48">
        <v>-117.9</v>
      </c>
      <c r="N38" s="48" t="str">
        <f>IF(Table3[[#This Row],[Profit]]&lt;0,"Loss","Profit")</f>
        <v>Loss</v>
      </c>
    </row>
    <row r="39" spans="1:14" ht="15.6" x14ac:dyDescent="0.3">
      <c r="A39" s="31" t="s">
        <v>225</v>
      </c>
      <c r="B39" s="33">
        <v>45133</v>
      </c>
      <c r="C39" s="33">
        <v>45135</v>
      </c>
      <c r="D39" s="54" t="s">
        <v>989</v>
      </c>
      <c r="E39" s="38" t="s">
        <v>1514</v>
      </c>
      <c r="F39" s="40" t="s">
        <v>1516</v>
      </c>
      <c r="G39" s="40" t="s">
        <v>1520</v>
      </c>
      <c r="H39" s="40" t="s">
        <v>1523</v>
      </c>
      <c r="I39" s="40" t="s">
        <v>1741</v>
      </c>
      <c r="J39" s="46">
        <v>1580.99</v>
      </c>
      <c r="K39" s="3">
        <v>8</v>
      </c>
      <c r="L39" s="43">
        <v>0.2</v>
      </c>
      <c r="M39" s="48">
        <v>41.01</v>
      </c>
      <c r="N39" s="48" t="str">
        <f>IF(Table3[[#This Row],[Profit]]&lt;0,"Loss","Profit")</f>
        <v>Profit</v>
      </c>
    </row>
    <row r="40" spans="1:14" ht="15.6" x14ac:dyDescent="0.3">
      <c r="A40" s="31" t="s">
        <v>434</v>
      </c>
      <c r="B40" s="33">
        <v>45133</v>
      </c>
      <c r="C40" s="33">
        <v>45136</v>
      </c>
      <c r="D40" s="54" t="s">
        <v>1191</v>
      </c>
      <c r="E40" s="38" t="s">
        <v>1513</v>
      </c>
      <c r="F40" s="40" t="s">
        <v>1516</v>
      </c>
      <c r="G40" s="40" t="s">
        <v>1522</v>
      </c>
      <c r="H40" s="40" t="s">
        <v>1529</v>
      </c>
      <c r="I40" s="40" t="s">
        <v>1940</v>
      </c>
      <c r="J40" s="46">
        <v>4747.8500000000004</v>
      </c>
      <c r="K40" s="3">
        <v>3</v>
      </c>
      <c r="L40" s="43">
        <v>0.05</v>
      </c>
      <c r="M40" s="48">
        <v>1161.58</v>
      </c>
      <c r="N40" s="48" t="str">
        <f>IF(Table3[[#This Row],[Profit]]&lt;0,"Loss","Profit")</f>
        <v>Profit</v>
      </c>
    </row>
    <row r="41" spans="1:14" ht="15.6" x14ac:dyDescent="0.3">
      <c r="A41" s="31" t="s">
        <v>149</v>
      </c>
      <c r="B41" s="33">
        <v>45131</v>
      </c>
      <c r="C41" s="33">
        <v>45137</v>
      </c>
      <c r="D41" s="54" t="s">
        <v>916</v>
      </c>
      <c r="E41" s="38" t="s">
        <v>1514</v>
      </c>
      <c r="F41" s="40" t="s">
        <v>1516</v>
      </c>
      <c r="G41" s="40" t="s">
        <v>1520</v>
      </c>
      <c r="H41" s="40" t="s">
        <v>1525</v>
      </c>
      <c r="I41" s="40" t="s">
        <v>1667</v>
      </c>
      <c r="J41" s="46">
        <v>349.72</v>
      </c>
      <c r="K41" s="3">
        <v>5</v>
      </c>
      <c r="L41" s="43">
        <v>0.05</v>
      </c>
      <c r="M41" s="48">
        <v>116.29</v>
      </c>
      <c r="N41" s="48" t="str">
        <f>IF(Table3[[#This Row],[Profit]]&lt;0,"Loss","Profit")</f>
        <v>Profit</v>
      </c>
    </row>
    <row r="42" spans="1:14" ht="15.6" x14ac:dyDescent="0.3">
      <c r="A42" s="31" t="s">
        <v>655</v>
      </c>
      <c r="B42" s="33">
        <v>45134</v>
      </c>
      <c r="C42" s="33">
        <v>45140</v>
      </c>
      <c r="D42" s="54" t="s">
        <v>1408</v>
      </c>
      <c r="E42" s="38" t="s">
        <v>1515</v>
      </c>
      <c r="F42" s="40" t="s">
        <v>1517</v>
      </c>
      <c r="G42" s="40" t="s">
        <v>1522</v>
      </c>
      <c r="H42" s="40" t="s">
        <v>1527</v>
      </c>
      <c r="I42" s="40" t="s">
        <v>2044</v>
      </c>
      <c r="J42" s="46">
        <v>822.16</v>
      </c>
      <c r="K42" s="3">
        <v>2</v>
      </c>
      <c r="L42" s="43">
        <v>0</v>
      </c>
      <c r="M42" s="48">
        <v>170</v>
      </c>
      <c r="N42" s="48" t="str">
        <f>IF(Table3[[#This Row],[Profit]]&lt;0,"Loss","Profit")</f>
        <v>Profit</v>
      </c>
    </row>
    <row r="43" spans="1:14" ht="15.6" x14ac:dyDescent="0.3">
      <c r="A43" s="31" t="s">
        <v>79</v>
      </c>
      <c r="B43" s="33">
        <v>45134</v>
      </c>
      <c r="C43" s="33">
        <v>45144</v>
      </c>
      <c r="D43" s="54" t="s">
        <v>848</v>
      </c>
      <c r="E43" s="38" t="s">
        <v>1513</v>
      </c>
      <c r="F43" s="40" t="s">
        <v>1516</v>
      </c>
      <c r="G43" s="40" t="s">
        <v>1521</v>
      </c>
      <c r="H43" s="40" t="s">
        <v>1530</v>
      </c>
      <c r="I43" s="40" t="s">
        <v>1598</v>
      </c>
      <c r="J43" s="46">
        <v>2693.91</v>
      </c>
      <c r="K43" s="3">
        <v>7</v>
      </c>
      <c r="L43" s="43">
        <v>0.2</v>
      </c>
      <c r="M43" s="48">
        <v>297.45</v>
      </c>
      <c r="N43" s="48" t="str">
        <f>IF(Table3[[#This Row],[Profit]]&lt;0,"Loss","Profit")</f>
        <v>Profit</v>
      </c>
    </row>
    <row r="44" spans="1:14" ht="15.6" x14ac:dyDescent="0.3">
      <c r="A44" s="31" t="s">
        <v>270</v>
      </c>
      <c r="B44" s="33">
        <v>45141</v>
      </c>
      <c r="C44" s="33">
        <v>45146</v>
      </c>
      <c r="D44" s="54" t="s">
        <v>1033</v>
      </c>
      <c r="E44" s="38" t="s">
        <v>1514</v>
      </c>
      <c r="F44" s="40" t="s">
        <v>1517</v>
      </c>
      <c r="G44" s="40" t="s">
        <v>1520</v>
      </c>
      <c r="H44" s="40" t="s">
        <v>1523</v>
      </c>
      <c r="I44" s="40" t="s">
        <v>1786</v>
      </c>
      <c r="J44" s="46">
        <v>1869.34</v>
      </c>
      <c r="K44" s="3">
        <v>4</v>
      </c>
      <c r="L44" s="43">
        <v>0.05</v>
      </c>
      <c r="M44" s="48">
        <v>610.42999999999995</v>
      </c>
      <c r="N44" s="48" t="str">
        <f>IF(Table3[[#This Row],[Profit]]&lt;0,"Loss","Profit")</f>
        <v>Profit</v>
      </c>
    </row>
    <row r="45" spans="1:14" ht="15.6" x14ac:dyDescent="0.3">
      <c r="A45" s="31" t="s">
        <v>97</v>
      </c>
      <c r="B45" s="33">
        <v>45138</v>
      </c>
      <c r="C45" s="33">
        <v>45147</v>
      </c>
      <c r="D45" s="54" t="s">
        <v>866</v>
      </c>
      <c r="E45" s="38" t="s">
        <v>1514</v>
      </c>
      <c r="F45" s="40" t="s">
        <v>1519</v>
      </c>
      <c r="G45" s="40" t="s">
        <v>1522</v>
      </c>
      <c r="H45" s="40" t="s">
        <v>1527</v>
      </c>
      <c r="I45" s="40" t="s">
        <v>1616</v>
      </c>
      <c r="J45" s="46">
        <v>4756.84</v>
      </c>
      <c r="K45" s="3">
        <v>3</v>
      </c>
      <c r="L45" s="43">
        <v>0.05</v>
      </c>
      <c r="M45" s="48">
        <v>-385.25</v>
      </c>
      <c r="N45" s="48" t="str">
        <f>IF(Table3[[#This Row],[Profit]]&lt;0,"Loss","Profit")</f>
        <v>Loss</v>
      </c>
    </row>
    <row r="46" spans="1:14" ht="15.6" x14ac:dyDescent="0.3">
      <c r="A46" s="31" t="s">
        <v>432</v>
      </c>
      <c r="B46" s="33">
        <v>45141</v>
      </c>
      <c r="C46" s="33">
        <v>45150</v>
      </c>
      <c r="D46" s="54" t="s">
        <v>1189</v>
      </c>
      <c r="E46" s="38" t="s">
        <v>1515</v>
      </c>
      <c r="F46" s="40" t="s">
        <v>1518</v>
      </c>
      <c r="G46" s="40" t="s">
        <v>1520</v>
      </c>
      <c r="H46" s="40" t="s">
        <v>1523</v>
      </c>
      <c r="I46" s="40" t="s">
        <v>1938</v>
      </c>
      <c r="J46" s="46">
        <v>351.87</v>
      </c>
      <c r="K46" s="3">
        <v>7</v>
      </c>
      <c r="L46" s="43">
        <v>0.2</v>
      </c>
      <c r="M46" s="48">
        <v>10.64</v>
      </c>
      <c r="N46" s="48" t="str">
        <f>IF(Table3[[#This Row],[Profit]]&lt;0,"Loss","Profit")</f>
        <v>Profit</v>
      </c>
    </row>
    <row r="47" spans="1:14" ht="15.6" x14ac:dyDescent="0.3">
      <c r="A47" s="31" t="s">
        <v>272</v>
      </c>
      <c r="B47" s="33">
        <v>45142</v>
      </c>
      <c r="C47" s="33">
        <v>45152</v>
      </c>
      <c r="D47" s="54" t="s">
        <v>1035</v>
      </c>
      <c r="E47" s="38" t="s">
        <v>1515</v>
      </c>
      <c r="F47" s="40" t="s">
        <v>1519</v>
      </c>
      <c r="G47" s="40" t="s">
        <v>1522</v>
      </c>
      <c r="H47" s="40" t="s">
        <v>1527</v>
      </c>
      <c r="I47" s="40" t="s">
        <v>1788</v>
      </c>
      <c r="J47" s="46">
        <v>4372.0200000000004</v>
      </c>
      <c r="K47" s="3">
        <v>2</v>
      </c>
      <c r="L47" s="43">
        <v>0.2</v>
      </c>
      <c r="M47" s="48">
        <v>199.85</v>
      </c>
      <c r="N47" s="48" t="str">
        <f>IF(Table3[[#This Row],[Profit]]&lt;0,"Loss","Profit")</f>
        <v>Profit</v>
      </c>
    </row>
    <row r="48" spans="1:14" ht="15.6" x14ac:dyDescent="0.3">
      <c r="A48" s="31" t="s">
        <v>418</v>
      </c>
      <c r="B48" s="33">
        <v>45150</v>
      </c>
      <c r="C48" s="33">
        <v>45152</v>
      </c>
      <c r="D48" s="54" t="s">
        <v>1175</v>
      </c>
      <c r="E48" s="38" t="s">
        <v>1513</v>
      </c>
      <c r="F48" s="40" t="s">
        <v>1519</v>
      </c>
      <c r="G48" s="40" t="s">
        <v>1522</v>
      </c>
      <c r="H48" s="40" t="s">
        <v>1529</v>
      </c>
      <c r="I48" s="40" t="s">
        <v>1926</v>
      </c>
      <c r="J48" s="46">
        <v>1228.08</v>
      </c>
      <c r="K48" s="3">
        <v>6</v>
      </c>
      <c r="L48" s="43">
        <v>0.05</v>
      </c>
      <c r="M48" s="48">
        <v>184.09</v>
      </c>
      <c r="N48" s="48" t="str">
        <f>IF(Table3[[#This Row],[Profit]]&lt;0,"Loss","Profit")</f>
        <v>Profit</v>
      </c>
    </row>
    <row r="49" spans="1:14" ht="15.6" x14ac:dyDescent="0.3">
      <c r="A49" s="31" t="s">
        <v>81</v>
      </c>
      <c r="B49" s="33">
        <v>45148</v>
      </c>
      <c r="C49" s="33">
        <v>45154</v>
      </c>
      <c r="D49" s="54" t="s">
        <v>850</v>
      </c>
      <c r="E49" s="38" t="s">
        <v>1514</v>
      </c>
      <c r="F49" s="40" t="s">
        <v>1519</v>
      </c>
      <c r="G49" s="40" t="s">
        <v>1521</v>
      </c>
      <c r="H49" s="40" t="s">
        <v>1526</v>
      </c>
      <c r="I49" s="40" t="s">
        <v>1600</v>
      </c>
      <c r="J49" s="46">
        <v>3818.09</v>
      </c>
      <c r="K49" s="3">
        <v>7</v>
      </c>
      <c r="L49" s="43">
        <v>0.1</v>
      </c>
      <c r="M49" s="48">
        <v>815.56</v>
      </c>
      <c r="N49" s="48" t="str">
        <f>IF(Table3[[#This Row],[Profit]]&lt;0,"Loss","Profit")</f>
        <v>Profit</v>
      </c>
    </row>
    <row r="50" spans="1:14" ht="15.6" x14ac:dyDescent="0.3">
      <c r="A50" s="31" t="s">
        <v>137</v>
      </c>
      <c r="B50" s="33">
        <v>45147</v>
      </c>
      <c r="C50" s="33">
        <v>45155</v>
      </c>
      <c r="D50" s="54" t="s">
        <v>905</v>
      </c>
      <c r="E50" s="38" t="s">
        <v>1514</v>
      </c>
      <c r="F50" s="40" t="s">
        <v>1517</v>
      </c>
      <c r="G50" s="40" t="s">
        <v>1520</v>
      </c>
      <c r="H50" s="40" t="s">
        <v>1525</v>
      </c>
      <c r="I50" s="40" t="s">
        <v>1655</v>
      </c>
      <c r="J50" s="46">
        <v>4172.55</v>
      </c>
      <c r="K50" s="3">
        <v>5</v>
      </c>
      <c r="L50" s="43">
        <v>0.05</v>
      </c>
      <c r="M50" s="48">
        <v>558.64</v>
      </c>
      <c r="N50" s="48" t="str">
        <f>IF(Table3[[#This Row],[Profit]]&lt;0,"Loss","Profit")</f>
        <v>Profit</v>
      </c>
    </row>
    <row r="51" spans="1:14" ht="15.6" x14ac:dyDescent="0.3">
      <c r="A51" s="31" t="s">
        <v>210</v>
      </c>
      <c r="B51" s="33">
        <v>45147</v>
      </c>
      <c r="C51" s="33">
        <v>45156</v>
      </c>
      <c r="D51" s="54" t="s">
        <v>975</v>
      </c>
      <c r="E51" s="38" t="s">
        <v>1514</v>
      </c>
      <c r="F51" s="40" t="s">
        <v>1516</v>
      </c>
      <c r="G51" s="40" t="s">
        <v>1520</v>
      </c>
      <c r="H51" s="40" t="s">
        <v>1524</v>
      </c>
      <c r="I51" s="40" t="s">
        <v>1727</v>
      </c>
      <c r="J51" s="46">
        <v>2393.33</v>
      </c>
      <c r="K51" s="3">
        <v>1</v>
      </c>
      <c r="L51" s="43">
        <v>0.2</v>
      </c>
      <c r="M51" s="48">
        <v>-227.11</v>
      </c>
      <c r="N51" s="48" t="str">
        <f>IF(Table3[[#This Row],[Profit]]&lt;0,"Loss","Profit")</f>
        <v>Loss</v>
      </c>
    </row>
    <row r="52" spans="1:14" ht="15.6" x14ac:dyDescent="0.3">
      <c r="A52" s="31" t="s">
        <v>401</v>
      </c>
      <c r="B52" s="33">
        <v>45152</v>
      </c>
      <c r="C52" s="33">
        <v>45160</v>
      </c>
      <c r="D52" s="54" t="s">
        <v>1159</v>
      </c>
      <c r="E52" s="38" t="s">
        <v>1513</v>
      </c>
      <c r="F52" s="40" t="s">
        <v>1519</v>
      </c>
      <c r="G52" s="40" t="s">
        <v>1520</v>
      </c>
      <c r="H52" s="40" t="s">
        <v>1524</v>
      </c>
      <c r="I52" s="40" t="s">
        <v>1910</v>
      </c>
      <c r="J52" s="46">
        <v>195.94</v>
      </c>
      <c r="K52" s="3">
        <v>7</v>
      </c>
      <c r="L52" s="43">
        <v>0.05</v>
      </c>
      <c r="M52" s="48">
        <v>-1.04</v>
      </c>
      <c r="N52" s="48" t="str">
        <f>IF(Table3[[#This Row],[Profit]]&lt;0,"Loss","Profit")</f>
        <v>Loss</v>
      </c>
    </row>
    <row r="53" spans="1:14" ht="15.6" x14ac:dyDescent="0.3">
      <c r="A53" s="31" t="s">
        <v>512</v>
      </c>
      <c r="B53" s="33">
        <v>45154</v>
      </c>
      <c r="C53" s="33">
        <v>45161</v>
      </c>
      <c r="D53" s="54" t="s">
        <v>1268</v>
      </c>
      <c r="E53" s="38" t="s">
        <v>1514</v>
      </c>
      <c r="F53" s="40" t="s">
        <v>1516</v>
      </c>
      <c r="G53" s="40" t="s">
        <v>1521</v>
      </c>
      <c r="H53" s="40" t="s">
        <v>1530</v>
      </c>
      <c r="I53" s="40" t="s">
        <v>1590</v>
      </c>
      <c r="J53" s="46">
        <v>1431.61</v>
      </c>
      <c r="K53" s="3">
        <v>5</v>
      </c>
      <c r="L53" s="43">
        <v>0.05</v>
      </c>
      <c r="M53" s="48">
        <v>-159.61000000000001</v>
      </c>
      <c r="N53" s="48" t="str">
        <f>IF(Table3[[#This Row],[Profit]]&lt;0,"Loss","Profit")</f>
        <v>Loss</v>
      </c>
    </row>
    <row r="54" spans="1:14" ht="15.6" x14ac:dyDescent="0.3">
      <c r="A54" s="31" t="s">
        <v>294</v>
      </c>
      <c r="B54" s="33">
        <v>45157</v>
      </c>
      <c r="C54" s="33">
        <v>45161</v>
      </c>
      <c r="D54" s="36" t="s">
        <v>2257</v>
      </c>
      <c r="E54" s="38" t="s">
        <v>1514</v>
      </c>
      <c r="F54" s="40" t="s">
        <v>1518</v>
      </c>
      <c r="G54" s="40" t="s">
        <v>1520</v>
      </c>
      <c r="H54" s="40" t="s">
        <v>1525</v>
      </c>
      <c r="I54" s="40" t="s">
        <v>1808</v>
      </c>
      <c r="J54" s="46">
        <v>2013.33</v>
      </c>
      <c r="K54" s="3">
        <v>4</v>
      </c>
      <c r="L54" s="43">
        <v>0.2</v>
      </c>
      <c r="M54" s="48">
        <v>-46.53</v>
      </c>
      <c r="N54" s="48" t="str">
        <f>IF(Table3[[#This Row],[Profit]]&lt;0,"Loss","Profit")</f>
        <v>Loss</v>
      </c>
    </row>
    <row r="55" spans="1:14" ht="15.6" x14ac:dyDescent="0.3">
      <c r="A55" s="31" t="s">
        <v>395</v>
      </c>
      <c r="B55" s="33">
        <v>45152</v>
      </c>
      <c r="C55" s="33">
        <v>45162</v>
      </c>
      <c r="D55" s="54" t="s">
        <v>1153</v>
      </c>
      <c r="E55" s="38" t="s">
        <v>1513</v>
      </c>
      <c r="F55" s="40" t="s">
        <v>1519</v>
      </c>
      <c r="G55" s="40" t="s">
        <v>1520</v>
      </c>
      <c r="H55" s="40" t="s">
        <v>1525</v>
      </c>
      <c r="I55" s="40" t="s">
        <v>1905</v>
      </c>
      <c r="J55" s="46">
        <v>249.63</v>
      </c>
      <c r="K55" s="3">
        <v>6</v>
      </c>
      <c r="L55" s="43">
        <v>0.05</v>
      </c>
      <c r="M55" s="48">
        <v>-37.4</v>
      </c>
      <c r="N55" s="48" t="str">
        <f>IF(Table3[[#This Row],[Profit]]&lt;0,"Loss","Profit")</f>
        <v>Loss</v>
      </c>
    </row>
    <row r="56" spans="1:14" ht="15.6" x14ac:dyDescent="0.3">
      <c r="A56" s="31" t="s">
        <v>508</v>
      </c>
      <c r="B56" s="33">
        <v>45155</v>
      </c>
      <c r="C56" s="33">
        <v>45164</v>
      </c>
      <c r="D56" s="54" t="s">
        <v>1264</v>
      </c>
      <c r="E56" s="38" t="s">
        <v>1515</v>
      </c>
      <c r="F56" s="40" t="s">
        <v>1516</v>
      </c>
      <c r="G56" s="40" t="s">
        <v>1520</v>
      </c>
      <c r="H56" s="40" t="s">
        <v>1525</v>
      </c>
      <c r="I56" s="40" t="s">
        <v>2011</v>
      </c>
      <c r="J56" s="46">
        <v>1974.99</v>
      </c>
      <c r="K56" s="3">
        <v>9</v>
      </c>
      <c r="L56" s="43">
        <v>0.2</v>
      </c>
      <c r="M56" s="48">
        <v>-82.55</v>
      </c>
      <c r="N56" s="48" t="str">
        <f>IF(Table3[[#This Row],[Profit]]&lt;0,"Loss","Profit")</f>
        <v>Loss</v>
      </c>
    </row>
    <row r="57" spans="1:14" ht="15.6" x14ac:dyDescent="0.3">
      <c r="A57" s="31" t="s">
        <v>597</v>
      </c>
      <c r="B57" s="33">
        <v>45157</v>
      </c>
      <c r="C57" s="33">
        <v>45164</v>
      </c>
      <c r="D57" s="54" t="s">
        <v>1351</v>
      </c>
      <c r="E57" s="38" t="s">
        <v>1515</v>
      </c>
      <c r="F57" s="40" t="s">
        <v>1518</v>
      </c>
      <c r="G57" s="40" t="s">
        <v>1520</v>
      </c>
      <c r="H57" s="40" t="s">
        <v>1525</v>
      </c>
      <c r="I57" s="40" t="s">
        <v>2095</v>
      </c>
      <c r="J57" s="46">
        <v>1392.68</v>
      </c>
      <c r="K57" s="3">
        <v>8</v>
      </c>
      <c r="L57" s="43">
        <v>0.1</v>
      </c>
      <c r="M57" s="48">
        <v>294.33</v>
      </c>
      <c r="N57" s="48" t="str">
        <f>IF(Table3[[#This Row],[Profit]]&lt;0,"Loss","Profit")</f>
        <v>Profit</v>
      </c>
    </row>
    <row r="58" spans="1:14" ht="15.6" x14ac:dyDescent="0.3">
      <c r="A58" s="31" t="s">
        <v>468</v>
      </c>
      <c r="B58" s="33">
        <v>45159</v>
      </c>
      <c r="C58" s="33">
        <v>45164</v>
      </c>
      <c r="D58" s="54" t="s">
        <v>1225</v>
      </c>
      <c r="E58" s="38" t="s">
        <v>1515</v>
      </c>
      <c r="F58" s="40" t="s">
        <v>1519</v>
      </c>
      <c r="G58" s="40" t="s">
        <v>1522</v>
      </c>
      <c r="H58" s="40" t="s">
        <v>1531</v>
      </c>
      <c r="I58" s="40" t="s">
        <v>1972</v>
      </c>
      <c r="J58" s="46">
        <v>4744.8900000000003</v>
      </c>
      <c r="K58" s="3">
        <v>8</v>
      </c>
      <c r="L58" s="43">
        <v>0.2</v>
      </c>
      <c r="M58" s="48">
        <v>408.81</v>
      </c>
      <c r="N58" s="48" t="str">
        <f>IF(Table3[[#This Row],[Profit]]&lt;0,"Loss","Profit")</f>
        <v>Profit</v>
      </c>
    </row>
    <row r="59" spans="1:14" ht="15.6" x14ac:dyDescent="0.3">
      <c r="A59" s="31" t="s">
        <v>167</v>
      </c>
      <c r="B59" s="33">
        <v>45159</v>
      </c>
      <c r="C59" s="33">
        <v>45168</v>
      </c>
      <c r="D59" s="54" t="s">
        <v>934</v>
      </c>
      <c r="E59" s="38" t="s">
        <v>1514</v>
      </c>
      <c r="F59" s="40" t="s">
        <v>1519</v>
      </c>
      <c r="G59" s="40" t="s">
        <v>1522</v>
      </c>
      <c r="H59" s="40" t="s">
        <v>1527</v>
      </c>
      <c r="I59" s="40" t="s">
        <v>1685</v>
      </c>
      <c r="J59" s="46">
        <v>1114.9100000000001</v>
      </c>
      <c r="K59" s="3">
        <v>7</v>
      </c>
      <c r="L59" s="43">
        <v>0.15</v>
      </c>
      <c r="M59" s="48">
        <v>-13.94</v>
      </c>
      <c r="N59" s="48" t="str">
        <f>IF(Table3[[#This Row],[Profit]]&lt;0,"Loss","Profit")</f>
        <v>Loss</v>
      </c>
    </row>
    <row r="60" spans="1:14" ht="15.6" x14ac:dyDescent="0.3">
      <c r="A60" s="31" t="s">
        <v>548</v>
      </c>
      <c r="B60" s="33">
        <v>45165</v>
      </c>
      <c r="C60" s="33">
        <v>45171</v>
      </c>
      <c r="D60" s="54" t="s">
        <v>1302</v>
      </c>
      <c r="E60" s="38" t="s">
        <v>1514</v>
      </c>
      <c r="F60" s="40" t="s">
        <v>1516</v>
      </c>
      <c r="G60" s="40" t="s">
        <v>1522</v>
      </c>
      <c r="H60" s="40" t="s">
        <v>1531</v>
      </c>
      <c r="I60" s="40" t="s">
        <v>2048</v>
      </c>
      <c r="J60" s="46">
        <v>3030</v>
      </c>
      <c r="K60" s="3">
        <v>2</v>
      </c>
      <c r="L60" s="43">
        <v>0.2</v>
      </c>
      <c r="M60" s="48">
        <v>-222.13</v>
      </c>
      <c r="N60" s="48" t="str">
        <f>IF(Table3[[#This Row],[Profit]]&lt;0,"Loss","Profit")</f>
        <v>Loss</v>
      </c>
    </row>
    <row r="61" spans="1:14" ht="15.6" x14ac:dyDescent="0.3">
      <c r="A61" s="31" t="s">
        <v>651</v>
      </c>
      <c r="B61" s="33">
        <v>45168</v>
      </c>
      <c r="C61" s="33">
        <v>45171</v>
      </c>
      <c r="D61" s="54" t="s">
        <v>1404</v>
      </c>
      <c r="E61" s="38" t="s">
        <v>1514</v>
      </c>
      <c r="F61" s="40" t="s">
        <v>1517</v>
      </c>
      <c r="G61" s="40" t="s">
        <v>1520</v>
      </c>
      <c r="H61" s="40" t="s">
        <v>1524</v>
      </c>
      <c r="I61" s="40" t="s">
        <v>2147</v>
      </c>
      <c r="J61" s="46">
        <v>3822.06</v>
      </c>
      <c r="K61" s="3">
        <v>8</v>
      </c>
      <c r="L61" s="43">
        <v>0.2</v>
      </c>
      <c r="M61" s="48">
        <v>-347.96</v>
      </c>
      <c r="N61" s="48" t="str">
        <f>IF(Table3[[#This Row],[Profit]]&lt;0,"Loss","Profit")</f>
        <v>Loss</v>
      </c>
    </row>
    <row r="62" spans="1:14" ht="15.6" x14ac:dyDescent="0.3">
      <c r="A62" s="31" t="s">
        <v>370</v>
      </c>
      <c r="B62" s="33">
        <v>45168</v>
      </c>
      <c r="C62" s="33">
        <v>45172</v>
      </c>
      <c r="D62" s="54" t="s">
        <v>2257</v>
      </c>
      <c r="E62" s="38" t="s">
        <v>1515</v>
      </c>
      <c r="F62" s="40" t="s">
        <v>1516</v>
      </c>
      <c r="G62" s="40" t="s">
        <v>1520</v>
      </c>
      <c r="H62" s="40" t="s">
        <v>1523</v>
      </c>
      <c r="I62" s="40" t="s">
        <v>1881</v>
      </c>
      <c r="J62" s="46">
        <v>2499.69</v>
      </c>
      <c r="K62" s="3">
        <v>2</v>
      </c>
      <c r="L62" s="43">
        <v>0.05</v>
      </c>
      <c r="M62" s="48">
        <v>186.9</v>
      </c>
      <c r="N62" s="48" t="str">
        <f>IF(Table3[[#This Row],[Profit]]&lt;0,"Loss","Profit")</f>
        <v>Profit</v>
      </c>
    </row>
    <row r="63" spans="1:14" ht="15.6" x14ac:dyDescent="0.3">
      <c r="A63" s="31" t="s">
        <v>634</v>
      </c>
      <c r="B63" s="33">
        <v>45168</v>
      </c>
      <c r="C63" s="33">
        <v>45172</v>
      </c>
      <c r="D63" s="54" t="s">
        <v>1388</v>
      </c>
      <c r="E63" s="38" t="s">
        <v>1515</v>
      </c>
      <c r="F63" s="40" t="s">
        <v>1518</v>
      </c>
      <c r="G63" s="40" t="s">
        <v>1521</v>
      </c>
      <c r="H63" s="40" t="s">
        <v>1530</v>
      </c>
      <c r="I63" s="40" t="s">
        <v>2130</v>
      </c>
      <c r="J63" s="46">
        <v>4804.8999999999996</v>
      </c>
      <c r="K63" s="3">
        <v>2</v>
      </c>
      <c r="L63" s="43">
        <v>0</v>
      </c>
      <c r="M63" s="48">
        <v>955.43</v>
      </c>
      <c r="N63" s="48" t="str">
        <f>IF(Table3[[#This Row],[Profit]]&lt;0,"Loss","Profit")</f>
        <v>Profit</v>
      </c>
    </row>
    <row r="64" spans="1:14" ht="15.6" x14ac:dyDescent="0.3">
      <c r="A64" s="31" t="s">
        <v>120</v>
      </c>
      <c r="B64" s="33">
        <v>45169</v>
      </c>
      <c r="C64" s="33">
        <v>45174</v>
      </c>
      <c r="D64" s="54" t="s">
        <v>888</v>
      </c>
      <c r="E64" s="38" t="s">
        <v>1515</v>
      </c>
      <c r="F64" s="40" t="s">
        <v>1517</v>
      </c>
      <c r="G64" s="40" t="s">
        <v>1520</v>
      </c>
      <c r="H64" s="40" t="s">
        <v>1525</v>
      </c>
      <c r="I64" s="40" t="s">
        <v>1638</v>
      </c>
      <c r="J64" s="46">
        <v>2106.6799999999998</v>
      </c>
      <c r="K64" s="3">
        <v>8</v>
      </c>
      <c r="L64" s="43">
        <v>0.15</v>
      </c>
      <c r="M64" s="48">
        <v>-138.93</v>
      </c>
      <c r="N64" s="48" t="str">
        <f>IF(Table3[[#This Row],[Profit]]&lt;0,"Loss","Profit")</f>
        <v>Loss</v>
      </c>
    </row>
    <row r="65" spans="1:14" ht="15.6" x14ac:dyDescent="0.3">
      <c r="A65" s="31" t="s">
        <v>127</v>
      </c>
      <c r="B65" s="33">
        <v>45169</v>
      </c>
      <c r="C65" s="33">
        <v>45174</v>
      </c>
      <c r="D65" s="54" t="s">
        <v>895</v>
      </c>
      <c r="E65" s="38" t="s">
        <v>1514</v>
      </c>
      <c r="F65" s="40" t="s">
        <v>1518</v>
      </c>
      <c r="G65" s="40" t="s">
        <v>1522</v>
      </c>
      <c r="H65" s="40" t="s">
        <v>1529</v>
      </c>
      <c r="I65" s="40" t="s">
        <v>1645</v>
      </c>
      <c r="J65" s="46">
        <v>1725.88</v>
      </c>
      <c r="K65" s="3">
        <v>7</v>
      </c>
      <c r="L65" s="43">
        <v>0.2</v>
      </c>
      <c r="M65" s="48">
        <v>-268.94</v>
      </c>
      <c r="N65" s="48" t="str">
        <f>IF(Table3[[#This Row],[Profit]]&lt;0,"Loss","Profit")</f>
        <v>Loss</v>
      </c>
    </row>
    <row r="66" spans="1:14" ht="15.6" x14ac:dyDescent="0.3">
      <c r="A66" s="31" t="s">
        <v>611</v>
      </c>
      <c r="B66" s="33">
        <v>45174</v>
      </c>
      <c r="C66" s="33">
        <v>45175</v>
      </c>
      <c r="D66" s="54" t="s">
        <v>1365</v>
      </c>
      <c r="E66" s="38" t="s">
        <v>1513</v>
      </c>
      <c r="F66" s="40" t="s">
        <v>1519</v>
      </c>
      <c r="G66" s="40" t="s">
        <v>1522</v>
      </c>
      <c r="H66" s="40" t="s">
        <v>1529</v>
      </c>
      <c r="I66" s="40" t="s">
        <v>2109</v>
      </c>
      <c r="J66" s="46">
        <v>803.14</v>
      </c>
      <c r="K66" s="3">
        <v>9</v>
      </c>
      <c r="L66" s="43">
        <v>0</v>
      </c>
      <c r="M66" s="48">
        <v>-78.489999999999995</v>
      </c>
      <c r="N66" s="48" t="str">
        <f>IF(Table3[[#This Row],[Profit]]&lt;0,"Loss","Profit")</f>
        <v>Loss</v>
      </c>
    </row>
    <row r="67" spans="1:14" ht="15.6" x14ac:dyDescent="0.3">
      <c r="A67" s="31" t="s">
        <v>459</v>
      </c>
      <c r="B67" s="33">
        <v>45173</v>
      </c>
      <c r="C67" s="33">
        <v>45177</v>
      </c>
      <c r="D67" s="54" t="s">
        <v>1216</v>
      </c>
      <c r="E67" s="38" t="s">
        <v>1514</v>
      </c>
      <c r="F67" s="40" t="s">
        <v>1519</v>
      </c>
      <c r="G67" s="40" t="s">
        <v>1520</v>
      </c>
      <c r="H67" s="40" t="s">
        <v>1523</v>
      </c>
      <c r="I67" s="40" t="s">
        <v>1964</v>
      </c>
      <c r="J67" s="46">
        <v>1808.65</v>
      </c>
      <c r="K67" s="3">
        <v>5</v>
      </c>
      <c r="L67" s="43">
        <v>0.15</v>
      </c>
      <c r="M67" s="48">
        <v>422.23</v>
      </c>
      <c r="N67" s="48" t="str">
        <f>IF(Table3[[#This Row],[Profit]]&lt;0,"Loss","Profit")</f>
        <v>Profit</v>
      </c>
    </row>
    <row r="68" spans="1:14" ht="15.6" x14ac:dyDescent="0.3">
      <c r="A68" s="31" t="s">
        <v>13</v>
      </c>
      <c r="B68" s="33">
        <v>45177</v>
      </c>
      <c r="C68" s="33">
        <v>45178</v>
      </c>
      <c r="D68" s="54" t="s">
        <v>782</v>
      </c>
      <c r="E68" s="38" t="s">
        <v>1513</v>
      </c>
      <c r="F68" s="40" t="s">
        <v>1516</v>
      </c>
      <c r="G68" s="40" t="s">
        <v>1520</v>
      </c>
      <c r="H68" s="40" t="s">
        <v>1523</v>
      </c>
      <c r="I68" s="40" t="s">
        <v>1532</v>
      </c>
      <c r="J68" s="46">
        <v>3720.67</v>
      </c>
      <c r="K68" s="3">
        <v>4</v>
      </c>
      <c r="L68" s="43">
        <v>0.05</v>
      </c>
      <c r="M68" s="48">
        <v>-458.59</v>
      </c>
      <c r="N68" s="48" t="str">
        <f>IF(Table3[[#This Row],[Profit]]&lt;0,"Loss","Profit")</f>
        <v>Loss</v>
      </c>
    </row>
    <row r="69" spans="1:14" ht="15.6" x14ac:dyDescent="0.3">
      <c r="A69" s="31" t="s">
        <v>599</v>
      </c>
      <c r="B69" s="33">
        <v>45173</v>
      </c>
      <c r="C69" s="33">
        <v>45180</v>
      </c>
      <c r="D69" s="54" t="s">
        <v>1353</v>
      </c>
      <c r="E69" s="38" t="s">
        <v>1513</v>
      </c>
      <c r="F69" s="40" t="s">
        <v>1518</v>
      </c>
      <c r="G69" s="40" t="s">
        <v>1522</v>
      </c>
      <c r="H69" s="40" t="s">
        <v>1531</v>
      </c>
      <c r="I69" s="40" t="s">
        <v>2097</v>
      </c>
      <c r="J69" s="46">
        <v>559.9</v>
      </c>
      <c r="K69" s="3">
        <v>2</v>
      </c>
      <c r="L69" s="43">
        <v>0.15</v>
      </c>
      <c r="M69" s="48">
        <v>56.91</v>
      </c>
      <c r="N69" s="48" t="str">
        <f>IF(Table3[[#This Row],[Profit]]&lt;0,"Loss","Profit")</f>
        <v>Profit</v>
      </c>
    </row>
    <row r="70" spans="1:14" ht="15.6" x14ac:dyDescent="0.3">
      <c r="A70" s="31" t="s">
        <v>250</v>
      </c>
      <c r="B70" s="33">
        <v>45179</v>
      </c>
      <c r="C70" s="33">
        <v>45180</v>
      </c>
      <c r="D70" s="54" t="s">
        <v>1014</v>
      </c>
      <c r="E70" s="38" t="s">
        <v>1514</v>
      </c>
      <c r="F70" s="40" t="s">
        <v>1518</v>
      </c>
      <c r="G70" s="40" t="s">
        <v>1520</v>
      </c>
      <c r="H70" s="40" t="s">
        <v>1523</v>
      </c>
      <c r="I70" s="40" t="s">
        <v>1766</v>
      </c>
      <c r="J70" s="46">
        <v>2884.22</v>
      </c>
      <c r="K70" s="3">
        <v>2</v>
      </c>
      <c r="L70" s="43">
        <v>0.05</v>
      </c>
      <c r="M70" s="48">
        <v>-546.79999999999995</v>
      </c>
      <c r="N70" s="48" t="str">
        <f>IF(Table3[[#This Row],[Profit]]&lt;0,"Loss","Profit")</f>
        <v>Loss</v>
      </c>
    </row>
    <row r="71" spans="1:14" ht="15.6" x14ac:dyDescent="0.3">
      <c r="A71" s="31" t="s">
        <v>295</v>
      </c>
      <c r="B71" s="33">
        <v>45176</v>
      </c>
      <c r="C71" s="33">
        <v>45182</v>
      </c>
      <c r="D71" s="54" t="s">
        <v>1057</v>
      </c>
      <c r="E71" s="38" t="s">
        <v>1515</v>
      </c>
      <c r="F71" s="40" t="s">
        <v>1516</v>
      </c>
      <c r="G71" s="40" t="s">
        <v>1521</v>
      </c>
      <c r="H71" s="40" t="s">
        <v>1528</v>
      </c>
      <c r="I71" s="40" t="s">
        <v>1809</v>
      </c>
      <c r="J71" s="46">
        <v>1576.69</v>
      </c>
      <c r="K71" s="3">
        <v>6</v>
      </c>
      <c r="L71" s="43">
        <v>0.2</v>
      </c>
      <c r="M71" s="48">
        <v>450.22</v>
      </c>
      <c r="N71" s="48" t="str">
        <f>IF(Table3[[#This Row],[Profit]]&lt;0,"Loss","Profit")</f>
        <v>Profit</v>
      </c>
    </row>
    <row r="72" spans="1:14" ht="15.6" x14ac:dyDescent="0.3">
      <c r="A72" s="31" t="s">
        <v>584</v>
      </c>
      <c r="B72" s="33">
        <v>45174</v>
      </c>
      <c r="C72" s="33">
        <v>45183</v>
      </c>
      <c r="D72" s="54" t="s">
        <v>1338</v>
      </c>
      <c r="E72" s="38" t="s">
        <v>1514</v>
      </c>
      <c r="F72" s="40" t="s">
        <v>1516</v>
      </c>
      <c r="G72" s="40" t="s">
        <v>1521</v>
      </c>
      <c r="H72" s="40" t="s">
        <v>1530</v>
      </c>
      <c r="I72" s="40" t="s">
        <v>2083</v>
      </c>
      <c r="J72" s="46">
        <v>2327.35</v>
      </c>
      <c r="K72" s="3">
        <v>1</v>
      </c>
      <c r="L72" s="43">
        <v>0</v>
      </c>
      <c r="M72" s="48">
        <v>397.41</v>
      </c>
      <c r="N72" s="48" t="str">
        <f>IF(Table3[[#This Row],[Profit]]&lt;0,"Loss","Profit")</f>
        <v>Profit</v>
      </c>
    </row>
    <row r="73" spans="1:14" ht="15.6" x14ac:dyDescent="0.3">
      <c r="A73" s="31" t="s">
        <v>381</v>
      </c>
      <c r="B73" s="33">
        <v>45183</v>
      </c>
      <c r="C73" s="33">
        <v>45185</v>
      </c>
      <c r="D73" s="54" t="s">
        <v>1139</v>
      </c>
      <c r="E73" s="38" t="s">
        <v>1513</v>
      </c>
      <c r="F73" s="40" t="s">
        <v>1517</v>
      </c>
      <c r="G73" s="40" t="s">
        <v>1522</v>
      </c>
      <c r="H73" s="40" t="s">
        <v>1527</v>
      </c>
      <c r="I73" s="40" t="s">
        <v>1891</v>
      </c>
      <c r="J73" s="46">
        <v>1180.5999999999999</v>
      </c>
      <c r="K73" s="3">
        <v>9</v>
      </c>
      <c r="L73" s="43">
        <v>0</v>
      </c>
      <c r="M73" s="48">
        <v>-207.52</v>
      </c>
      <c r="N73" s="48" t="str">
        <f>IF(Table3[[#This Row],[Profit]]&lt;0,"Loss","Profit")</f>
        <v>Loss</v>
      </c>
    </row>
    <row r="74" spans="1:14" ht="15.6" x14ac:dyDescent="0.3">
      <c r="A74" s="31" t="s">
        <v>199</v>
      </c>
      <c r="B74" s="33" t="s">
        <v>768</v>
      </c>
      <c r="C74" s="33">
        <v>45185</v>
      </c>
      <c r="D74" s="54" t="s">
        <v>964</v>
      </c>
      <c r="E74" s="38" t="s">
        <v>1513</v>
      </c>
      <c r="F74" s="40" t="s">
        <v>1517</v>
      </c>
      <c r="G74" s="40" t="s">
        <v>1521</v>
      </c>
      <c r="H74" s="40" t="s">
        <v>1530</v>
      </c>
      <c r="I74" s="40" t="s">
        <v>1716</v>
      </c>
      <c r="J74" s="46">
        <v>1627.49</v>
      </c>
      <c r="K74" s="3">
        <v>2</v>
      </c>
      <c r="L74" s="43">
        <v>0.2</v>
      </c>
      <c r="M74" s="48">
        <v>256.29000000000002</v>
      </c>
      <c r="N74" s="48" t="str">
        <f>IF(Table3[[#This Row],[Profit]]&lt;0,"Loss","Profit")</f>
        <v>Profit</v>
      </c>
    </row>
    <row r="75" spans="1:14" ht="15.6" x14ac:dyDescent="0.3">
      <c r="A75" s="31" t="s">
        <v>234</v>
      </c>
      <c r="B75" s="33">
        <v>45184</v>
      </c>
      <c r="C75" s="33">
        <v>45188</v>
      </c>
      <c r="D75" s="54" t="s">
        <v>998</v>
      </c>
      <c r="E75" s="38" t="s">
        <v>1514</v>
      </c>
      <c r="F75" s="40" t="s">
        <v>1519</v>
      </c>
      <c r="G75" s="40" t="s">
        <v>1521</v>
      </c>
      <c r="H75" s="40" t="s">
        <v>1526</v>
      </c>
      <c r="I75" s="40" t="s">
        <v>1750</v>
      </c>
      <c r="J75" s="46">
        <v>1733.95</v>
      </c>
      <c r="K75" s="3">
        <v>3</v>
      </c>
      <c r="L75" s="43">
        <v>0.1</v>
      </c>
      <c r="M75" s="48">
        <v>474.78</v>
      </c>
      <c r="N75" s="48" t="str">
        <f>IF(Table3[[#This Row],[Profit]]&lt;0,"Loss","Profit")</f>
        <v>Profit</v>
      </c>
    </row>
    <row r="76" spans="1:14" ht="15.6" x14ac:dyDescent="0.3">
      <c r="A76" s="31" t="s">
        <v>426</v>
      </c>
      <c r="B76" s="33">
        <v>45184</v>
      </c>
      <c r="C76" s="33">
        <v>45189</v>
      </c>
      <c r="D76" s="54" t="s">
        <v>1183</v>
      </c>
      <c r="E76" s="38" t="s">
        <v>1514</v>
      </c>
      <c r="F76" s="40" t="s">
        <v>1517</v>
      </c>
      <c r="G76" s="40" t="s">
        <v>1520</v>
      </c>
      <c r="H76" s="40" t="s">
        <v>1524</v>
      </c>
      <c r="I76" s="40" t="s">
        <v>1544</v>
      </c>
      <c r="J76" s="46">
        <v>1225.8599999999999</v>
      </c>
      <c r="K76" s="3">
        <v>1</v>
      </c>
      <c r="L76" s="43">
        <v>0.15</v>
      </c>
      <c r="M76" s="48">
        <v>140.33000000000001</v>
      </c>
      <c r="N76" s="48" t="str">
        <f>IF(Table3[[#This Row],[Profit]]&lt;0,"Loss","Profit")</f>
        <v>Profit</v>
      </c>
    </row>
    <row r="77" spans="1:14" ht="15.6" x14ac:dyDescent="0.3">
      <c r="A77" s="31" t="s">
        <v>299</v>
      </c>
      <c r="B77" s="33">
        <v>45182</v>
      </c>
      <c r="C77" s="33">
        <v>45190</v>
      </c>
      <c r="D77" s="54" t="s">
        <v>1061</v>
      </c>
      <c r="E77" s="38" t="s">
        <v>1515</v>
      </c>
      <c r="F77" s="40" t="s">
        <v>1518</v>
      </c>
      <c r="G77" s="40" t="s">
        <v>1521</v>
      </c>
      <c r="H77" s="40" t="s">
        <v>1526</v>
      </c>
      <c r="I77" s="40" t="s">
        <v>1812</v>
      </c>
      <c r="J77" s="46">
        <v>2331.1</v>
      </c>
      <c r="K77" s="3">
        <v>6</v>
      </c>
      <c r="L77" s="43">
        <v>0.05</v>
      </c>
      <c r="M77" s="48">
        <v>-286.77999999999997</v>
      </c>
      <c r="N77" s="48" t="str">
        <f>IF(Table3[[#This Row],[Profit]]&lt;0,"Loss","Profit")</f>
        <v>Loss</v>
      </c>
    </row>
    <row r="78" spans="1:14" ht="15.6" x14ac:dyDescent="0.3">
      <c r="A78" s="31" t="s">
        <v>344</v>
      </c>
      <c r="B78" s="33">
        <v>45184</v>
      </c>
      <c r="C78" s="33">
        <v>45192</v>
      </c>
      <c r="D78" s="54" t="s">
        <v>1104</v>
      </c>
      <c r="E78" s="38" t="s">
        <v>1515</v>
      </c>
      <c r="F78" s="40" t="s">
        <v>1516</v>
      </c>
      <c r="G78" s="40" t="s">
        <v>1520</v>
      </c>
      <c r="H78" s="40" t="s">
        <v>1523</v>
      </c>
      <c r="I78" s="40" t="s">
        <v>1855</v>
      </c>
      <c r="J78" s="46">
        <v>1479.73</v>
      </c>
      <c r="K78" s="3">
        <v>3</v>
      </c>
      <c r="L78" s="43">
        <v>0.1</v>
      </c>
      <c r="M78" s="48">
        <v>389.3</v>
      </c>
      <c r="N78" s="48" t="str">
        <f>IF(Table3[[#This Row],[Profit]]&lt;0,"Loss","Profit")</f>
        <v>Profit</v>
      </c>
    </row>
    <row r="79" spans="1:14" ht="15.6" x14ac:dyDescent="0.3">
      <c r="A79" s="31" t="s">
        <v>74</v>
      </c>
      <c r="B79" s="33">
        <v>45190</v>
      </c>
      <c r="C79" s="33">
        <v>45192</v>
      </c>
      <c r="D79" s="54" t="s">
        <v>843</v>
      </c>
      <c r="E79" s="38" t="s">
        <v>1515</v>
      </c>
      <c r="F79" s="40" t="s">
        <v>1517</v>
      </c>
      <c r="G79" s="40" t="s">
        <v>1521</v>
      </c>
      <c r="H79" s="40" t="s">
        <v>1528</v>
      </c>
      <c r="I79" s="40" t="s">
        <v>1593</v>
      </c>
      <c r="J79" s="46">
        <v>734.95</v>
      </c>
      <c r="K79" s="3">
        <v>4</v>
      </c>
      <c r="L79" s="43">
        <v>0.15</v>
      </c>
      <c r="M79" s="48">
        <v>133.52000000000001</v>
      </c>
      <c r="N79" s="48" t="str">
        <f>IF(Table3[[#This Row],[Profit]]&lt;0,"Loss","Profit")</f>
        <v>Profit</v>
      </c>
    </row>
    <row r="80" spans="1:14" ht="15.6" x14ac:dyDescent="0.3">
      <c r="A80" s="31" t="s">
        <v>282</v>
      </c>
      <c r="B80" s="33">
        <v>45191</v>
      </c>
      <c r="C80" s="33">
        <v>45193</v>
      </c>
      <c r="D80" s="54" t="s">
        <v>1045</v>
      </c>
      <c r="E80" s="38" t="s">
        <v>1513</v>
      </c>
      <c r="F80" s="40" t="s">
        <v>1517</v>
      </c>
      <c r="G80" s="40" t="s">
        <v>1521</v>
      </c>
      <c r="H80" s="40" t="s">
        <v>1530</v>
      </c>
      <c r="I80" s="40" t="s">
        <v>1797</v>
      </c>
      <c r="J80" s="46">
        <v>209.48</v>
      </c>
      <c r="K80" s="3">
        <v>7</v>
      </c>
      <c r="L80" s="43">
        <v>0.2</v>
      </c>
      <c r="M80" s="48">
        <v>46.36</v>
      </c>
      <c r="N80" s="48" t="str">
        <f>IF(Table3[[#This Row],[Profit]]&lt;0,"Loss","Profit")</f>
        <v>Profit</v>
      </c>
    </row>
    <row r="81" spans="1:14" ht="15.6" x14ac:dyDescent="0.3">
      <c r="A81" s="31" t="s">
        <v>89</v>
      </c>
      <c r="B81" s="33" t="s">
        <v>765</v>
      </c>
      <c r="C81" s="33">
        <v>45195</v>
      </c>
      <c r="D81" s="54" t="s">
        <v>858</v>
      </c>
      <c r="E81" s="38" t="s">
        <v>1515</v>
      </c>
      <c r="F81" s="40" t="s">
        <v>1518</v>
      </c>
      <c r="G81" s="40" t="s">
        <v>1521</v>
      </c>
      <c r="H81" s="40" t="s">
        <v>1530</v>
      </c>
      <c r="I81" s="40" t="s">
        <v>1608</v>
      </c>
      <c r="J81" s="46">
        <v>4829.09</v>
      </c>
      <c r="K81" s="3">
        <v>5</v>
      </c>
      <c r="L81" s="43">
        <v>0.2</v>
      </c>
      <c r="M81" s="48">
        <v>1180.76</v>
      </c>
      <c r="N81" s="48" t="str">
        <f>IF(Table3[[#This Row],[Profit]]&lt;0,"Loss","Profit")</f>
        <v>Profit</v>
      </c>
    </row>
    <row r="82" spans="1:14" ht="15.6" x14ac:dyDescent="0.3">
      <c r="A82" s="31" t="s">
        <v>371</v>
      </c>
      <c r="B82" s="33">
        <v>45191</v>
      </c>
      <c r="C82" s="33">
        <v>45197</v>
      </c>
      <c r="D82" s="54" t="s">
        <v>1129</v>
      </c>
      <c r="E82" s="38" t="s">
        <v>1515</v>
      </c>
      <c r="F82" s="40" t="s">
        <v>1518</v>
      </c>
      <c r="G82" s="40" t="s">
        <v>1520</v>
      </c>
      <c r="H82" s="40" t="s">
        <v>1523</v>
      </c>
      <c r="I82" s="40" t="s">
        <v>1882</v>
      </c>
      <c r="J82" s="46">
        <v>4672.93</v>
      </c>
      <c r="K82" s="3">
        <v>3</v>
      </c>
      <c r="L82" s="43">
        <v>0.15</v>
      </c>
      <c r="M82" s="48">
        <v>1277.8</v>
      </c>
      <c r="N82" s="48" t="str">
        <f>IF(Table3[[#This Row],[Profit]]&lt;0,"Loss","Profit")</f>
        <v>Profit</v>
      </c>
    </row>
    <row r="83" spans="1:14" ht="15.6" x14ac:dyDescent="0.3">
      <c r="A83" s="31" t="s">
        <v>263</v>
      </c>
      <c r="B83" s="33">
        <v>45194</v>
      </c>
      <c r="C83" s="33">
        <v>45199</v>
      </c>
      <c r="D83" s="54" t="s">
        <v>2257</v>
      </c>
      <c r="E83" s="38" t="s">
        <v>1515</v>
      </c>
      <c r="F83" s="40" t="s">
        <v>1518</v>
      </c>
      <c r="G83" s="40" t="s">
        <v>1522</v>
      </c>
      <c r="H83" s="40" t="s">
        <v>1531</v>
      </c>
      <c r="I83" s="40" t="s">
        <v>1779</v>
      </c>
      <c r="J83" s="46">
        <v>2861.41</v>
      </c>
      <c r="K83" s="3">
        <v>2</v>
      </c>
      <c r="L83" s="43">
        <v>0.1</v>
      </c>
      <c r="M83" s="48">
        <v>-124.45</v>
      </c>
      <c r="N83" s="48" t="str">
        <f>IF(Table3[[#This Row],[Profit]]&lt;0,"Loss","Profit")</f>
        <v>Loss</v>
      </c>
    </row>
    <row r="84" spans="1:14" ht="15.6" x14ac:dyDescent="0.3">
      <c r="A84" s="31" t="s">
        <v>613</v>
      </c>
      <c r="B84" s="33">
        <v>45195</v>
      </c>
      <c r="C84" s="33">
        <v>45200</v>
      </c>
      <c r="D84" s="54" t="s">
        <v>1367</v>
      </c>
      <c r="E84" s="38" t="s">
        <v>1513</v>
      </c>
      <c r="F84" s="40" t="s">
        <v>1519</v>
      </c>
      <c r="G84" s="40" t="s">
        <v>1521</v>
      </c>
      <c r="H84" s="40" t="s">
        <v>1526</v>
      </c>
      <c r="I84" s="40" t="s">
        <v>2111</v>
      </c>
      <c r="J84" s="46">
        <v>3939.34</v>
      </c>
      <c r="K84" s="3">
        <v>8</v>
      </c>
      <c r="L84" s="43">
        <v>0.1</v>
      </c>
      <c r="M84" s="48">
        <v>216.77</v>
      </c>
      <c r="N84" s="48" t="str">
        <f>IF(Table3[[#This Row],[Profit]]&lt;0,"Loss","Profit")</f>
        <v>Profit</v>
      </c>
    </row>
    <row r="85" spans="1:14" ht="15.6" x14ac:dyDescent="0.3">
      <c r="A85" s="31" t="s">
        <v>168</v>
      </c>
      <c r="B85" s="33">
        <v>45191</v>
      </c>
      <c r="C85" s="33">
        <v>45201</v>
      </c>
      <c r="D85" s="54" t="s">
        <v>2257</v>
      </c>
      <c r="E85" s="38" t="s">
        <v>1515</v>
      </c>
      <c r="F85" s="40" t="s">
        <v>1516</v>
      </c>
      <c r="G85" s="40" t="s">
        <v>1520</v>
      </c>
      <c r="H85" s="40" t="s">
        <v>1524</v>
      </c>
      <c r="I85" s="40" t="s">
        <v>1686</v>
      </c>
      <c r="J85" s="46">
        <v>3001.31</v>
      </c>
      <c r="K85" s="3">
        <v>1</v>
      </c>
      <c r="L85" s="43">
        <v>0.05</v>
      </c>
      <c r="M85" s="48">
        <v>-340.42</v>
      </c>
      <c r="N85" s="48" t="str">
        <f>IF(Table3[[#This Row],[Profit]]&lt;0,"Loss","Profit")</f>
        <v>Loss</v>
      </c>
    </row>
    <row r="86" spans="1:14" ht="15.6" x14ac:dyDescent="0.3">
      <c r="A86" s="31" t="s">
        <v>366</v>
      </c>
      <c r="B86" s="33">
        <v>45192</v>
      </c>
      <c r="C86" s="33">
        <v>45202</v>
      </c>
      <c r="D86" s="54" t="s">
        <v>1125</v>
      </c>
      <c r="E86" s="38" t="s">
        <v>1513</v>
      </c>
      <c r="F86" s="40" t="s">
        <v>1518</v>
      </c>
      <c r="G86" s="40" t="s">
        <v>1522</v>
      </c>
      <c r="H86" s="40" t="s">
        <v>1527</v>
      </c>
      <c r="I86" s="40" t="s">
        <v>1877</v>
      </c>
      <c r="J86" s="46">
        <v>91.95</v>
      </c>
      <c r="K86" s="3">
        <v>3</v>
      </c>
      <c r="L86" s="43">
        <v>0.15</v>
      </c>
      <c r="M86" s="48">
        <v>-0.63</v>
      </c>
      <c r="N86" s="48" t="str">
        <f>IF(Table3[[#This Row],[Profit]]&lt;0,"Loss","Profit")</f>
        <v>Loss</v>
      </c>
    </row>
    <row r="87" spans="1:14" ht="15.6" x14ac:dyDescent="0.3">
      <c r="A87" s="31" t="s">
        <v>194</v>
      </c>
      <c r="B87" s="33">
        <v>45198</v>
      </c>
      <c r="C87" s="33">
        <v>45202</v>
      </c>
      <c r="D87" s="54" t="s">
        <v>959</v>
      </c>
      <c r="E87" s="38" t="s">
        <v>1515</v>
      </c>
      <c r="F87" s="40" t="s">
        <v>1518</v>
      </c>
      <c r="G87" s="40" t="s">
        <v>1522</v>
      </c>
      <c r="H87" s="40" t="s">
        <v>1527</v>
      </c>
      <c r="I87" s="40" t="s">
        <v>1711</v>
      </c>
      <c r="J87" s="46">
        <v>1581.87</v>
      </c>
      <c r="K87" s="3">
        <v>8</v>
      </c>
      <c r="L87" s="43">
        <v>0.05</v>
      </c>
      <c r="M87" s="48">
        <v>3.66</v>
      </c>
      <c r="N87" s="48" t="str">
        <f>IF(Table3[[#This Row],[Profit]]&lt;0,"Loss","Profit")</f>
        <v>Profit</v>
      </c>
    </row>
    <row r="88" spans="1:14" ht="15.6" x14ac:dyDescent="0.3">
      <c r="A88" s="31" t="s">
        <v>235</v>
      </c>
      <c r="B88" s="33">
        <v>45197</v>
      </c>
      <c r="C88" s="33">
        <v>45203</v>
      </c>
      <c r="D88" s="54" t="s">
        <v>999</v>
      </c>
      <c r="E88" s="38" t="s">
        <v>1513</v>
      </c>
      <c r="F88" s="40" t="s">
        <v>1519</v>
      </c>
      <c r="G88" s="40" t="s">
        <v>1521</v>
      </c>
      <c r="H88" s="40" t="s">
        <v>1530</v>
      </c>
      <c r="I88" s="40" t="s">
        <v>1751</v>
      </c>
      <c r="J88" s="46">
        <v>2599.15</v>
      </c>
      <c r="K88" s="3">
        <v>2</v>
      </c>
      <c r="L88" s="43">
        <v>0.1</v>
      </c>
      <c r="M88" s="48">
        <v>-174.26</v>
      </c>
      <c r="N88" s="48" t="str">
        <f>IF(Table3[[#This Row],[Profit]]&lt;0,"Loss","Profit")</f>
        <v>Loss</v>
      </c>
    </row>
    <row r="89" spans="1:14" ht="15.6" x14ac:dyDescent="0.3">
      <c r="A89" s="31" t="s">
        <v>521</v>
      </c>
      <c r="B89" s="33">
        <v>45195</v>
      </c>
      <c r="C89" s="33">
        <v>45204</v>
      </c>
      <c r="D89" s="54" t="s">
        <v>1276</v>
      </c>
      <c r="E89" s="38" t="s">
        <v>1513</v>
      </c>
      <c r="F89" s="40" t="s">
        <v>1517</v>
      </c>
      <c r="G89" s="40" t="s">
        <v>1522</v>
      </c>
      <c r="H89" s="40" t="s">
        <v>1531</v>
      </c>
      <c r="I89" s="40" t="s">
        <v>2023</v>
      </c>
      <c r="J89" s="46">
        <v>4152.3100000000004</v>
      </c>
      <c r="K89" s="3">
        <v>7</v>
      </c>
      <c r="L89" s="43">
        <v>0.2</v>
      </c>
      <c r="M89" s="48">
        <v>1034.82</v>
      </c>
      <c r="N89" s="48" t="str">
        <f>IF(Table3[[#This Row],[Profit]]&lt;0,"Loss","Profit")</f>
        <v>Profit</v>
      </c>
    </row>
    <row r="90" spans="1:14" ht="15.6" x14ac:dyDescent="0.3">
      <c r="A90" s="31" t="s">
        <v>441</v>
      </c>
      <c r="B90" s="33">
        <v>45199</v>
      </c>
      <c r="C90" s="33">
        <v>45204</v>
      </c>
      <c r="D90" s="54" t="s">
        <v>1198</v>
      </c>
      <c r="E90" s="38" t="s">
        <v>1513</v>
      </c>
      <c r="F90" s="40" t="s">
        <v>1517</v>
      </c>
      <c r="G90" s="40" t="s">
        <v>1522</v>
      </c>
      <c r="H90" s="40" t="s">
        <v>1529</v>
      </c>
      <c r="I90" s="40" t="s">
        <v>1947</v>
      </c>
      <c r="J90" s="46">
        <v>1589.2</v>
      </c>
      <c r="K90" s="3">
        <v>8</v>
      </c>
      <c r="L90" s="43">
        <v>0.2</v>
      </c>
      <c r="M90" s="48">
        <v>280.76</v>
      </c>
      <c r="N90" s="48" t="str">
        <f>IF(Table3[[#This Row],[Profit]]&lt;0,"Loss","Profit")</f>
        <v>Profit</v>
      </c>
    </row>
    <row r="91" spans="1:14" ht="15.6" x14ac:dyDescent="0.3">
      <c r="A91" s="31" t="s">
        <v>572</v>
      </c>
      <c r="B91" s="33">
        <v>45201</v>
      </c>
      <c r="C91" s="33">
        <v>45206</v>
      </c>
      <c r="D91" s="54" t="s">
        <v>1326</v>
      </c>
      <c r="E91" s="38" t="s">
        <v>1514</v>
      </c>
      <c r="F91" s="40" t="s">
        <v>1517</v>
      </c>
      <c r="G91" s="40" t="s">
        <v>1522</v>
      </c>
      <c r="H91" s="40" t="s">
        <v>1527</v>
      </c>
      <c r="I91" s="40" t="s">
        <v>2072</v>
      </c>
      <c r="J91" s="46">
        <v>3644.39</v>
      </c>
      <c r="K91" s="3">
        <v>9</v>
      </c>
      <c r="L91" s="43">
        <v>0.2</v>
      </c>
      <c r="M91" s="48">
        <v>-31.15</v>
      </c>
      <c r="N91" s="48" t="str">
        <f>IF(Table3[[#This Row],[Profit]]&lt;0,"Loss","Profit")</f>
        <v>Loss</v>
      </c>
    </row>
    <row r="92" spans="1:14" ht="15.6" x14ac:dyDescent="0.3">
      <c r="A92" s="31" t="s">
        <v>626</v>
      </c>
      <c r="B92" s="33">
        <v>45201</v>
      </c>
      <c r="C92" s="33">
        <v>45206</v>
      </c>
      <c r="D92" s="54" t="s">
        <v>2269</v>
      </c>
      <c r="E92" s="38" t="s">
        <v>1515</v>
      </c>
      <c r="F92" s="40" t="s">
        <v>1518</v>
      </c>
      <c r="G92" s="40" t="s">
        <v>1521</v>
      </c>
      <c r="H92" s="40" t="s">
        <v>1526</v>
      </c>
      <c r="I92" s="40" t="s">
        <v>2122</v>
      </c>
      <c r="J92" s="46">
        <v>2730.95</v>
      </c>
      <c r="K92" s="3">
        <v>8</v>
      </c>
      <c r="L92" s="43">
        <v>0</v>
      </c>
      <c r="M92" s="48">
        <v>619.26</v>
      </c>
      <c r="N92" s="48" t="str">
        <f>IF(Table3[[#This Row],[Profit]]&lt;0,"Loss","Profit")</f>
        <v>Profit</v>
      </c>
    </row>
    <row r="93" spans="1:14" ht="15.6" x14ac:dyDescent="0.3">
      <c r="A93" s="31" t="s">
        <v>509</v>
      </c>
      <c r="B93" s="33">
        <v>45201</v>
      </c>
      <c r="C93" s="33">
        <v>45208</v>
      </c>
      <c r="D93" s="54" t="s">
        <v>1265</v>
      </c>
      <c r="E93" s="38" t="s">
        <v>1515</v>
      </c>
      <c r="F93" s="40" t="s">
        <v>1519</v>
      </c>
      <c r="G93" s="40" t="s">
        <v>1521</v>
      </c>
      <c r="H93" s="40" t="s">
        <v>1526</v>
      </c>
      <c r="I93" s="40" t="s">
        <v>2012</v>
      </c>
      <c r="J93" s="46">
        <v>4785.67</v>
      </c>
      <c r="K93" s="3">
        <v>6</v>
      </c>
      <c r="L93" s="43">
        <v>0.2</v>
      </c>
      <c r="M93" s="48">
        <v>-815.52</v>
      </c>
      <c r="N93" s="48" t="str">
        <f>IF(Table3[[#This Row],[Profit]]&lt;0,"Loss","Profit")</f>
        <v>Loss</v>
      </c>
    </row>
    <row r="94" spans="1:14" ht="15.6" x14ac:dyDescent="0.3">
      <c r="A94" s="31" t="s">
        <v>556</v>
      </c>
      <c r="B94" s="33">
        <v>45199</v>
      </c>
      <c r="C94" s="33">
        <v>45209</v>
      </c>
      <c r="D94" s="54" t="s">
        <v>1310</v>
      </c>
      <c r="E94" s="38" t="s">
        <v>1513</v>
      </c>
      <c r="F94" s="40" t="s">
        <v>1518</v>
      </c>
      <c r="G94" s="40" t="s">
        <v>1522</v>
      </c>
      <c r="H94" s="40" t="s">
        <v>1529</v>
      </c>
      <c r="I94" s="40" t="s">
        <v>2056</v>
      </c>
      <c r="J94" s="46">
        <v>3019.08</v>
      </c>
      <c r="K94" s="3">
        <v>9</v>
      </c>
      <c r="L94" s="43">
        <v>0.2</v>
      </c>
      <c r="M94" s="48">
        <v>645.51</v>
      </c>
      <c r="N94" s="48" t="str">
        <f>IF(Table3[[#This Row],[Profit]]&lt;0,"Loss","Profit")</f>
        <v>Profit</v>
      </c>
    </row>
    <row r="95" spans="1:14" ht="15.6" x14ac:dyDescent="0.3">
      <c r="A95" s="31" t="s">
        <v>169</v>
      </c>
      <c r="B95" s="33">
        <v>45205</v>
      </c>
      <c r="C95" s="33">
        <v>45210</v>
      </c>
      <c r="D95" s="54" t="s">
        <v>935</v>
      </c>
      <c r="E95" s="38" t="s">
        <v>1514</v>
      </c>
      <c r="F95" s="40" t="s">
        <v>1519</v>
      </c>
      <c r="G95" s="40" t="s">
        <v>1520</v>
      </c>
      <c r="H95" s="40" t="s">
        <v>1523</v>
      </c>
      <c r="I95" s="40" t="s">
        <v>1687</v>
      </c>
      <c r="J95" s="46">
        <v>2243.41</v>
      </c>
      <c r="K95" s="3">
        <v>7</v>
      </c>
      <c r="L95" s="43">
        <v>0.15</v>
      </c>
      <c r="M95" s="48">
        <v>300.37</v>
      </c>
      <c r="N95" s="48" t="str">
        <f>IF(Table3[[#This Row],[Profit]]&lt;0,"Loss","Profit")</f>
        <v>Profit</v>
      </c>
    </row>
    <row r="96" spans="1:14" ht="15.6" x14ac:dyDescent="0.3">
      <c r="A96" s="31" t="s">
        <v>267</v>
      </c>
      <c r="B96" s="33">
        <v>45208</v>
      </c>
      <c r="C96" s="33">
        <v>45216</v>
      </c>
      <c r="D96" s="54" t="s">
        <v>2270</v>
      </c>
      <c r="E96" s="38" t="s">
        <v>1513</v>
      </c>
      <c r="F96" s="40" t="s">
        <v>1518</v>
      </c>
      <c r="G96" s="40" t="s">
        <v>1522</v>
      </c>
      <c r="H96" s="40" t="s">
        <v>1531</v>
      </c>
      <c r="I96" s="40" t="s">
        <v>1783</v>
      </c>
      <c r="J96" s="46">
        <v>1651.83</v>
      </c>
      <c r="K96" s="3">
        <v>4</v>
      </c>
      <c r="L96" s="43">
        <v>0</v>
      </c>
      <c r="M96" s="48">
        <v>-93.44</v>
      </c>
      <c r="N96" s="48" t="str">
        <f>IF(Table3[[#This Row],[Profit]]&lt;0,"Loss","Profit")</f>
        <v>Loss</v>
      </c>
    </row>
    <row r="97" spans="1:14" ht="15.6" x14ac:dyDescent="0.3">
      <c r="A97" s="31" t="s">
        <v>117</v>
      </c>
      <c r="B97" s="33">
        <v>45213</v>
      </c>
      <c r="C97" s="33">
        <v>45218</v>
      </c>
      <c r="D97" s="54" t="s">
        <v>885</v>
      </c>
      <c r="E97" s="38" t="s">
        <v>1514</v>
      </c>
      <c r="F97" s="40" t="s">
        <v>1518</v>
      </c>
      <c r="G97" s="40" t="s">
        <v>1522</v>
      </c>
      <c r="H97" s="40" t="s">
        <v>1531</v>
      </c>
      <c r="I97" s="40" t="s">
        <v>1635</v>
      </c>
      <c r="J97" s="46">
        <v>2768.64</v>
      </c>
      <c r="K97" s="3">
        <v>5</v>
      </c>
      <c r="L97" s="43">
        <v>0.15</v>
      </c>
      <c r="M97" s="48">
        <v>787.58</v>
      </c>
      <c r="N97" s="48" t="str">
        <f>IF(Table3[[#This Row],[Profit]]&lt;0,"Loss","Profit")</f>
        <v>Profit</v>
      </c>
    </row>
    <row r="98" spans="1:14" ht="15.6" x14ac:dyDescent="0.3">
      <c r="A98" s="31" t="s">
        <v>285</v>
      </c>
      <c r="B98" s="33">
        <v>45214</v>
      </c>
      <c r="C98" s="33">
        <v>45218</v>
      </c>
      <c r="D98" s="54" t="s">
        <v>1048</v>
      </c>
      <c r="E98" s="38" t="s">
        <v>1515</v>
      </c>
      <c r="F98" s="40" t="s">
        <v>1519</v>
      </c>
      <c r="G98" s="40" t="s">
        <v>1520</v>
      </c>
      <c r="H98" s="40" t="s">
        <v>1524</v>
      </c>
      <c r="I98" s="40" t="s">
        <v>1799</v>
      </c>
      <c r="J98" s="46">
        <v>4088.14</v>
      </c>
      <c r="K98" s="3">
        <v>10</v>
      </c>
      <c r="L98" s="43">
        <v>0.1</v>
      </c>
      <c r="M98" s="48">
        <v>480.81</v>
      </c>
      <c r="N98" s="48" t="str">
        <f>IF(Table3[[#This Row],[Profit]]&lt;0,"Loss","Profit")</f>
        <v>Profit</v>
      </c>
    </row>
    <row r="99" spans="1:14" ht="15.6" x14ac:dyDescent="0.3">
      <c r="A99" s="31" t="s">
        <v>531</v>
      </c>
      <c r="B99" s="33">
        <v>45217</v>
      </c>
      <c r="C99" s="33">
        <v>45219</v>
      </c>
      <c r="D99" s="54" t="s">
        <v>1286</v>
      </c>
      <c r="E99" s="38" t="s">
        <v>1515</v>
      </c>
      <c r="F99" s="40" t="s">
        <v>1518</v>
      </c>
      <c r="G99" s="40" t="s">
        <v>1520</v>
      </c>
      <c r="H99" s="40" t="s">
        <v>1525</v>
      </c>
      <c r="I99" s="40" t="s">
        <v>2032</v>
      </c>
      <c r="J99" s="46">
        <v>1488.73</v>
      </c>
      <c r="K99" s="3">
        <v>2</v>
      </c>
      <c r="L99" s="43">
        <v>0.1</v>
      </c>
      <c r="M99" s="48">
        <v>-217.34</v>
      </c>
      <c r="N99" s="48" t="str">
        <f>IF(Table3[[#This Row],[Profit]]&lt;0,"Loss","Profit")</f>
        <v>Loss</v>
      </c>
    </row>
    <row r="100" spans="1:14" ht="15.6" x14ac:dyDescent="0.3">
      <c r="A100" s="31" t="s">
        <v>163</v>
      </c>
      <c r="B100" s="33">
        <v>45210</v>
      </c>
      <c r="C100" s="33">
        <v>45220</v>
      </c>
      <c r="D100" s="54" t="s">
        <v>930</v>
      </c>
      <c r="E100" s="38" t="s">
        <v>1513</v>
      </c>
      <c r="F100" s="40" t="s">
        <v>1519</v>
      </c>
      <c r="G100" s="40" t="s">
        <v>1521</v>
      </c>
      <c r="H100" s="40" t="s">
        <v>1530</v>
      </c>
      <c r="I100" s="40" t="s">
        <v>1681</v>
      </c>
      <c r="J100" s="46">
        <v>2561.69</v>
      </c>
      <c r="K100" s="3">
        <v>3</v>
      </c>
      <c r="L100" s="43">
        <v>0.2</v>
      </c>
      <c r="M100" s="48">
        <v>167.03</v>
      </c>
      <c r="N100" s="48" t="str">
        <f>IF(Table3[[#This Row],[Profit]]&lt;0,"Loss","Profit")</f>
        <v>Profit</v>
      </c>
    </row>
    <row r="101" spans="1:14" ht="15.6" x14ac:dyDescent="0.3">
      <c r="A101" s="31" t="s">
        <v>398</v>
      </c>
      <c r="B101" s="33">
        <v>45217</v>
      </c>
      <c r="C101" s="33">
        <v>45221</v>
      </c>
      <c r="D101" s="54" t="s">
        <v>1156</v>
      </c>
      <c r="E101" s="38" t="s">
        <v>1515</v>
      </c>
      <c r="F101" s="40" t="s">
        <v>1516</v>
      </c>
      <c r="G101" s="40" t="s">
        <v>1522</v>
      </c>
      <c r="H101" s="40" t="s">
        <v>1531</v>
      </c>
      <c r="I101" s="40" t="s">
        <v>1907</v>
      </c>
      <c r="J101" s="46">
        <v>697.04</v>
      </c>
      <c r="K101" s="3">
        <v>7</v>
      </c>
      <c r="L101" s="43">
        <v>0.1</v>
      </c>
      <c r="M101" s="48">
        <v>123.69</v>
      </c>
      <c r="N101" s="48" t="str">
        <f>IF(Table3[[#This Row],[Profit]]&lt;0,"Loss","Profit")</f>
        <v>Profit</v>
      </c>
    </row>
    <row r="102" spans="1:14" ht="15.6" x14ac:dyDescent="0.3">
      <c r="A102" s="31" t="s">
        <v>689</v>
      </c>
      <c r="B102" s="33">
        <v>45213</v>
      </c>
      <c r="C102" s="33">
        <v>45223</v>
      </c>
      <c r="D102" s="54" t="s">
        <v>1442</v>
      </c>
      <c r="E102" s="38" t="s">
        <v>1513</v>
      </c>
      <c r="F102" s="40" t="s">
        <v>1519</v>
      </c>
      <c r="G102" s="40" t="s">
        <v>1520</v>
      </c>
      <c r="H102" s="40" t="s">
        <v>1524</v>
      </c>
      <c r="I102" s="40" t="s">
        <v>2179</v>
      </c>
      <c r="J102" s="46">
        <v>3161.75</v>
      </c>
      <c r="K102" s="3">
        <v>4</v>
      </c>
      <c r="L102" s="43">
        <v>0</v>
      </c>
      <c r="M102" s="48">
        <v>-310.92</v>
      </c>
      <c r="N102" s="48" t="str">
        <f>IF(Table3[[#This Row],[Profit]]&lt;0,"Loss","Profit")</f>
        <v>Loss</v>
      </c>
    </row>
    <row r="103" spans="1:14" ht="15.6" x14ac:dyDescent="0.3">
      <c r="A103" s="31" t="s">
        <v>27</v>
      </c>
      <c r="B103" s="33">
        <v>45214</v>
      </c>
      <c r="C103" s="33">
        <v>45223</v>
      </c>
      <c r="D103" s="54" t="s">
        <v>796</v>
      </c>
      <c r="E103" s="38" t="s">
        <v>1515</v>
      </c>
      <c r="F103" s="40" t="s">
        <v>1519</v>
      </c>
      <c r="G103" s="40" t="s">
        <v>1520</v>
      </c>
      <c r="H103" s="40" t="s">
        <v>1524</v>
      </c>
      <c r="I103" s="40" t="s">
        <v>1546</v>
      </c>
      <c r="J103" s="46">
        <v>4310.8599999999997</v>
      </c>
      <c r="K103" s="3">
        <v>1</v>
      </c>
      <c r="L103" s="43">
        <v>0.2</v>
      </c>
      <c r="M103" s="48">
        <v>846.64</v>
      </c>
      <c r="N103" s="48" t="str">
        <f>IF(Table3[[#This Row],[Profit]]&lt;0,"Loss","Profit")</f>
        <v>Profit</v>
      </c>
    </row>
    <row r="104" spans="1:14" ht="15.6" x14ac:dyDescent="0.3">
      <c r="A104" s="31" t="s">
        <v>271</v>
      </c>
      <c r="B104" s="33">
        <v>45215</v>
      </c>
      <c r="C104" s="33">
        <v>45225</v>
      </c>
      <c r="D104" s="54" t="s">
        <v>1034</v>
      </c>
      <c r="E104" s="38" t="s">
        <v>1515</v>
      </c>
      <c r="F104" s="40" t="s">
        <v>1517</v>
      </c>
      <c r="G104" s="40" t="s">
        <v>1521</v>
      </c>
      <c r="H104" s="40" t="s">
        <v>1528</v>
      </c>
      <c r="I104" s="40" t="s">
        <v>1787</v>
      </c>
      <c r="J104" s="46">
        <v>1899.44</v>
      </c>
      <c r="K104" s="3">
        <v>9</v>
      </c>
      <c r="L104" s="43">
        <v>0.15</v>
      </c>
      <c r="M104" s="48">
        <v>411.31</v>
      </c>
      <c r="N104" s="48" t="str">
        <f>IF(Table3[[#This Row],[Profit]]&lt;0,"Loss","Profit")</f>
        <v>Profit</v>
      </c>
    </row>
    <row r="105" spans="1:14" ht="15.6" x14ac:dyDescent="0.3">
      <c r="A105" s="31" t="s">
        <v>573</v>
      </c>
      <c r="B105" s="33">
        <v>45219</v>
      </c>
      <c r="C105" s="33">
        <v>45227</v>
      </c>
      <c r="D105" s="54" t="s">
        <v>1327</v>
      </c>
      <c r="E105" s="38" t="s">
        <v>1514</v>
      </c>
      <c r="F105" s="40" t="s">
        <v>1516</v>
      </c>
      <c r="G105" s="40" t="s">
        <v>1520</v>
      </c>
      <c r="H105" s="40" t="s">
        <v>1523</v>
      </c>
      <c r="I105" s="40" t="s">
        <v>2073</v>
      </c>
      <c r="J105" s="46">
        <v>4652.08</v>
      </c>
      <c r="K105" s="3">
        <v>10</v>
      </c>
      <c r="L105" s="43">
        <v>0</v>
      </c>
      <c r="M105" s="48">
        <v>-262.33</v>
      </c>
      <c r="N105" s="48" t="str">
        <f>IF(Table3[[#This Row],[Profit]]&lt;0,"Loss","Profit")</f>
        <v>Loss</v>
      </c>
    </row>
    <row r="106" spans="1:14" ht="15.6" x14ac:dyDescent="0.3">
      <c r="A106" s="31" t="s">
        <v>518</v>
      </c>
      <c r="B106" s="33">
        <v>45220</v>
      </c>
      <c r="C106" s="33">
        <v>45227</v>
      </c>
      <c r="D106" s="54" t="s">
        <v>1274</v>
      </c>
      <c r="E106" s="38" t="s">
        <v>1514</v>
      </c>
      <c r="F106" s="40" t="s">
        <v>1518</v>
      </c>
      <c r="G106" s="40" t="s">
        <v>1521</v>
      </c>
      <c r="H106" s="40" t="s">
        <v>1530</v>
      </c>
      <c r="I106" s="40" t="s">
        <v>2020</v>
      </c>
      <c r="J106" s="46">
        <v>1320.12</v>
      </c>
      <c r="K106" s="3">
        <v>5</v>
      </c>
      <c r="L106" s="43">
        <v>0</v>
      </c>
      <c r="M106" s="48">
        <v>397.67</v>
      </c>
      <c r="N106" s="48" t="str">
        <f>IF(Table3[[#This Row],[Profit]]&lt;0,"Loss","Profit")</f>
        <v>Profit</v>
      </c>
    </row>
    <row r="107" spans="1:14" ht="15.6" x14ac:dyDescent="0.3">
      <c r="A107" s="31" t="s">
        <v>487</v>
      </c>
      <c r="B107" s="33">
        <v>45222</v>
      </c>
      <c r="C107" s="33">
        <v>45232</v>
      </c>
      <c r="D107" s="54" t="s">
        <v>1243</v>
      </c>
      <c r="E107" s="38" t="s">
        <v>1515</v>
      </c>
      <c r="F107" s="40" t="s">
        <v>1518</v>
      </c>
      <c r="G107" s="40" t="s">
        <v>1520</v>
      </c>
      <c r="H107" s="40" t="s">
        <v>1525</v>
      </c>
      <c r="I107" s="40" t="s">
        <v>1990</v>
      </c>
      <c r="J107" s="46">
        <v>521.45000000000005</v>
      </c>
      <c r="K107" s="3">
        <v>4</v>
      </c>
      <c r="L107" s="43">
        <v>0.15</v>
      </c>
      <c r="M107" s="48">
        <v>-5.13</v>
      </c>
      <c r="N107" s="48" t="str">
        <f>IF(Table3[[#This Row],[Profit]]&lt;0,"Loss","Profit")</f>
        <v>Loss</v>
      </c>
    </row>
    <row r="108" spans="1:14" ht="15.6" x14ac:dyDescent="0.3">
      <c r="A108" s="31" t="s">
        <v>463</v>
      </c>
      <c r="B108" s="33">
        <v>45228</v>
      </c>
      <c r="C108" s="33">
        <v>45234</v>
      </c>
      <c r="D108" s="54" t="s">
        <v>1220</v>
      </c>
      <c r="E108" s="38" t="s">
        <v>1513</v>
      </c>
      <c r="F108" s="40" t="s">
        <v>1518</v>
      </c>
      <c r="G108" s="40" t="s">
        <v>1522</v>
      </c>
      <c r="H108" s="40" t="s">
        <v>1529</v>
      </c>
      <c r="I108" s="40" t="s">
        <v>1967</v>
      </c>
      <c r="J108" s="46">
        <v>3173.61</v>
      </c>
      <c r="K108" s="3">
        <v>3</v>
      </c>
      <c r="L108" s="43">
        <v>0.1</v>
      </c>
      <c r="M108" s="48">
        <v>472.79</v>
      </c>
      <c r="N108" s="48" t="str">
        <f>IF(Table3[[#This Row],[Profit]]&lt;0,"Loss","Profit")</f>
        <v>Profit</v>
      </c>
    </row>
    <row r="109" spans="1:14" ht="15.6" x14ac:dyDescent="0.3">
      <c r="A109" s="31" t="s">
        <v>58</v>
      </c>
      <c r="B109" s="33">
        <v>45230</v>
      </c>
      <c r="C109" s="33">
        <v>45234</v>
      </c>
      <c r="D109" s="54" t="s">
        <v>827</v>
      </c>
      <c r="E109" s="38" t="s">
        <v>1513</v>
      </c>
      <c r="F109" s="40" t="s">
        <v>1519</v>
      </c>
      <c r="G109" s="40" t="s">
        <v>1521</v>
      </c>
      <c r="H109" s="40" t="s">
        <v>1530</v>
      </c>
      <c r="I109" s="40" t="s">
        <v>1577</v>
      </c>
      <c r="J109" s="46">
        <v>167.14</v>
      </c>
      <c r="K109" s="3">
        <v>4</v>
      </c>
      <c r="L109" s="43">
        <v>0.15</v>
      </c>
      <c r="M109" s="48">
        <v>-3.25</v>
      </c>
      <c r="N109" s="48" t="str">
        <f>IF(Table3[[#This Row],[Profit]]&lt;0,"Loss","Profit")</f>
        <v>Loss</v>
      </c>
    </row>
    <row r="110" spans="1:14" ht="15.6" x14ac:dyDescent="0.3">
      <c r="A110" s="31" t="s">
        <v>140</v>
      </c>
      <c r="B110" s="33">
        <v>45232</v>
      </c>
      <c r="C110" s="33">
        <v>45235</v>
      </c>
      <c r="D110" s="54" t="s">
        <v>908</v>
      </c>
      <c r="E110" s="38" t="s">
        <v>1514</v>
      </c>
      <c r="F110" s="40" t="s">
        <v>1517</v>
      </c>
      <c r="G110" s="40" t="s">
        <v>1522</v>
      </c>
      <c r="H110" s="40" t="s">
        <v>1531</v>
      </c>
      <c r="I110" s="40" t="s">
        <v>1658</v>
      </c>
      <c r="J110" s="46">
        <v>3943.24</v>
      </c>
      <c r="K110" s="3">
        <v>6</v>
      </c>
      <c r="L110" s="43">
        <v>0.2</v>
      </c>
      <c r="M110" s="48">
        <v>299.64</v>
      </c>
      <c r="N110" s="48" t="str">
        <f>IF(Table3[[#This Row],[Profit]]&lt;0,"Loss","Profit")</f>
        <v>Profit</v>
      </c>
    </row>
    <row r="111" spans="1:14" ht="15.6" x14ac:dyDescent="0.3">
      <c r="A111" s="31" t="s">
        <v>424</v>
      </c>
      <c r="B111" s="33">
        <v>45230</v>
      </c>
      <c r="C111" s="33">
        <v>45237</v>
      </c>
      <c r="D111" s="54" t="s">
        <v>1181</v>
      </c>
      <c r="E111" s="38" t="s">
        <v>1513</v>
      </c>
      <c r="F111" s="40" t="s">
        <v>1516</v>
      </c>
      <c r="G111" s="40" t="s">
        <v>1520</v>
      </c>
      <c r="H111" s="40" t="s">
        <v>1523</v>
      </c>
      <c r="I111" s="40" t="s">
        <v>1931</v>
      </c>
      <c r="J111" s="46">
        <v>4715.09</v>
      </c>
      <c r="K111" s="3">
        <v>3</v>
      </c>
      <c r="L111" s="43">
        <v>0.2</v>
      </c>
      <c r="M111" s="48">
        <v>1364.38</v>
      </c>
      <c r="N111" s="48" t="str">
        <f>IF(Table3[[#This Row],[Profit]]&lt;0,"Loss","Profit")</f>
        <v>Profit</v>
      </c>
    </row>
    <row r="112" spans="1:14" ht="15.6" x14ac:dyDescent="0.3">
      <c r="A112" s="31" t="s">
        <v>456</v>
      </c>
      <c r="B112" s="33">
        <v>45236</v>
      </c>
      <c r="C112" s="33">
        <v>45237</v>
      </c>
      <c r="D112" s="54" t="s">
        <v>1213</v>
      </c>
      <c r="E112" s="38" t="s">
        <v>1515</v>
      </c>
      <c r="F112" s="40" t="s">
        <v>1517</v>
      </c>
      <c r="G112" s="40" t="s">
        <v>1521</v>
      </c>
      <c r="H112" s="40" t="s">
        <v>1528</v>
      </c>
      <c r="I112" s="40" t="s">
        <v>1961</v>
      </c>
      <c r="J112" s="46">
        <v>2935.97</v>
      </c>
      <c r="K112" s="3">
        <v>10</v>
      </c>
      <c r="L112" s="43">
        <v>0.05</v>
      </c>
      <c r="M112" s="48">
        <v>-33.049999999999997</v>
      </c>
      <c r="N112" s="48" t="str">
        <f>IF(Table3[[#This Row],[Profit]]&lt;0,"Loss","Profit")</f>
        <v>Loss</v>
      </c>
    </row>
    <row r="113" spans="1:14" ht="15.6" x14ac:dyDescent="0.3">
      <c r="A113" s="31" t="s">
        <v>562</v>
      </c>
      <c r="B113" s="33">
        <v>45235</v>
      </c>
      <c r="C113" s="33">
        <v>45240</v>
      </c>
      <c r="D113" s="54" t="s">
        <v>1316</v>
      </c>
      <c r="E113" s="38" t="s">
        <v>1515</v>
      </c>
      <c r="F113" s="40" t="s">
        <v>1519</v>
      </c>
      <c r="G113" s="40" t="s">
        <v>1520</v>
      </c>
      <c r="H113" s="40" t="s">
        <v>1525</v>
      </c>
      <c r="I113" s="40" t="s">
        <v>2062</v>
      </c>
      <c r="J113" s="46">
        <v>1343.45</v>
      </c>
      <c r="K113" s="3">
        <v>9</v>
      </c>
      <c r="L113" s="43">
        <v>0.15</v>
      </c>
      <c r="M113" s="48">
        <v>148.54</v>
      </c>
      <c r="N113" s="48" t="str">
        <f>IF(Table3[[#This Row],[Profit]]&lt;0,"Loss","Profit")</f>
        <v>Profit</v>
      </c>
    </row>
    <row r="114" spans="1:14" ht="15.6" x14ac:dyDescent="0.3">
      <c r="A114" s="31" t="s">
        <v>29</v>
      </c>
      <c r="B114" s="33">
        <v>45233</v>
      </c>
      <c r="C114" s="33">
        <v>45242</v>
      </c>
      <c r="D114" s="54" t="s">
        <v>798</v>
      </c>
      <c r="E114" s="38" t="s">
        <v>1513</v>
      </c>
      <c r="F114" s="40" t="s">
        <v>1517</v>
      </c>
      <c r="G114" s="40" t="s">
        <v>1520</v>
      </c>
      <c r="H114" s="40" t="s">
        <v>1523</v>
      </c>
      <c r="I114" s="40" t="s">
        <v>1548</v>
      </c>
      <c r="J114" s="46">
        <v>4567.51</v>
      </c>
      <c r="K114" s="3">
        <v>5</v>
      </c>
      <c r="L114" s="43">
        <v>0.2</v>
      </c>
      <c r="M114" s="48">
        <v>361.81</v>
      </c>
      <c r="N114" s="48" t="str">
        <f>IF(Table3[[#This Row],[Profit]]&lt;0,"Loss","Profit")</f>
        <v>Profit</v>
      </c>
    </row>
    <row r="115" spans="1:14" ht="15.6" x14ac:dyDescent="0.3">
      <c r="A115" s="31" t="s">
        <v>433</v>
      </c>
      <c r="B115" s="33">
        <v>45234</v>
      </c>
      <c r="C115" s="33">
        <v>45242</v>
      </c>
      <c r="D115" s="54" t="s">
        <v>1190</v>
      </c>
      <c r="E115" s="38" t="s">
        <v>1515</v>
      </c>
      <c r="F115" s="40" t="s">
        <v>1518</v>
      </c>
      <c r="G115" s="40" t="s">
        <v>1520</v>
      </c>
      <c r="H115" s="40" t="s">
        <v>1523</v>
      </c>
      <c r="I115" s="40" t="s">
        <v>1939</v>
      </c>
      <c r="J115" s="46">
        <v>1529.32</v>
      </c>
      <c r="K115" s="3">
        <v>7</v>
      </c>
      <c r="L115" s="43">
        <v>0.2</v>
      </c>
      <c r="M115" s="48">
        <v>-276.64999999999998</v>
      </c>
      <c r="N115" s="48" t="str">
        <f>IF(Table3[[#This Row],[Profit]]&lt;0,"Loss","Profit")</f>
        <v>Loss</v>
      </c>
    </row>
    <row r="116" spans="1:14" ht="15.6" x14ac:dyDescent="0.3">
      <c r="A116" s="31" t="s">
        <v>15</v>
      </c>
      <c r="B116" s="33">
        <v>45235</v>
      </c>
      <c r="C116" s="33">
        <v>45244</v>
      </c>
      <c r="D116" s="54" t="s">
        <v>784</v>
      </c>
      <c r="E116" s="38" t="s">
        <v>1513</v>
      </c>
      <c r="F116" s="40" t="s">
        <v>1517</v>
      </c>
      <c r="G116" s="40" t="s">
        <v>1520</v>
      </c>
      <c r="H116" s="40" t="s">
        <v>1525</v>
      </c>
      <c r="I116" s="40" t="s">
        <v>1534</v>
      </c>
      <c r="J116" s="46">
        <v>2126.62</v>
      </c>
      <c r="K116" s="3">
        <v>8</v>
      </c>
      <c r="L116" s="43">
        <v>0.2</v>
      </c>
      <c r="M116" s="48">
        <v>-99.94</v>
      </c>
      <c r="N116" s="48" t="str">
        <f>IF(Table3[[#This Row],[Profit]]&lt;0,"Loss","Profit")</f>
        <v>Loss</v>
      </c>
    </row>
    <row r="117" spans="1:14" ht="15.6" x14ac:dyDescent="0.3">
      <c r="A117" s="31" t="s">
        <v>284</v>
      </c>
      <c r="B117" s="33">
        <v>45239</v>
      </c>
      <c r="C117" s="33">
        <v>45246</v>
      </c>
      <c r="D117" s="54" t="s">
        <v>1047</v>
      </c>
      <c r="E117" s="38" t="s">
        <v>1513</v>
      </c>
      <c r="F117" s="40" t="s">
        <v>1517</v>
      </c>
      <c r="G117" s="40" t="s">
        <v>1520</v>
      </c>
      <c r="H117" s="40" t="s">
        <v>1523</v>
      </c>
      <c r="I117" s="40" t="s">
        <v>1572</v>
      </c>
      <c r="J117" s="46">
        <v>2222.87</v>
      </c>
      <c r="K117" s="3">
        <v>9</v>
      </c>
      <c r="L117" s="43">
        <v>0.05</v>
      </c>
      <c r="M117" s="48">
        <v>477.72</v>
      </c>
      <c r="N117" s="48" t="str">
        <f>IF(Table3[[#This Row],[Profit]]&lt;0,"Loss","Profit")</f>
        <v>Profit</v>
      </c>
    </row>
    <row r="118" spans="1:14" ht="15.6" x14ac:dyDescent="0.3">
      <c r="A118" s="31" t="s">
        <v>49</v>
      </c>
      <c r="B118" s="33" t="s">
        <v>763</v>
      </c>
      <c r="C118" s="33">
        <v>45246</v>
      </c>
      <c r="D118" s="54" t="s">
        <v>818</v>
      </c>
      <c r="E118" s="38" t="s">
        <v>1513</v>
      </c>
      <c r="F118" s="40" t="s">
        <v>1517</v>
      </c>
      <c r="G118" s="40" t="s">
        <v>1520</v>
      </c>
      <c r="H118" s="40" t="s">
        <v>1525</v>
      </c>
      <c r="I118" s="40" t="s">
        <v>1568</v>
      </c>
      <c r="J118" s="46">
        <v>88.72</v>
      </c>
      <c r="K118" s="3">
        <v>9</v>
      </c>
      <c r="L118" s="43">
        <v>0.1</v>
      </c>
      <c r="M118" s="48">
        <v>27.72</v>
      </c>
      <c r="N118" s="48" t="str">
        <f>IF(Table3[[#This Row],[Profit]]&lt;0,"Loss","Profit")</f>
        <v>Profit</v>
      </c>
    </row>
    <row r="119" spans="1:14" ht="15.6" x14ac:dyDescent="0.3">
      <c r="A119" s="31" t="s">
        <v>594</v>
      </c>
      <c r="B119" s="33" t="s">
        <v>777</v>
      </c>
      <c r="C119" s="33">
        <v>45247</v>
      </c>
      <c r="D119" s="54" t="s">
        <v>1348</v>
      </c>
      <c r="E119" s="38" t="s">
        <v>1514</v>
      </c>
      <c r="F119" s="40" t="s">
        <v>1518</v>
      </c>
      <c r="G119" s="40" t="s">
        <v>1521</v>
      </c>
      <c r="H119" s="40" t="s">
        <v>1528</v>
      </c>
      <c r="I119" s="40" t="s">
        <v>2092</v>
      </c>
      <c r="J119" s="46">
        <v>2463.09</v>
      </c>
      <c r="K119" s="3">
        <v>8</v>
      </c>
      <c r="L119" s="43">
        <v>0</v>
      </c>
      <c r="M119" s="48">
        <v>23.62</v>
      </c>
      <c r="N119" s="48" t="str">
        <f>IF(Table3[[#This Row],[Profit]]&lt;0,"Loss","Profit")</f>
        <v>Profit</v>
      </c>
    </row>
    <row r="120" spans="1:14" ht="15.6" x14ac:dyDescent="0.3">
      <c r="A120" s="31" t="s">
        <v>260</v>
      </c>
      <c r="B120" s="33">
        <v>45249</v>
      </c>
      <c r="C120" s="33">
        <v>45252</v>
      </c>
      <c r="D120" s="54" t="s">
        <v>1024</v>
      </c>
      <c r="E120" s="38" t="s">
        <v>1514</v>
      </c>
      <c r="F120" s="40" t="s">
        <v>1518</v>
      </c>
      <c r="G120" s="40" t="s">
        <v>1522</v>
      </c>
      <c r="H120" s="40" t="s">
        <v>1527</v>
      </c>
      <c r="I120" s="40" t="s">
        <v>1776</v>
      </c>
      <c r="J120" s="46">
        <v>75.650000000000006</v>
      </c>
      <c r="K120" s="3">
        <v>9</v>
      </c>
      <c r="L120" s="43">
        <v>0.05</v>
      </c>
      <c r="M120" s="48">
        <v>1.8</v>
      </c>
      <c r="N120" s="48" t="str">
        <f>IF(Table3[[#This Row],[Profit]]&lt;0,"Loss","Profit")</f>
        <v>Profit</v>
      </c>
    </row>
    <row r="121" spans="1:14" ht="15.6" x14ac:dyDescent="0.3">
      <c r="A121" s="31" t="s">
        <v>340</v>
      </c>
      <c r="B121" s="33">
        <v>45245</v>
      </c>
      <c r="C121" s="33">
        <v>45253</v>
      </c>
      <c r="D121" s="54" t="s">
        <v>1100</v>
      </c>
      <c r="E121" s="38" t="s">
        <v>1514</v>
      </c>
      <c r="F121" s="40" t="s">
        <v>1516</v>
      </c>
      <c r="G121" s="40" t="s">
        <v>1522</v>
      </c>
      <c r="H121" s="40" t="s">
        <v>1529</v>
      </c>
      <c r="I121" s="40" t="s">
        <v>1851</v>
      </c>
      <c r="J121" s="46">
        <v>2662.19</v>
      </c>
      <c r="K121" s="3">
        <v>6</v>
      </c>
      <c r="L121" s="43">
        <v>0.2</v>
      </c>
      <c r="M121" s="48">
        <v>36.61</v>
      </c>
      <c r="N121" s="48" t="str">
        <f>IF(Table3[[#This Row],[Profit]]&lt;0,"Loss","Profit")</f>
        <v>Profit</v>
      </c>
    </row>
    <row r="122" spans="1:14" ht="15.6" x14ac:dyDescent="0.3">
      <c r="A122" s="31" t="s">
        <v>278</v>
      </c>
      <c r="B122" s="33">
        <v>45250</v>
      </c>
      <c r="C122" s="33">
        <v>45253</v>
      </c>
      <c r="D122" s="54" t="s">
        <v>1041</v>
      </c>
      <c r="E122" s="38" t="s">
        <v>1514</v>
      </c>
      <c r="F122" s="40" t="s">
        <v>1518</v>
      </c>
      <c r="G122" s="40" t="s">
        <v>1521</v>
      </c>
      <c r="H122" s="40" t="s">
        <v>1526</v>
      </c>
      <c r="I122" s="40" t="s">
        <v>1793</v>
      </c>
      <c r="J122" s="46">
        <v>3856.41</v>
      </c>
      <c r="K122" s="3">
        <v>7</v>
      </c>
      <c r="L122" s="43">
        <v>0.1</v>
      </c>
      <c r="M122" s="48">
        <v>1334.59</v>
      </c>
      <c r="N122" s="48" t="str">
        <f>IF(Table3[[#This Row],[Profit]]&lt;0,"Loss","Profit")</f>
        <v>Profit</v>
      </c>
    </row>
    <row r="123" spans="1:14" ht="15.6" x14ac:dyDescent="0.3">
      <c r="A123" s="31" t="s">
        <v>748</v>
      </c>
      <c r="B123" s="33">
        <v>45252</v>
      </c>
      <c r="C123" s="33">
        <v>45255</v>
      </c>
      <c r="D123" s="54" t="s">
        <v>1500</v>
      </c>
      <c r="E123" s="38" t="s">
        <v>1514</v>
      </c>
      <c r="F123" s="40" t="s">
        <v>1518</v>
      </c>
      <c r="G123" s="40" t="s">
        <v>1521</v>
      </c>
      <c r="H123" s="40" t="s">
        <v>1530</v>
      </c>
      <c r="I123" s="40" t="s">
        <v>2233</v>
      </c>
      <c r="J123" s="46">
        <v>2997.94</v>
      </c>
      <c r="K123" s="3">
        <v>3</v>
      </c>
      <c r="L123" s="43">
        <v>0.15</v>
      </c>
      <c r="M123" s="48">
        <v>641.62</v>
      </c>
      <c r="N123" s="48" t="str">
        <f>IF(Table3[[#This Row],[Profit]]&lt;0,"Loss","Profit")</f>
        <v>Profit</v>
      </c>
    </row>
    <row r="124" spans="1:14" ht="15.6" x14ac:dyDescent="0.3">
      <c r="A124" s="31" t="s">
        <v>668</v>
      </c>
      <c r="B124" s="33">
        <v>45246</v>
      </c>
      <c r="C124" s="33">
        <v>45256</v>
      </c>
      <c r="D124" s="54" t="s">
        <v>1421</v>
      </c>
      <c r="E124" s="38" t="s">
        <v>1515</v>
      </c>
      <c r="F124" s="40" t="s">
        <v>1516</v>
      </c>
      <c r="G124" s="40" t="s">
        <v>1521</v>
      </c>
      <c r="H124" s="40" t="s">
        <v>1530</v>
      </c>
      <c r="I124" s="40" t="s">
        <v>2160</v>
      </c>
      <c r="J124" s="46">
        <v>4589.7</v>
      </c>
      <c r="K124" s="3">
        <v>6</v>
      </c>
      <c r="L124" s="43">
        <v>0</v>
      </c>
      <c r="M124" s="48">
        <v>488.97</v>
      </c>
      <c r="N124" s="48" t="str">
        <f>IF(Table3[[#This Row],[Profit]]&lt;0,"Loss","Profit")</f>
        <v>Profit</v>
      </c>
    </row>
    <row r="125" spans="1:14" ht="15.6" x14ac:dyDescent="0.3">
      <c r="A125" s="31" t="s">
        <v>629</v>
      </c>
      <c r="B125" s="33">
        <v>45254</v>
      </c>
      <c r="C125" s="33">
        <v>45260</v>
      </c>
      <c r="D125" s="54" t="s">
        <v>1383</v>
      </c>
      <c r="E125" s="38" t="s">
        <v>1513</v>
      </c>
      <c r="F125" s="40" t="s">
        <v>1517</v>
      </c>
      <c r="G125" s="40" t="s">
        <v>1521</v>
      </c>
      <c r="H125" s="40" t="s">
        <v>1528</v>
      </c>
      <c r="I125" s="40" t="s">
        <v>2125</v>
      </c>
      <c r="J125" s="46">
        <v>596.79999999999995</v>
      </c>
      <c r="K125" s="3">
        <v>9</v>
      </c>
      <c r="L125" s="43">
        <v>0.2</v>
      </c>
      <c r="M125" s="48">
        <v>-97.47</v>
      </c>
      <c r="N125" s="48" t="str">
        <f>IF(Table3[[#This Row],[Profit]]&lt;0,"Loss","Profit")</f>
        <v>Loss</v>
      </c>
    </row>
    <row r="126" spans="1:14" ht="15.6" x14ac:dyDescent="0.3">
      <c r="A126" s="31" t="s">
        <v>751</v>
      </c>
      <c r="B126" s="33">
        <v>45256</v>
      </c>
      <c r="C126" s="33">
        <v>45263</v>
      </c>
      <c r="D126" s="54" t="s">
        <v>1502</v>
      </c>
      <c r="E126" s="38" t="s">
        <v>1513</v>
      </c>
      <c r="F126" s="40" t="s">
        <v>1519</v>
      </c>
      <c r="G126" s="40" t="s">
        <v>1521</v>
      </c>
      <c r="H126" s="40" t="s">
        <v>1528</v>
      </c>
      <c r="I126" s="40" t="s">
        <v>2236</v>
      </c>
      <c r="J126" s="46">
        <v>2399.2199999999998</v>
      </c>
      <c r="K126" s="3">
        <v>3</v>
      </c>
      <c r="L126" s="43">
        <v>0.2</v>
      </c>
      <c r="M126" s="48">
        <v>668.55</v>
      </c>
      <c r="N126" s="48" t="str">
        <f>IF(Table3[[#This Row],[Profit]]&lt;0,"Loss","Profit")</f>
        <v>Profit</v>
      </c>
    </row>
    <row r="127" spans="1:14" ht="15.6" x14ac:dyDescent="0.3">
      <c r="A127" s="31" t="s">
        <v>646</v>
      </c>
      <c r="B127" s="33">
        <v>45257</v>
      </c>
      <c r="C127" s="33">
        <v>45263</v>
      </c>
      <c r="D127" s="54" t="s">
        <v>1400</v>
      </c>
      <c r="E127" s="38" t="s">
        <v>1513</v>
      </c>
      <c r="F127" s="40" t="s">
        <v>1517</v>
      </c>
      <c r="G127" s="40" t="s">
        <v>1522</v>
      </c>
      <c r="H127" s="40" t="s">
        <v>1531</v>
      </c>
      <c r="I127" s="40" t="s">
        <v>2142</v>
      </c>
      <c r="J127" s="46">
        <v>1772.25</v>
      </c>
      <c r="K127" s="3">
        <v>7</v>
      </c>
      <c r="L127" s="43">
        <v>0.15</v>
      </c>
      <c r="M127" s="48">
        <v>552.29999999999995</v>
      </c>
      <c r="N127" s="48" t="str">
        <f>IF(Table3[[#This Row],[Profit]]&lt;0,"Loss","Profit")</f>
        <v>Profit</v>
      </c>
    </row>
    <row r="128" spans="1:14" ht="15.6" x14ac:dyDescent="0.3">
      <c r="A128" s="31" t="s">
        <v>720</v>
      </c>
      <c r="B128" s="33">
        <v>45257</v>
      </c>
      <c r="C128" s="33">
        <v>45263</v>
      </c>
      <c r="D128" s="54" t="s">
        <v>1472</v>
      </c>
      <c r="E128" s="38" t="s">
        <v>1513</v>
      </c>
      <c r="F128" s="40" t="s">
        <v>1518</v>
      </c>
      <c r="G128" s="40" t="s">
        <v>1520</v>
      </c>
      <c r="H128" s="40" t="s">
        <v>1525</v>
      </c>
      <c r="I128" s="40" t="s">
        <v>2207</v>
      </c>
      <c r="J128" s="46">
        <v>3954.45</v>
      </c>
      <c r="K128" s="3">
        <v>6</v>
      </c>
      <c r="L128" s="43">
        <v>0.15</v>
      </c>
      <c r="M128" s="48">
        <v>269.41000000000003</v>
      </c>
      <c r="N128" s="48" t="str">
        <f>IF(Table3[[#This Row],[Profit]]&lt;0,"Loss","Profit")</f>
        <v>Profit</v>
      </c>
    </row>
    <row r="129" spans="1:14" ht="15.6" x14ac:dyDescent="0.3">
      <c r="A129" s="31" t="s">
        <v>749</v>
      </c>
      <c r="B129" s="33">
        <v>45256</v>
      </c>
      <c r="C129" s="33">
        <v>45264</v>
      </c>
      <c r="D129" s="54" t="s">
        <v>2257</v>
      </c>
      <c r="E129" s="38" t="s">
        <v>1514</v>
      </c>
      <c r="F129" s="40" t="s">
        <v>1516</v>
      </c>
      <c r="G129" s="40" t="s">
        <v>1522</v>
      </c>
      <c r="H129" s="40" t="s">
        <v>1527</v>
      </c>
      <c r="I129" s="40" t="s">
        <v>2234</v>
      </c>
      <c r="J129" s="46">
        <v>3643.7</v>
      </c>
      <c r="K129" s="3">
        <v>3</v>
      </c>
      <c r="L129" s="43">
        <v>0.05</v>
      </c>
      <c r="M129" s="48">
        <v>429.11</v>
      </c>
      <c r="N129" s="48" t="str">
        <f>IF(Table3[[#This Row],[Profit]]&lt;0,"Loss","Profit")</f>
        <v>Profit</v>
      </c>
    </row>
    <row r="130" spans="1:14" ht="15.6" x14ac:dyDescent="0.3">
      <c r="A130" s="31" t="s">
        <v>481</v>
      </c>
      <c r="B130" s="33">
        <v>45257</v>
      </c>
      <c r="C130" s="33">
        <v>45265</v>
      </c>
      <c r="D130" s="54" t="s">
        <v>1238</v>
      </c>
      <c r="E130" s="38" t="s">
        <v>1514</v>
      </c>
      <c r="F130" s="40" t="s">
        <v>1517</v>
      </c>
      <c r="G130" s="40" t="s">
        <v>1521</v>
      </c>
      <c r="H130" s="40" t="s">
        <v>1526</v>
      </c>
      <c r="I130" s="40" t="s">
        <v>1984</v>
      </c>
      <c r="J130" s="46">
        <v>4777.6899999999996</v>
      </c>
      <c r="K130" s="3">
        <v>5</v>
      </c>
      <c r="L130" s="43">
        <v>0.2</v>
      </c>
      <c r="M130" s="48">
        <v>-711.29</v>
      </c>
      <c r="N130" s="48" t="str">
        <f>IF(Table3[[#This Row],[Profit]]&lt;0,"Loss","Profit")</f>
        <v>Loss</v>
      </c>
    </row>
    <row r="131" spans="1:14" ht="15.6" x14ac:dyDescent="0.3">
      <c r="A131" s="31" t="s">
        <v>545</v>
      </c>
      <c r="B131" s="33">
        <v>45256</v>
      </c>
      <c r="C131" s="33">
        <v>45266</v>
      </c>
      <c r="D131" s="54" t="s">
        <v>1299</v>
      </c>
      <c r="E131" s="38" t="s">
        <v>1513</v>
      </c>
      <c r="F131" s="40" t="s">
        <v>1519</v>
      </c>
      <c r="G131" s="40" t="s">
        <v>1520</v>
      </c>
      <c r="H131" s="40" t="s">
        <v>1525</v>
      </c>
      <c r="I131" s="40" t="s">
        <v>2045</v>
      </c>
      <c r="J131" s="46">
        <v>910.56</v>
      </c>
      <c r="K131" s="3">
        <v>7</v>
      </c>
      <c r="L131" s="43">
        <v>0.1</v>
      </c>
      <c r="M131" s="48">
        <v>112.2</v>
      </c>
      <c r="N131" s="48" t="str">
        <f>IF(Table3[[#This Row],[Profit]]&lt;0,"Loss","Profit")</f>
        <v>Profit</v>
      </c>
    </row>
    <row r="132" spans="1:14" ht="15.6" x14ac:dyDescent="0.3">
      <c r="A132" s="31" t="s">
        <v>635</v>
      </c>
      <c r="B132" s="33">
        <v>45257</v>
      </c>
      <c r="C132" s="33">
        <v>45266</v>
      </c>
      <c r="D132" s="54" t="s">
        <v>1389</v>
      </c>
      <c r="E132" s="38" t="s">
        <v>1515</v>
      </c>
      <c r="F132" s="40" t="s">
        <v>1518</v>
      </c>
      <c r="G132" s="40" t="s">
        <v>1522</v>
      </c>
      <c r="H132" s="40" t="s">
        <v>1531</v>
      </c>
      <c r="I132" s="40" t="s">
        <v>2131</v>
      </c>
      <c r="J132" s="46">
        <v>3301.54</v>
      </c>
      <c r="K132" s="3">
        <v>10</v>
      </c>
      <c r="L132" s="43">
        <v>0.2</v>
      </c>
      <c r="M132" s="48">
        <v>1060.21</v>
      </c>
      <c r="N132" s="48" t="str">
        <f>IF(Table3[[#This Row],[Profit]]&lt;0,"Loss","Profit")</f>
        <v>Profit</v>
      </c>
    </row>
    <row r="133" spans="1:14" ht="15.6" x14ac:dyDescent="0.3">
      <c r="A133" s="31" t="s">
        <v>546</v>
      </c>
      <c r="B133" s="33">
        <v>45258</v>
      </c>
      <c r="C133" s="33">
        <v>45267</v>
      </c>
      <c r="D133" s="54" t="s">
        <v>1300</v>
      </c>
      <c r="E133" s="38" t="s">
        <v>1515</v>
      </c>
      <c r="F133" s="40" t="s">
        <v>1516</v>
      </c>
      <c r="G133" s="40" t="s">
        <v>1521</v>
      </c>
      <c r="H133" s="40" t="s">
        <v>1530</v>
      </c>
      <c r="I133" s="40" t="s">
        <v>2046</v>
      </c>
      <c r="J133" s="46">
        <v>2058.92</v>
      </c>
      <c r="K133" s="3">
        <v>6</v>
      </c>
      <c r="L133" s="43">
        <v>0.15</v>
      </c>
      <c r="M133" s="48">
        <v>485.83</v>
      </c>
      <c r="N133" s="48" t="str">
        <f>IF(Table3[[#This Row],[Profit]]&lt;0,"Loss","Profit")</f>
        <v>Profit</v>
      </c>
    </row>
    <row r="134" spans="1:14" ht="15.6" x14ac:dyDescent="0.3">
      <c r="A134" s="31" t="s">
        <v>31</v>
      </c>
      <c r="B134" s="33">
        <v>45262</v>
      </c>
      <c r="C134" s="33">
        <v>45267</v>
      </c>
      <c r="D134" s="54" t="s">
        <v>800</v>
      </c>
      <c r="E134" s="38" t="s">
        <v>1513</v>
      </c>
      <c r="F134" s="40" t="s">
        <v>1518</v>
      </c>
      <c r="G134" s="40" t="s">
        <v>1522</v>
      </c>
      <c r="H134" s="40" t="s">
        <v>1529</v>
      </c>
      <c r="I134" s="40" t="s">
        <v>1550</v>
      </c>
      <c r="J134" s="46">
        <v>1235.29</v>
      </c>
      <c r="K134" s="3">
        <v>4</v>
      </c>
      <c r="L134" s="43">
        <v>0.2</v>
      </c>
      <c r="M134" s="48">
        <v>396.31</v>
      </c>
      <c r="N134" s="48" t="str">
        <f>IF(Table3[[#This Row],[Profit]]&lt;0,"Loss","Profit")</f>
        <v>Profit</v>
      </c>
    </row>
    <row r="135" spans="1:14" ht="15.6" x14ac:dyDescent="0.3">
      <c r="A135" s="31" t="s">
        <v>386</v>
      </c>
      <c r="B135" s="33">
        <v>45263</v>
      </c>
      <c r="C135" s="33">
        <v>45267</v>
      </c>
      <c r="D135" s="54" t="s">
        <v>1144</v>
      </c>
      <c r="E135" s="38" t="s">
        <v>1513</v>
      </c>
      <c r="F135" s="40" t="s">
        <v>1517</v>
      </c>
      <c r="G135" s="40" t="s">
        <v>1520</v>
      </c>
      <c r="H135" s="40" t="s">
        <v>1525</v>
      </c>
      <c r="I135" s="40" t="s">
        <v>1896</v>
      </c>
      <c r="J135" s="46">
        <v>2346.44</v>
      </c>
      <c r="K135" s="3">
        <v>10</v>
      </c>
      <c r="L135" s="43">
        <v>0.15</v>
      </c>
      <c r="M135" s="48">
        <v>818.4</v>
      </c>
      <c r="N135" s="48" t="str">
        <f>IF(Table3[[#This Row],[Profit]]&lt;0,"Loss","Profit")</f>
        <v>Profit</v>
      </c>
    </row>
    <row r="136" spans="1:14" ht="15.6" x14ac:dyDescent="0.3">
      <c r="A136" s="31" t="s">
        <v>514</v>
      </c>
      <c r="B136" s="33">
        <v>45259</v>
      </c>
      <c r="C136" s="33">
        <v>45268</v>
      </c>
      <c r="D136" s="54" t="s">
        <v>1270</v>
      </c>
      <c r="E136" s="38" t="s">
        <v>1513</v>
      </c>
      <c r="F136" s="40" t="s">
        <v>1516</v>
      </c>
      <c r="G136" s="40" t="s">
        <v>1521</v>
      </c>
      <c r="H136" s="40" t="s">
        <v>1528</v>
      </c>
      <c r="I136" s="40" t="s">
        <v>2016</v>
      </c>
      <c r="J136" s="46">
        <v>1822.52</v>
      </c>
      <c r="K136" s="3">
        <v>6</v>
      </c>
      <c r="L136" s="43">
        <v>0.2</v>
      </c>
      <c r="M136" s="48">
        <v>-144.02000000000001</v>
      </c>
      <c r="N136" s="48" t="str">
        <f>IF(Table3[[#This Row],[Profit]]&lt;0,"Loss","Profit")</f>
        <v>Loss</v>
      </c>
    </row>
    <row r="137" spans="1:14" ht="15.6" x14ac:dyDescent="0.3">
      <c r="A137" s="31" t="s">
        <v>83</v>
      </c>
      <c r="B137" s="33">
        <v>45264</v>
      </c>
      <c r="C137" s="33">
        <v>45268</v>
      </c>
      <c r="D137" s="54" t="s">
        <v>852</v>
      </c>
      <c r="E137" s="38" t="s">
        <v>1514</v>
      </c>
      <c r="F137" s="40" t="s">
        <v>1516</v>
      </c>
      <c r="G137" s="40" t="s">
        <v>1522</v>
      </c>
      <c r="H137" s="40" t="s">
        <v>1531</v>
      </c>
      <c r="I137" s="40" t="s">
        <v>1602</v>
      </c>
      <c r="J137" s="46">
        <v>4204.18</v>
      </c>
      <c r="K137" s="3">
        <v>10</v>
      </c>
      <c r="L137" s="43">
        <v>0.05</v>
      </c>
      <c r="M137" s="48">
        <v>-289.25</v>
      </c>
      <c r="N137" s="48" t="str">
        <f>IF(Table3[[#This Row],[Profit]]&lt;0,"Loss","Profit")</f>
        <v>Loss</v>
      </c>
    </row>
    <row r="138" spans="1:14" ht="15.6" x14ac:dyDescent="0.3">
      <c r="A138" s="31" t="s">
        <v>632</v>
      </c>
      <c r="B138" s="33">
        <v>45261</v>
      </c>
      <c r="C138" s="33">
        <v>45269</v>
      </c>
      <c r="D138" s="54" t="s">
        <v>1386</v>
      </c>
      <c r="E138" s="38" t="s">
        <v>1513</v>
      </c>
      <c r="F138" s="40" t="s">
        <v>1519</v>
      </c>
      <c r="G138" s="40" t="s">
        <v>1522</v>
      </c>
      <c r="H138" s="40" t="s">
        <v>1527</v>
      </c>
      <c r="I138" s="40" t="s">
        <v>2128</v>
      </c>
      <c r="J138" s="46">
        <v>4645.6000000000004</v>
      </c>
      <c r="K138" s="3">
        <v>2</v>
      </c>
      <c r="L138" s="43">
        <v>0.15</v>
      </c>
      <c r="M138" s="48">
        <v>1117.55</v>
      </c>
      <c r="N138" s="48" t="str">
        <f>IF(Table3[[#This Row],[Profit]]&lt;0,"Loss","Profit")</f>
        <v>Profit</v>
      </c>
    </row>
    <row r="139" spans="1:14" ht="15.6" x14ac:dyDescent="0.3">
      <c r="A139" s="31" t="s">
        <v>641</v>
      </c>
      <c r="B139" s="33">
        <v>45266</v>
      </c>
      <c r="C139" s="33">
        <v>45271</v>
      </c>
      <c r="D139" s="54" t="s">
        <v>1395</v>
      </c>
      <c r="E139" s="38" t="s">
        <v>1515</v>
      </c>
      <c r="F139" s="40" t="s">
        <v>1519</v>
      </c>
      <c r="G139" s="40" t="s">
        <v>1521</v>
      </c>
      <c r="H139" s="40" t="s">
        <v>1530</v>
      </c>
      <c r="I139" s="40" t="s">
        <v>2137</v>
      </c>
      <c r="J139" s="46">
        <v>4922.75</v>
      </c>
      <c r="K139" s="3">
        <v>4</v>
      </c>
      <c r="L139" s="43">
        <v>0.1</v>
      </c>
      <c r="M139" s="48">
        <v>-925.79</v>
      </c>
      <c r="N139" s="48" t="str">
        <f>IF(Table3[[#This Row],[Profit]]&lt;0,"Loss","Profit")</f>
        <v>Loss</v>
      </c>
    </row>
    <row r="140" spans="1:14" ht="15.6" x14ac:dyDescent="0.3">
      <c r="A140" s="31" t="s">
        <v>452</v>
      </c>
      <c r="B140" s="33">
        <v>45270</v>
      </c>
      <c r="C140" s="33">
        <v>45271</v>
      </c>
      <c r="D140" s="54" t="s">
        <v>2283</v>
      </c>
      <c r="E140" s="38" t="s">
        <v>1515</v>
      </c>
      <c r="F140" s="40" t="s">
        <v>1518</v>
      </c>
      <c r="G140" s="40" t="s">
        <v>1520</v>
      </c>
      <c r="H140" s="40" t="s">
        <v>1523</v>
      </c>
      <c r="I140" s="40" t="s">
        <v>1958</v>
      </c>
      <c r="J140" s="46">
        <v>2581.9899999999998</v>
      </c>
      <c r="K140" s="3">
        <v>6</v>
      </c>
      <c r="L140" s="43">
        <v>0.2</v>
      </c>
      <c r="M140" s="48">
        <v>402.89</v>
      </c>
      <c r="N140" s="48" t="str">
        <f>IF(Table3[[#This Row],[Profit]]&lt;0,"Loss","Profit")</f>
        <v>Profit</v>
      </c>
    </row>
    <row r="141" spans="1:14" ht="15.6" x14ac:dyDescent="0.3">
      <c r="A141" s="31" t="s">
        <v>123</v>
      </c>
      <c r="B141" s="33">
        <v>45263</v>
      </c>
      <c r="C141" s="33">
        <v>45272</v>
      </c>
      <c r="D141" s="54" t="s">
        <v>891</v>
      </c>
      <c r="E141" s="38" t="s">
        <v>1514</v>
      </c>
      <c r="F141" s="40" t="s">
        <v>1518</v>
      </c>
      <c r="G141" s="40" t="s">
        <v>1522</v>
      </c>
      <c r="H141" s="40" t="s">
        <v>1529</v>
      </c>
      <c r="I141" s="40" t="s">
        <v>1641</v>
      </c>
      <c r="J141" s="46">
        <v>2447.4899999999998</v>
      </c>
      <c r="K141" s="3">
        <v>6</v>
      </c>
      <c r="L141" s="43">
        <v>0.2</v>
      </c>
      <c r="M141" s="48">
        <v>537.41999999999996</v>
      </c>
      <c r="N141" s="48" t="str">
        <f>IF(Table3[[#This Row],[Profit]]&lt;0,"Loss","Profit")</f>
        <v>Profit</v>
      </c>
    </row>
    <row r="142" spans="1:14" ht="15.6" x14ac:dyDescent="0.3">
      <c r="A142" s="31" t="s">
        <v>412</v>
      </c>
      <c r="B142" s="33">
        <v>45266</v>
      </c>
      <c r="C142" s="33">
        <v>45272</v>
      </c>
      <c r="D142" s="54" t="s">
        <v>1139</v>
      </c>
      <c r="E142" s="38" t="s">
        <v>1514</v>
      </c>
      <c r="F142" s="40" t="s">
        <v>1516</v>
      </c>
      <c r="G142" s="40" t="s">
        <v>1522</v>
      </c>
      <c r="H142" s="40" t="s">
        <v>1527</v>
      </c>
      <c r="I142" s="40" t="s">
        <v>1921</v>
      </c>
      <c r="J142" s="46">
        <v>4804.7700000000004</v>
      </c>
      <c r="K142" s="3">
        <v>6</v>
      </c>
      <c r="L142" s="43">
        <v>0.2</v>
      </c>
      <c r="M142" s="48">
        <v>1528.19</v>
      </c>
      <c r="N142" s="48" t="str">
        <f>IF(Table3[[#This Row],[Profit]]&lt;0,"Loss","Profit")</f>
        <v>Profit</v>
      </c>
    </row>
    <row r="143" spans="1:14" ht="15.6" x14ac:dyDescent="0.3">
      <c r="A143" s="31" t="s">
        <v>554</v>
      </c>
      <c r="B143" s="33">
        <v>45266</v>
      </c>
      <c r="C143" s="33">
        <v>45272</v>
      </c>
      <c r="D143" s="54" t="s">
        <v>1308</v>
      </c>
      <c r="E143" s="38" t="s">
        <v>1514</v>
      </c>
      <c r="F143" s="40" t="s">
        <v>1518</v>
      </c>
      <c r="G143" s="40" t="s">
        <v>1522</v>
      </c>
      <c r="H143" s="40" t="s">
        <v>1527</v>
      </c>
      <c r="I143" s="40" t="s">
        <v>2054</v>
      </c>
      <c r="J143" s="46">
        <v>4615.6400000000003</v>
      </c>
      <c r="K143" s="3">
        <v>10</v>
      </c>
      <c r="L143" s="43">
        <v>0.2</v>
      </c>
      <c r="M143" s="48">
        <v>-748.36</v>
      </c>
      <c r="N143" s="48" t="str">
        <f>IF(Table3[[#This Row],[Profit]]&lt;0,"Loss","Profit")</f>
        <v>Loss</v>
      </c>
    </row>
    <row r="144" spans="1:14" ht="15.6" x14ac:dyDescent="0.3">
      <c r="A144" s="31" t="s">
        <v>297</v>
      </c>
      <c r="B144" s="33">
        <v>45271</v>
      </c>
      <c r="C144" s="33">
        <v>45272</v>
      </c>
      <c r="D144" s="54" t="s">
        <v>1059</v>
      </c>
      <c r="E144" s="38" t="s">
        <v>1514</v>
      </c>
      <c r="F144" s="40" t="s">
        <v>1517</v>
      </c>
      <c r="G144" s="40" t="s">
        <v>1520</v>
      </c>
      <c r="H144" s="40" t="s">
        <v>1523</v>
      </c>
      <c r="I144" s="40" t="s">
        <v>1810</v>
      </c>
      <c r="J144" s="46">
        <v>1340.83</v>
      </c>
      <c r="K144" s="3">
        <v>10</v>
      </c>
      <c r="L144" s="43">
        <v>0.2</v>
      </c>
      <c r="M144" s="48">
        <v>262.81</v>
      </c>
      <c r="N144" s="48" t="str">
        <f>IF(Table3[[#This Row],[Profit]]&lt;0,"Loss","Profit")</f>
        <v>Profit</v>
      </c>
    </row>
    <row r="145" spans="1:14" ht="15.6" x14ac:dyDescent="0.3">
      <c r="A145" s="31" t="s">
        <v>277</v>
      </c>
      <c r="B145" s="33">
        <v>45271</v>
      </c>
      <c r="C145" s="33">
        <v>45273</v>
      </c>
      <c r="D145" s="54" t="s">
        <v>1040</v>
      </c>
      <c r="E145" s="38" t="s">
        <v>1514</v>
      </c>
      <c r="F145" s="40" t="s">
        <v>1516</v>
      </c>
      <c r="G145" s="40" t="s">
        <v>1521</v>
      </c>
      <c r="H145" s="40" t="s">
        <v>1526</v>
      </c>
      <c r="I145" s="40" t="s">
        <v>1792</v>
      </c>
      <c r="J145" s="46">
        <v>2728.76</v>
      </c>
      <c r="K145" s="3">
        <v>1</v>
      </c>
      <c r="L145" s="43">
        <v>0</v>
      </c>
      <c r="M145" s="48">
        <v>934.26</v>
      </c>
      <c r="N145" s="48" t="str">
        <f>IF(Table3[[#This Row],[Profit]]&lt;0,"Loss","Profit")</f>
        <v>Profit</v>
      </c>
    </row>
    <row r="146" spans="1:14" ht="15.6" x14ac:dyDescent="0.3">
      <c r="A146" s="31" t="s">
        <v>725</v>
      </c>
      <c r="B146" s="33">
        <v>45271</v>
      </c>
      <c r="C146" s="33">
        <v>45275</v>
      </c>
      <c r="D146" s="54" t="s">
        <v>1477</v>
      </c>
      <c r="E146" s="38" t="s">
        <v>1515</v>
      </c>
      <c r="F146" s="40" t="s">
        <v>1518</v>
      </c>
      <c r="G146" s="40" t="s">
        <v>1520</v>
      </c>
      <c r="H146" s="40" t="s">
        <v>1525</v>
      </c>
      <c r="I146" s="40" t="s">
        <v>2211</v>
      </c>
      <c r="J146" s="46">
        <v>906.77</v>
      </c>
      <c r="K146" s="3">
        <v>2</v>
      </c>
      <c r="L146" s="43">
        <v>0.2</v>
      </c>
      <c r="M146" s="48">
        <v>282.89</v>
      </c>
      <c r="N146" s="48" t="str">
        <f>IF(Table3[[#This Row],[Profit]]&lt;0,"Loss","Profit")</f>
        <v>Profit</v>
      </c>
    </row>
    <row r="147" spans="1:14" ht="15.6" x14ac:dyDescent="0.3">
      <c r="A147" s="31" t="s">
        <v>135</v>
      </c>
      <c r="B147" s="33">
        <v>45273</v>
      </c>
      <c r="C147" s="33">
        <v>45277</v>
      </c>
      <c r="D147" s="54" t="s">
        <v>903</v>
      </c>
      <c r="E147" s="38" t="s">
        <v>1515</v>
      </c>
      <c r="F147" s="40" t="s">
        <v>1519</v>
      </c>
      <c r="G147" s="40" t="s">
        <v>1521</v>
      </c>
      <c r="H147" s="40" t="s">
        <v>1526</v>
      </c>
      <c r="I147" s="40" t="s">
        <v>1653</v>
      </c>
      <c r="J147" s="46">
        <v>4996.8999999999996</v>
      </c>
      <c r="K147" s="3">
        <v>8</v>
      </c>
      <c r="L147" s="43">
        <v>0</v>
      </c>
      <c r="M147" s="48">
        <v>-347.47</v>
      </c>
      <c r="N147" s="48" t="str">
        <f>IF(Table3[[#This Row],[Profit]]&lt;0,"Loss","Profit")</f>
        <v>Loss</v>
      </c>
    </row>
    <row r="148" spans="1:14" ht="15.6" x14ac:dyDescent="0.3">
      <c r="A148" s="31" t="s">
        <v>106</v>
      </c>
      <c r="B148" s="33">
        <v>45271</v>
      </c>
      <c r="C148" s="33">
        <v>45278</v>
      </c>
      <c r="D148" s="54" t="s">
        <v>875</v>
      </c>
      <c r="E148" s="38" t="s">
        <v>1513</v>
      </c>
      <c r="F148" s="40" t="s">
        <v>1519</v>
      </c>
      <c r="G148" s="40" t="s">
        <v>1522</v>
      </c>
      <c r="H148" s="40" t="s">
        <v>1531</v>
      </c>
      <c r="I148" s="40" t="s">
        <v>1553</v>
      </c>
      <c r="J148" s="46">
        <v>2279.9899999999998</v>
      </c>
      <c r="K148" s="3">
        <v>10</v>
      </c>
      <c r="L148" s="43">
        <v>0.15</v>
      </c>
      <c r="M148" s="48">
        <v>-90.76</v>
      </c>
      <c r="N148" s="48" t="str">
        <f>IF(Table3[[#This Row],[Profit]]&lt;0,"Loss","Profit")</f>
        <v>Loss</v>
      </c>
    </row>
    <row r="149" spans="1:14" ht="15.6" x14ac:dyDescent="0.3">
      <c r="A149" s="31" t="s">
        <v>551</v>
      </c>
      <c r="B149" s="33">
        <v>45278</v>
      </c>
      <c r="C149" s="33">
        <v>45283</v>
      </c>
      <c r="D149" s="54" t="s">
        <v>1305</v>
      </c>
      <c r="E149" s="38" t="s">
        <v>1515</v>
      </c>
      <c r="F149" s="40" t="s">
        <v>1516</v>
      </c>
      <c r="G149" s="40" t="s">
        <v>1522</v>
      </c>
      <c r="H149" s="40" t="s">
        <v>1531</v>
      </c>
      <c r="I149" s="40" t="s">
        <v>2051</v>
      </c>
      <c r="J149" s="46">
        <v>4616.1099999999997</v>
      </c>
      <c r="K149" s="3">
        <v>9</v>
      </c>
      <c r="L149" s="43">
        <v>0.15</v>
      </c>
      <c r="M149" s="48">
        <v>598.46</v>
      </c>
      <c r="N149" s="48" t="str">
        <f>IF(Table3[[#This Row],[Profit]]&lt;0,"Loss","Profit")</f>
        <v>Profit</v>
      </c>
    </row>
    <row r="150" spans="1:14" ht="15.6" x14ac:dyDescent="0.3">
      <c r="A150" s="31" t="s">
        <v>207</v>
      </c>
      <c r="B150" s="33">
        <v>45286</v>
      </c>
      <c r="C150" s="33">
        <v>45288</v>
      </c>
      <c r="D150" s="54" t="s">
        <v>972</v>
      </c>
      <c r="E150" s="38" t="s">
        <v>1515</v>
      </c>
      <c r="F150" s="40" t="s">
        <v>1519</v>
      </c>
      <c r="G150" s="40" t="s">
        <v>1521</v>
      </c>
      <c r="H150" s="40" t="s">
        <v>1530</v>
      </c>
      <c r="I150" s="40" t="s">
        <v>1724</v>
      </c>
      <c r="J150" s="46">
        <v>3868.93</v>
      </c>
      <c r="K150" s="3">
        <v>6</v>
      </c>
      <c r="L150" s="43">
        <v>0.05</v>
      </c>
      <c r="M150" s="48">
        <v>-679.44</v>
      </c>
      <c r="N150" s="48" t="str">
        <f>IF(Table3[[#This Row],[Profit]]&lt;0,"Loss","Profit")</f>
        <v>Loss</v>
      </c>
    </row>
    <row r="151" spans="1:14" ht="15.6" x14ac:dyDescent="0.3">
      <c r="A151" s="31" t="s">
        <v>20</v>
      </c>
      <c r="B151" s="33">
        <v>45288</v>
      </c>
      <c r="C151" s="33">
        <v>45294</v>
      </c>
      <c r="D151" s="54" t="s">
        <v>789</v>
      </c>
      <c r="E151" s="38" t="s">
        <v>1515</v>
      </c>
      <c r="F151" s="40" t="s">
        <v>1516</v>
      </c>
      <c r="G151" s="40" t="s">
        <v>1521</v>
      </c>
      <c r="H151" s="40" t="s">
        <v>1528</v>
      </c>
      <c r="I151" s="40" t="s">
        <v>1539</v>
      </c>
      <c r="J151" s="46">
        <v>855.14</v>
      </c>
      <c r="K151" s="3">
        <v>6</v>
      </c>
      <c r="L151" s="43">
        <v>0.05</v>
      </c>
      <c r="M151" s="48">
        <v>144.16999999999999</v>
      </c>
      <c r="N151" s="48" t="str">
        <f>IF(Table3[[#This Row],[Profit]]&lt;0,"Loss","Profit")</f>
        <v>Profit</v>
      </c>
    </row>
    <row r="152" spans="1:14" ht="15.6" x14ac:dyDescent="0.3">
      <c r="A152" s="31" t="s">
        <v>316</v>
      </c>
      <c r="B152" s="33">
        <v>45289</v>
      </c>
      <c r="C152" s="33">
        <v>45294</v>
      </c>
      <c r="D152" s="54" t="s">
        <v>1077</v>
      </c>
      <c r="E152" s="38" t="s">
        <v>1513</v>
      </c>
      <c r="F152" s="40" t="s">
        <v>1518</v>
      </c>
      <c r="G152" s="40" t="s">
        <v>1522</v>
      </c>
      <c r="H152" s="40" t="s">
        <v>1531</v>
      </c>
      <c r="I152" s="40" t="s">
        <v>1828</v>
      </c>
      <c r="J152" s="46">
        <v>2251.44</v>
      </c>
      <c r="K152" s="3">
        <v>5</v>
      </c>
      <c r="L152" s="43">
        <v>0</v>
      </c>
      <c r="M152" s="48">
        <v>-286.20999999999998</v>
      </c>
      <c r="N152" s="48" t="str">
        <f>IF(Table3[[#This Row],[Profit]]&lt;0,"Loss","Profit")</f>
        <v>Loss</v>
      </c>
    </row>
    <row r="153" spans="1:14" ht="15.6" x14ac:dyDescent="0.3">
      <c r="A153" s="31" t="s">
        <v>436</v>
      </c>
      <c r="B153" s="33">
        <v>45289</v>
      </c>
      <c r="C153" s="33">
        <v>45298</v>
      </c>
      <c r="D153" s="54" t="s">
        <v>1193</v>
      </c>
      <c r="E153" s="38" t="s">
        <v>1513</v>
      </c>
      <c r="F153" s="40" t="s">
        <v>1518</v>
      </c>
      <c r="G153" s="40" t="s">
        <v>1522</v>
      </c>
      <c r="H153" s="40" t="s">
        <v>1529</v>
      </c>
      <c r="I153" s="40" t="s">
        <v>1942</v>
      </c>
      <c r="J153" s="46">
        <v>2016.91</v>
      </c>
      <c r="K153" s="3">
        <v>6</v>
      </c>
      <c r="L153" s="43">
        <v>0.1</v>
      </c>
      <c r="M153" s="48">
        <v>173.11</v>
      </c>
      <c r="N153" s="48" t="str">
        <f>IF(Table3[[#This Row],[Profit]]&lt;0,"Loss","Profit")</f>
        <v>Profit</v>
      </c>
    </row>
    <row r="154" spans="1:14" ht="15.6" x14ac:dyDescent="0.3">
      <c r="A154" s="31" t="s">
        <v>28</v>
      </c>
      <c r="B154" s="33">
        <v>45297</v>
      </c>
      <c r="C154" s="33">
        <v>45299</v>
      </c>
      <c r="D154" s="54" t="s">
        <v>797</v>
      </c>
      <c r="E154" s="38" t="s">
        <v>1515</v>
      </c>
      <c r="F154" s="40" t="s">
        <v>1519</v>
      </c>
      <c r="G154" s="40" t="s">
        <v>1520</v>
      </c>
      <c r="H154" s="40" t="s">
        <v>1524</v>
      </c>
      <c r="I154" s="40" t="s">
        <v>1547</v>
      </c>
      <c r="J154" s="46">
        <v>1502.83</v>
      </c>
      <c r="K154" s="3">
        <v>3</v>
      </c>
      <c r="L154" s="43">
        <v>0.15</v>
      </c>
      <c r="M154" s="48">
        <v>-297.88</v>
      </c>
      <c r="N154" s="48" t="str">
        <f>IF(Table3[[#This Row],[Profit]]&lt;0,"Loss","Profit")</f>
        <v>Loss</v>
      </c>
    </row>
    <row r="155" spans="1:14" ht="15.6" x14ac:dyDescent="0.3">
      <c r="A155" s="31" t="s">
        <v>523</v>
      </c>
      <c r="B155" s="33">
        <v>45297</v>
      </c>
      <c r="C155" s="33">
        <v>45302</v>
      </c>
      <c r="D155" s="54" t="s">
        <v>1278</v>
      </c>
      <c r="E155" s="38" t="s">
        <v>1514</v>
      </c>
      <c r="F155" s="40" t="s">
        <v>1516</v>
      </c>
      <c r="G155" s="40" t="s">
        <v>1520</v>
      </c>
      <c r="H155" s="40" t="s">
        <v>1523</v>
      </c>
      <c r="I155" s="40" t="s">
        <v>2025</v>
      </c>
      <c r="J155" s="46">
        <v>2067.7800000000002</v>
      </c>
      <c r="K155" s="3">
        <v>8</v>
      </c>
      <c r="L155" s="43">
        <v>0.2</v>
      </c>
      <c r="M155" s="48">
        <v>46.41</v>
      </c>
      <c r="N155" s="48" t="str">
        <f>IF(Table3[[#This Row],[Profit]]&lt;0,"Loss","Profit")</f>
        <v>Profit</v>
      </c>
    </row>
    <row r="156" spans="1:14" ht="15.6" x14ac:dyDescent="0.3">
      <c r="A156" s="31" t="s">
        <v>671</v>
      </c>
      <c r="B156" s="33">
        <v>45294</v>
      </c>
      <c r="C156" s="33">
        <v>45304</v>
      </c>
      <c r="D156" s="54" t="s">
        <v>1424</v>
      </c>
      <c r="E156" s="38" t="s">
        <v>1514</v>
      </c>
      <c r="F156" s="40" t="s">
        <v>1516</v>
      </c>
      <c r="G156" s="40" t="s">
        <v>1520</v>
      </c>
      <c r="H156" s="40" t="s">
        <v>1525</v>
      </c>
      <c r="I156" s="40" t="s">
        <v>2163</v>
      </c>
      <c r="J156" s="46">
        <v>1193.01</v>
      </c>
      <c r="K156" s="3">
        <v>4</v>
      </c>
      <c r="L156" s="43">
        <v>0.05</v>
      </c>
      <c r="M156" s="48">
        <v>212.42</v>
      </c>
      <c r="N156" s="48" t="str">
        <f>IF(Table3[[#This Row],[Profit]]&lt;0,"Loss","Profit")</f>
        <v>Profit</v>
      </c>
    </row>
    <row r="157" spans="1:14" ht="15.6" x14ac:dyDescent="0.3">
      <c r="A157" s="31" t="s">
        <v>110</v>
      </c>
      <c r="B157" s="33">
        <v>45299</v>
      </c>
      <c r="C157" s="33">
        <v>45304</v>
      </c>
      <c r="D157" s="54" t="s">
        <v>2257</v>
      </c>
      <c r="E157" s="38" t="s">
        <v>1513</v>
      </c>
      <c r="F157" s="40" t="s">
        <v>1518</v>
      </c>
      <c r="G157" s="40" t="s">
        <v>1520</v>
      </c>
      <c r="H157" s="40" t="s">
        <v>1524</v>
      </c>
      <c r="I157" s="40" t="s">
        <v>1628</v>
      </c>
      <c r="J157" s="46">
        <v>2527.34</v>
      </c>
      <c r="K157" s="3">
        <v>8</v>
      </c>
      <c r="L157" s="43">
        <v>0.15</v>
      </c>
      <c r="M157" s="48">
        <v>-393.65</v>
      </c>
      <c r="N157" s="48" t="str">
        <f>IF(Table3[[#This Row],[Profit]]&lt;0,"Loss","Profit")</f>
        <v>Loss</v>
      </c>
    </row>
    <row r="158" spans="1:14" ht="15.6" x14ac:dyDescent="0.3">
      <c r="A158" s="31" t="s">
        <v>540</v>
      </c>
      <c r="B158" s="33">
        <v>45296</v>
      </c>
      <c r="C158" s="33">
        <v>45305</v>
      </c>
      <c r="D158" s="54" t="s">
        <v>1295</v>
      </c>
      <c r="E158" s="38" t="s">
        <v>1515</v>
      </c>
      <c r="F158" s="40" t="s">
        <v>1517</v>
      </c>
      <c r="G158" s="40" t="s">
        <v>1521</v>
      </c>
      <c r="H158" s="40" t="s">
        <v>1526</v>
      </c>
      <c r="I158" s="40" t="s">
        <v>2040</v>
      </c>
      <c r="J158" s="46">
        <v>102.43</v>
      </c>
      <c r="K158" s="3">
        <v>4</v>
      </c>
      <c r="L158" s="43">
        <v>0.2</v>
      </c>
      <c r="M158" s="48">
        <v>18.059999999999999</v>
      </c>
      <c r="N158" s="48" t="str">
        <f>IF(Table3[[#This Row],[Profit]]&lt;0,"Loss","Profit")</f>
        <v>Profit</v>
      </c>
    </row>
    <row r="159" spans="1:14" ht="15.6" x14ac:dyDescent="0.3">
      <c r="A159" s="31" t="s">
        <v>561</v>
      </c>
      <c r="B159" s="33">
        <v>45303</v>
      </c>
      <c r="C159" s="33">
        <v>45307</v>
      </c>
      <c r="D159" s="54" t="s">
        <v>1315</v>
      </c>
      <c r="E159" s="38" t="s">
        <v>1513</v>
      </c>
      <c r="F159" s="40" t="s">
        <v>1518</v>
      </c>
      <c r="G159" s="40" t="s">
        <v>1521</v>
      </c>
      <c r="H159" s="40" t="s">
        <v>1528</v>
      </c>
      <c r="I159" s="40" t="s">
        <v>2061</v>
      </c>
      <c r="J159" s="46">
        <v>3454.45</v>
      </c>
      <c r="K159" s="3">
        <v>6</v>
      </c>
      <c r="L159" s="43">
        <v>0.15</v>
      </c>
      <c r="M159" s="48">
        <v>-2.6</v>
      </c>
      <c r="N159" s="48" t="str">
        <f>IF(Table3[[#This Row],[Profit]]&lt;0,"Loss","Profit")</f>
        <v>Loss</v>
      </c>
    </row>
    <row r="160" spans="1:14" ht="15.6" x14ac:dyDescent="0.3">
      <c r="A160" s="31" t="s">
        <v>109</v>
      </c>
      <c r="B160" s="33">
        <v>45298</v>
      </c>
      <c r="C160" s="33">
        <v>45308</v>
      </c>
      <c r="D160" s="54" t="s">
        <v>878</v>
      </c>
      <c r="E160" s="38" t="s">
        <v>1514</v>
      </c>
      <c r="F160" s="40" t="s">
        <v>1519</v>
      </c>
      <c r="G160" s="40" t="s">
        <v>1522</v>
      </c>
      <c r="H160" s="40" t="s">
        <v>1529</v>
      </c>
      <c r="I160" s="40" t="s">
        <v>1627</v>
      </c>
      <c r="J160" s="46">
        <v>3757.34</v>
      </c>
      <c r="K160" s="3">
        <v>10</v>
      </c>
      <c r="L160" s="43">
        <v>0.1</v>
      </c>
      <c r="M160" s="48">
        <v>156.06</v>
      </c>
      <c r="N160" s="48" t="str">
        <f>IF(Table3[[#This Row],[Profit]]&lt;0,"Loss","Profit")</f>
        <v>Profit</v>
      </c>
    </row>
    <row r="161" spans="1:14" ht="15.6" x14ac:dyDescent="0.3">
      <c r="A161" s="31" t="s">
        <v>659</v>
      </c>
      <c r="B161" s="33">
        <v>45308</v>
      </c>
      <c r="C161" s="33">
        <v>45309</v>
      </c>
      <c r="D161" s="54" t="s">
        <v>1412</v>
      </c>
      <c r="E161" s="38" t="s">
        <v>1515</v>
      </c>
      <c r="F161" s="40" t="s">
        <v>1516</v>
      </c>
      <c r="G161" s="40" t="s">
        <v>1521</v>
      </c>
      <c r="H161" s="40" t="s">
        <v>1530</v>
      </c>
      <c r="I161" s="40" t="s">
        <v>2153</v>
      </c>
      <c r="J161" s="46">
        <v>1455.87</v>
      </c>
      <c r="K161" s="3">
        <v>10</v>
      </c>
      <c r="L161" s="43">
        <v>0.1</v>
      </c>
      <c r="M161" s="48">
        <v>-248.67</v>
      </c>
      <c r="N161" s="48" t="str">
        <f>IF(Table3[[#This Row],[Profit]]&lt;0,"Loss","Profit")</f>
        <v>Loss</v>
      </c>
    </row>
    <row r="162" spans="1:14" ht="15.6" x14ac:dyDescent="0.3">
      <c r="A162" s="31" t="s">
        <v>743</v>
      </c>
      <c r="B162" s="33">
        <v>45308</v>
      </c>
      <c r="C162" s="33">
        <v>45309</v>
      </c>
      <c r="D162" s="54" t="s">
        <v>1495</v>
      </c>
      <c r="E162" s="38" t="s">
        <v>1515</v>
      </c>
      <c r="F162" s="40" t="s">
        <v>1519</v>
      </c>
      <c r="G162" s="40" t="s">
        <v>1521</v>
      </c>
      <c r="H162" s="40" t="s">
        <v>1530</v>
      </c>
      <c r="I162" s="40" t="s">
        <v>2228</v>
      </c>
      <c r="J162" s="46">
        <v>3490.5</v>
      </c>
      <c r="K162" s="3">
        <v>10</v>
      </c>
      <c r="L162" s="43">
        <v>0.2</v>
      </c>
      <c r="M162" s="48">
        <v>-114.35</v>
      </c>
      <c r="N162" s="48" t="str">
        <f>IF(Table3[[#This Row],[Profit]]&lt;0,"Loss","Profit")</f>
        <v>Loss</v>
      </c>
    </row>
    <row r="163" spans="1:14" ht="15.6" x14ac:dyDescent="0.3">
      <c r="A163" s="31" t="s">
        <v>451</v>
      </c>
      <c r="B163" s="33">
        <v>45306</v>
      </c>
      <c r="C163" s="33">
        <v>45312</v>
      </c>
      <c r="D163" s="54" t="s">
        <v>1208</v>
      </c>
      <c r="E163" s="38" t="s">
        <v>1515</v>
      </c>
      <c r="F163" s="40" t="s">
        <v>1518</v>
      </c>
      <c r="G163" s="40" t="s">
        <v>1521</v>
      </c>
      <c r="H163" s="40" t="s">
        <v>1526</v>
      </c>
      <c r="I163" s="40" t="s">
        <v>1957</v>
      </c>
      <c r="J163" s="46">
        <v>2322.04</v>
      </c>
      <c r="K163" s="3">
        <v>4</v>
      </c>
      <c r="L163" s="43">
        <v>0.15</v>
      </c>
      <c r="M163" s="48">
        <v>-78.53</v>
      </c>
      <c r="N163" s="48" t="str">
        <f>IF(Table3[[#This Row],[Profit]]&lt;0,"Loss","Profit")</f>
        <v>Loss</v>
      </c>
    </row>
    <row r="164" spans="1:14" ht="15.6" x14ac:dyDescent="0.3">
      <c r="A164" s="31" t="s">
        <v>153</v>
      </c>
      <c r="B164" s="33">
        <v>45310</v>
      </c>
      <c r="C164" s="33">
        <v>45314</v>
      </c>
      <c r="D164" s="54" t="s">
        <v>920</v>
      </c>
      <c r="E164" s="38" t="s">
        <v>1513</v>
      </c>
      <c r="F164" s="40" t="s">
        <v>1518</v>
      </c>
      <c r="G164" s="40" t="s">
        <v>1522</v>
      </c>
      <c r="H164" s="40" t="s">
        <v>1529</v>
      </c>
      <c r="I164" s="40" t="s">
        <v>1671</v>
      </c>
      <c r="J164" s="46">
        <v>2964.82</v>
      </c>
      <c r="K164" s="3">
        <v>1</v>
      </c>
      <c r="L164" s="43">
        <v>0.05</v>
      </c>
      <c r="M164" s="48">
        <v>-160.24</v>
      </c>
      <c r="N164" s="48" t="str">
        <f>IF(Table3[[#This Row],[Profit]]&lt;0,"Loss","Profit")</f>
        <v>Loss</v>
      </c>
    </row>
    <row r="165" spans="1:14" ht="15.6" x14ac:dyDescent="0.3">
      <c r="A165" s="31" t="s">
        <v>515</v>
      </c>
      <c r="B165" s="33">
        <v>45308</v>
      </c>
      <c r="C165" s="33">
        <v>45315</v>
      </c>
      <c r="D165" s="54" t="s">
        <v>1271</v>
      </c>
      <c r="E165" s="38" t="s">
        <v>1513</v>
      </c>
      <c r="F165" s="40" t="s">
        <v>1519</v>
      </c>
      <c r="G165" s="40" t="s">
        <v>1520</v>
      </c>
      <c r="H165" s="40" t="s">
        <v>1523</v>
      </c>
      <c r="I165" s="40" t="s">
        <v>2017</v>
      </c>
      <c r="J165" s="46">
        <v>2738.25</v>
      </c>
      <c r="K165" s="3">
        <v>7</v>
      </c>
      <c r="L165" s="43">
        <v>0</v>
      </c>
      <c r="M165" s="48">
        <v>-21.44</v>
      </c>
      <c r="N165" s="48" t="str">
        <f>IF(Table3[[#This Row],[Profit]]&lt;0,"Loss","Profit")</f>
        <v>Loss</v>
      </c>
    </row>
    <row r="166" spans="1:14" ht="15.6" x14ac:dyDescent="0.3">
      <c r="A166" s="31" t="s">
        <v>516</v>
      </c>
      <c r="B166" s="33">
        <v>45310</v>
      </c>
      <c r="C166" s="33">
        <v>45315</v>
      </c>
      <c r="D166" s="54" t="s">
        <v>1272</v>
      </c>
      <c r="E166" s="38" t="s">
        <v>1515</v>
      </c>
      <c r="F166" s="40" t="s">
        <v>1516</v>
      </c>
      <c r="G166" s="40" t="s">
        <v>1521</v>
      </c>
      <c r="H166" s="40" t="s">
        <v>1526</v>
      </c>
      <c r="I166" s="40" t="s">
        <v>2018</v>
      </c>
      <c r="J166" s="46">
        <v>1131.3</v>
      </c>
      <c r="K166" s="3">
        <v>10</v>
      </c>
      <c r="L166" s="43">
        <v>0.2</v>
      </c>
      <c r="M166" s="48">
        <v>69.2</v>
      </c>
      <c r="N166" s="48" t="str">
        <f>IF(Table3[[#This Row],[Profit]]&lt;0,"Loss","Profit")</f>
        <v>Profit</v>
      </c>
    </row>
    <row r="167" spans="1:14" ht="15.6" x14ac:dyDescent="0.3">
      <c r="A167" s="31" t="s">
        <v>680</v>
      </c>
      <c r="B167" s="33" t="s">
        <v>764</v>
      </c>
      <c r="C167" s="33">
        <v>45317</v>
      </c>
      <c r="D167" s="54" t="s">
        <v>1433</v>
      </c>
      <c r="E167" s="38" t="s">
        <v>1515</v>
      </c>
      <c r="F167" s="40" t="s">
        <v>1517</v>
      </c>
      <c r="G167" s="40" t="s">
        <v>1520</v>
      </c>
      <c r="H167" s="40" t="s">
        <v>1524</v>
      </c>
      <c r="I167" s="40" t="s">
        <v>2172</v>
      </c>
      <c r="J167" s="46">
        <v>3627.1</v>
      </c>
      <c r="K167" s="3">
        <v>2</v>
      </c>
      <c r="L167" s="43">
        <v>0.05</v>
      </c>
      <c r="M167" s="48">
        <v>828.07</v>
      </c>
      <c r="N167" s="48" t="str">
        <f>IF(Table3[[#This Row],[Profit]]&lt;0,"Loss","Profit")</f>
        <v>Profit</v>
      </c>
    </row>
    <row r="168" spans="1:14" ht="15.6" x14ac:dyDescent="0.3">
      <c r="A168" s="31" t="s">
        <v>196</v>
      </c>
      <c r="B168" s="33">
        <v>45310</v>
      </c>
      <c r="C168" s="33">
        <v>45318</v>
      </c>
      <c r="D168" s="54" t="s">
        <v>961</v>
      </c>
      <c r="E168" s="38" t="s">
        <v>1515</v>
      </c>
      <c r="F168" s="40" t="s">
        <v>1516</v>
      </c>
      <c r="G168" s="40" t="s">
        <v>1521</v>
      </c>
      <c r="H168" s="40" t="s">
        <v>1530</v>
      </c>
      <c r="I168" s="40" t="s">
        <v>1713</v>
      </c>
      <c r="J168" s="46">
        <v>4376.88</v>
      </c>
      <c r="K168" s="3">
        <v>9</v>
      </c>
      <c r="L168" s="43">
        <v>0</v>
      </c>
      <c r="M168" s="48">
        <v>837.17</v>
      </c>
      <c r="N168" s="48" t="str">
        <f>IF(Table3[[#This Row],[Profit]]&lt;0,"Loss","Profit")</f>
        <v>Profit</v>
      </c>
    </row>
    <row r="169" spans="1:14" ht="15.6" x14ac:dyDescent="0.3">
      <c r="A169" s="31" t="s">
        <v>714</v>
      </c>
      <c r="B169" s="33">
        <v>45310</v>
      </c>
      <c r="C169" s="33">
        <v>45319</v>
      </c>
      <c r="D169" s="54" t="s">
        <v>1466</v>
      </c>
      <c r="E169" s="38" t="s">
        <v>1515</v>
      </c>
      <c r="F169" s="40" t="s">
        <v>1517</v>
      </c>
      <c r="G169" s="40" t="s">
        <v>1520</v>
      </c>
      <c r="H169" s="40" t="s">
        <v>1524</v>
      </c>
      <c r="I169" s="40" t="s">
        <v>2202</v>
      </c>
      <c r="J169" s="46">
        <v>1626.5</v>
      </c>
      <c r="K169" s="3">
        <v>3</v>
      </c>
      <c r="L169" s="43">
        <v>0.2</v>
      </c>
      <c r="M169" s="48">
        <v>393.94</v>
      </c>
      <c r="N169" s="48" t="str">
        <f>IF(Table3[[#This Row],[Profit]]&lt;0,"Loss","Profit")</f>
        <v>Profit</v>
      </c>
    </row>
    <row r="170" spans="1:14" ht="15.6" x14ac:dyDescent="0.3">
      <c r="A170" s="31" t="s">
        <v>65</v>
      </c>
      <c r="B170" s="33" t="s">
        <v>764</v>
      </c>
      <c r="C170" s="33">
        <v>45320</v>
      </c>
      <c r="D170" s="54" t="s">
        <v>834</v>
      </c>
      <c r="E170" s="38" t="s">
        <v>1514</v>
      </c>
      <c r="F170" s="40" t="s">
        <v>1519</v>
      </c>
      <c r="G170" s="40" t="s">
        <v>1520</v>
      </c>
      <c r="H170" s="40" t="s">
        <v>1525</v>
      </c>
      <c r="I170" s="40" t="s">
        <v>1584</v>
      </c>
      <c r="J170" s="46">
        <v>2060.0700000000002</v>
      </c>
      <c r="K170" s="3">
        <v>1</v>
      </c>
      <c r="L170" s="43">
        <v>0.1</v>
      </c>
      <c r="M170" s="48">
        <v>-86.93</v>
      </c>
      <c r="N170" s="48" t="str">
        <f>IF(Table3[[#This Row],[Profit]]&lt;0,"Loss","Profit")</f>
        <v>Loss</v>
      </c>
    </row>
    <row r="171" spans="1:14" ht="15.6" x14ac:dyDescent="0.3">
      <c r="A171" s="31" t="s">
        <v>257</v>
      </c>
      <c r="B171" s="33">
        <v>45320</v>
      </c>
      <c r="C171" s="33">
        <v>45322</v>
      </c>
      <c r="D171" s="54" t="s">
        <v>1021</v>
      </c>
      <c r="E171" s="38" t="s">
        <v>1514</v>
      </c>
      <c r="F171" s="40" t="s">
        <v>1517</v>
      </c>
      <c r="G171" s="40" t="s">
        <v>1522</v>
      </c>
      <c r="H171" s="40" t="s">
        <v>1529</v>
      </c>
      <c r="I171" s="40" t="s">
        <v>1773</v>
      </c>
      <c r="J171" s="46">
        <v>1764.5</v>
      </c>
      <c r="K171" s="3">
        <v>8</v>
      </c>
      <c r="L171" s="43">
        <v>0.2</v>
      </c>
      <c r="M171" s="48">
        <v>-104.03</v>
      </c>
      <c r="N171" s="48" t="str">
        <f>IF(Table3[[#This Row],[Profit]]&lt;0,"Loss","Profit")</f>
        <v>Loss</v>
      </c>
    </row>
    <row r="172" spans="1:14" ht="15.6" x14ac:dyDescent="0.3">
      <c r="A172" s="31" t="s">
        <v>206</v>
      </c>
      <c r="B172" s="33">
        <v>45321</v>
      </c>
      <c r="C172" s="33">
        <v>45322</v>
      </c>
      <c r="D172" s="54" t="s">
        <v>971</v>
      </c>
      <c r="E172" s="38" t="s">
        <v>1514</v>
      </c>
      <c r="F172" s="40" t="s">
        <v>1516</v>
      </c>
      <c r="G172" s="40" t="s">
        <v>1521</v>
      </c>
      <c r="H172" s="40" t="s">
        <v>1526</v>
      </c>
      <c r="I172" s="40" t="s">
        <v>1723</v>
      </c>
      <c r="J172" s="46">
        <v>3196.57</v>
      </c>
      <c r="K172" s="3">
        <v>6</v>
      </c>
      <c r="L172" s="43">
        <v>0.1</v>
      </c>
      <c r="M172" s="48">
        <v>674.55</v>
      </c>
      <c r="N172" s="48" t="str">
        <f>IF(Table3[[#This Row],[Profit]]&lt;0,"Loss","Profit")</f>
        <v>Profit</v>
      </c>
    </row>
    <row r="173" spans="1:14" ht="15.6" x14ac:dyDescent="0.3">
      <c r="A173" s="31" t="s">
        <v>220</v>
      </c>
      <c r="B173" s="33">
        <v>45321</v>
      </c>
      <c r="C173" s="33">
        <v>45328</v>
      </c>
      <c r="D173" s="54" t="s">
        <v>985</v>
      </c>
      <c r="E173" s="38" t="s">
        <v>1515</v>
      </c>
      <c r="F173" s="40" t="s">
        <v>1518</v>
      </c>
      <c r="G173" s="40" t="s">
        <v>1521</v>
      </c>
      <c r="H173" s="40" t="s">
        <v>1528</v>
      </c>
      <c r="I173" s="40" t="s">
        <v>1736</v>
      </c>
      <c r="J173" s="46">
        <v>4572.04</v>
      </c>
      <c r="K173" s="3">
        <v>2</v>
      </c>
      <c r="L173" s="43">
        <v>0.1</v>
      </c>
      <c r="M173" s="48">
        <v>1034.33</v>
      </c>
      <c r="N173" s="48" t="str">
        <f>IF(Table3[[#This Row],[Profit]]&lt;0,"Loss","Profit")</f>
        <v>Profit</v>
      </c>
    </row>
    <row r="174" spans="1:14" ht="15.6" x14ac:dyDescent="0.3">
      <c r="A174" s="31" t="s">
        <v>483</v>
      </c>
      <c r="B174" s="33">
        <v>45327</v>
      </c>
      <c r="C174" s="33">
        <v>45329</v>
      </c>
      <c r="D174" s="54" t="s">
        <v>1239</v>
      </c>
      <c r="E174" s="38" t="s">
        <v>1515</v>
      </c>
      <c r="F174" s="40" t="s">
        <v>1518</v>
      </c>
      <c r="G174" s="40" t="s">
        <v>1520</v>
      </c>
      <c r="H174" s="40" t="s">
        <v>1523</v>
      </c>
      <c r="I174" s="40" t="s">
        <v>1986</v>
      </c>
      <c r="J174" s="46">
        <v>705.93</v>
      </c>
      <c r="K174" s="3">
        <v>1</v>
      </c>
      <c r="L174" s="43">
        <v>0.05</v>
      </c>
      <c r="M174" s="48">
        <v>-100.92</v>
      </c>
      <c r="N174" s="48" t="str">
        <f>IF(Table3[[#This Row],[Profit]]&lt;0,"Loss","Profit")</f>
        <v>Loss</v>
      </c>
    </row>
    <row r="175" spans="1:14" ht="15.6" x14ac:dyDescent="0.3">
      <c r="A175" s="31" t="s">
        <v>377</v>
      </c>
      <c r="B175" s="33">
        <v>45321</v>
      </c>
      <c r="C175" s="33">
        <v>45331</v>
      </c>
      <c r="D175" s="54" t="s">
        <v>1135</v>
      </c>
      <c r="E175" s="38" t="s">
        <v>1513</v>
      </c>
      <c r="F175" s="40" t="s">
        <v>1516</v>
      </c>
      <c r="G175" s="40" t="s">
        <v>1521</v>
      </c>
      <c r="H175" s="40" t="s">
        <v>1528</v>
      </c>
      <c r="I175" s="40" t="s">
        <v>1887</v>
      </c>
      <c r="J175" s="46">
        <v>322.39</v>
      </c>
      <c r="K175" s="3">
        <v>3</v>
      </c>
      <c r="L175" s="43">
        <v>0</v>
      </c>
      <c r="M175" s="48">
        <v>-62.23</v>
      </c>
      <c r="N175" s="48" t="str">
        <f>IF(Table3[[#This Row],[Profit]]&lt;0,"Loss","Profit")</f>
        <v>Loss</v>
      </c>
    </row>
    <row r="176" spans="1:14" ht="15.6" x14ac:dyDescent="0.3">
      <c r="A176" s="31" t="s">
        <v>310</v>
      </c>
      <c r="B176" s="33">
        <v>45328</v>
      </c>
      <c r="C176" s="33">
        <v>45332</v>
      </c>
      <c r="D176" s="54" t="s">
        <v>1072</v>
      </c>
      <c r="E176" s="38" t="s">
        <v>1515</v>
      </c>
      <c r="F176" s="40" t="s">
        <v>1517</v>
      </c>
      <c r="G176" s="40" t="s">
        <v>1521</v>
      </c>
      <c r="H176" s="40" t="s">
        <v>1530</v>
      </c>
      <c r="I176" s="40" t="s">
        <v>1823</v>
      </c>
      <c r="J176" s="46">
        <v>2955.83</v>
      </c>
      <c r="K176" s="3">
        <v>7</v>
      </c>
      <c r="L176" s="43">
        <v>0</v>
      </c>
      <c r="M176" s="48">
        <v>-104.63</v>
      </c>
      <c r="N176" s="48" t="str">
        <f>IF(Table3[[#This Row],[Profit]]&lt;0,"Loss","Profit")</f>
        <v>Loss</v>
      </c>
    </row>
    <row r="177" spans="1:14" ht="15.6" x14ac:dyDescent="0.3">
      <c r="A177" s="31" t="s">
        <v>409</v>
      </c>
      <c r="B177" s="33">
        <v>45329</v>
      </c>
      <c r="C177" s="33">
        <v>45332</v>
      </c>
      <c r="D177" s="54" t="s">
        <v>1167</v>
      </c>
      <c r="E177" s="38" t="s">
        <v>1513</v>
      </c>
      <c r="F177" s="40" t="s">
        <v>1518</v>
      </c>
      <c r="G177" s="40" t="s">
        <v>1520</v>
      </c>
      <c r="H177" s="40" t="s">
        <v>1525</v>
      </c>
      <c r="I177" s="40" t="s">
        <v>1918</v>
      </c>
      <c r="J177" s="46">
        <v>2837.39</v>
      </c>
      <c r="K177" s="3">
        <v>4</v>
      </c>
      <c r="L177" s="43">
        <v>0.15</v>
      </c>
      <c r="M177" s="48">
        <v>278.54000000000002</v>
      </c>
      <c r="N177" s="48" t="str">
        <f>IF(Table3[[#This Row],[Profit]]&lt;0,"Loss","Profit")</f>
        <v>Profit</v>
      </c>
    </row>
    <row r="178" spans="1:14" ht="15.6" x14ac:dyDescent="0.3">
      <c r="A178" s="31" t="s">
        <v>239</v>
      </c>
      <c r="B178" s="33">
        <v>45335</v>
      </c>
      <c r="C178" s="33">
        <v>45336</v>
      </c>
      <c r="D178" s="54" t="s">
        <v>1003</v>
      </c>
      <c r="E178" s="38" t="s">
        <v>1515</v>
      </c>
      <c r="F178" s="40" t="s">
        <v>1518</v>
      </c>
      <c r="G178" s="40" t="s">
        <v>1520</v>
      </c>
      <c r="H178" s="40" t="s">
        <v>1524</v>
      </c>
      <c r="I178" s="40" t="s">
        <v>1755</v>
      </c>
      <c r="J178" s="46">
        <v>300.18</v>
      </c>
      <c r="K178" s="3">
        <v>8</v>
      </c>
      <c r="L178" s="43">
        <v>0.2</v>
      </c>
      <c r="M178" s="48">
        <v>85.64</v>
      </c>
      <c r="N178" s="48" t="str">
        <f>IF(Table3[[#This Row],[Profit]]&lt;0,"Loss","Profit")</f>
        <v>Profit</v>
      </c>
    </row>
    <row r="179" spans="1:14" ht="15.6" x14ac:dyDescent="0.3">
      <c r="A179" s="31" t="s">
        <v>735</v>
      </c>
      <c r="B179" s="33">
        <v>45329</v>
      </c>
      <c r="C179" s="33">
        <v>45337</v>
      </c>
      <c r="D179" s="54" t="s">
        <v>1487</v>
      </c>
      <c r="E179" s="38" t="s">
        <v>1514</v>
      </c>
      <c r="F179" s="40" t="s">
        <v>1518</v>
      </c>
      <c r="G179" s="40" t="s">
        <v>1522</v>
      </c>
      <c r="H179" s="40" t="s">
        <v>1527</v>
      </c>
      <c r="I179" s="40" t="s">
        <v>2221</v>
      </c>
      <c r="J179" s="46">
        <v>3306.74</v>
      </c>
      <c r="K179" s="3">
        <v>3</v>
      </c>
      <c r="L179" s="43">
        <v>0</v>
      </c>
      <c r="M179" s="48">
        <v>-411.78</v>
      </c>
      <c r="N179" s="48" t="str">
        <f>IF(Table3[[#This Row],[Profit]]&lt;0,"Loss","Profit")</f>
        <v>Loss</v>
      </c>
    </row>
    <row r="180" spans="1:14" ht="15.6" x14ac:dyDescent="0.3">
      <c r="A180" s="31" t="s">
        <v>571</v>
      </c>
      <c r="B180" s="33">
        <v>45330</v>
      </c>
      <c r="C180" s="33">
        <v>45337</v>
      </c>
      <c r="D180" s="54" t="s">
        <v>1325</v>
      </c>
      <c r="E180" s="38" t="s">
        <v>1515</v>
      </c>
      <c r="F180" s="40" t="s">
        <v>1516</v>
      </c>
      <c r="G180" s="40" t="s">
        <v>1521</v>
      </c>
      <c r="H180" s="40" t="s">
        <v>1528</v>
      </c>
      <c r="I180" s="40" t="s">
        <v>2071</v>
      </c>
      <c r="J180" s="46">
        <v>2056.98</v>
      </c>
      <c r="K180" s="3">
        <v>4</v>
      </c>
      <c r="L180" s="43">
        <v>0.2</v>
      </c>
      <c r="M180" s="48">
        <v>-394.01</v>
      </c>
      <c r="N180" s="48" t="str">
        <f>IF(Table3[[#This Row],[Profit]]&lt;0,"Loss","Profit")</f>
        <v>Loss</v>
      </c>
    </row>
    <row r="181" spans="1:14" ht="15.6" x14ac:dyDescent="0.3">
      <c r="A181" s="31" t="s">
        <v>603</v>
      </c>
      <c r="B181" s="33">
        <v>45336</v>
      </c>
      <c r="C181" s="33">
        <v>45339</v>
      </c>
      <c r="D181" s="54" t="s">
        <v>1357</v>
      </c>
      <c r="E181" s="38" t="s">
        <v>1514</v>
      </c>
      <c r="F181" s="40" t="s">
        <v>1518</v>
      </c>
      <c r="G181" s="40" t="s">
        <v>1520</v>
      </c>
      <c r="H181" s="40" t="s">
        <v>1524</v>
      </c>
      <c r="I181" s="40" t="s">
        <v>2101</v>
      </c>
      <c r="J181" s="46">
        <v>4849.2299999999996</v>
      </c>
      <c r="K181" s="3">
        <v>9</v>
      </c>
      <c r="L181" s="43">
        <v>0.05</v>
      </c>
      <c r="M181" s="48">
        <v>605.95000000000005</v>
      </c>
      <c r="N181" s="48" t="str">
        <f>IF(Table3[[#This Row],[Profit]]&lt;0,"Loss","Profit")</f>
        <v>Profit</v>
      </c>
    </row>
    <row r="182" spans="1:14" ht="15.6" x14ac:dyDescent="0.3">
      <c r="A182" s="31" t="s">
        <v>18</v>
      </c>
      <c r="B182" s="33">
        <v>45335</v>
      </c>
      <c r="C182" s="33">
        <v>45340</v>
      </c>
      <c r="D182" s="54" t="s">
        <v>787</v>
      </c>
      <c r="E182" s="38" t="s">
        <v>1515</v>
      </c>
      <c r="F182" s="40" t="s">
        <v>1516</v>
      </c>
      <c r="G182" s="40" t="s">
        <v>1522</v>
      </c>
      <c r="H182" s="40" t="s">
        <v>1527</v>
      </c>
      <c r="I182" s="40" t="s">
        <v>1537</v>
      </c>
      <c r="J182" s="46">
        <v>4155.55</v>
      </c>
      <c r="K182" s="3">
        <v>10</v>
      </c>
      <c r="L182" s="43">
        <v>0.1</v>
      </c>
      <c r="M182" s="48">
        <v>488.46</v>
      </c>
      <c r="N182" s="48" t="str">
        <f>IF(Table3[[#This Row],[Profit]]&lt;0,"Loss","Profit")</f>
        <v>Profit</v>
      </c>
    </row>
    <row r="183" spans="1:14" ht="15.6" x14ac:dyDescent="0.3">
      <c r="A183" s="31" t="s">
        <v>26</v>
      </c>
      <c r="B183" s="33">
        <v>45338</v>
      </c>
      <c r="C183" s="33">
        <v>45341</v>
      </c>
      <c r="D183" s="54" t="s">
        <v>795</v>
      </c>
      <c r="E183" s="38" t="s">
        <v>1514</v>
      </c>
      <c r="F183" s="40" t="s">
        <v>1518</v>
      </c>
      <c r="G183" s="40" t="s">
        <v>1522</v>
      </c>
      <c r="H183" s="40" t="s">
        <v>1527</v>
      </c>
      <c r="I183" s="40" t="s">
        <v>1545</v>
      </c>
      <c r="J183" s="46">
        <v>3970.79</v>
      </c>
      <c r="K183" s="3">
        <v>7</v>
      </c>
      <c r="L183" s="43">
        <v>0.2</v>
      </c>
      <c r="M183" s="48">
        <v>-655.42</v>
      </c>
      <c r="N183" s="48" t="str">
        <f>IF(Table3[[#This Row],[Profit]]&lt;0,"Loss","Profit")</f>
        <v>Loss</v>
      </c>
    </row>
    <row r="184" spans="1:14" ht="15.6" x14ac:dyDescent="0.3">
      <c r="A184" s="31" t="s">
        <v>141</v>
      </c>
      <c r="B184" s="33">
        <v>45338</v>
      </c>
      <c r="C184" s="33">
        <v>45343</v>
      </c>
      <c r="D184" s="54" t="s">
        <v>909</v>
      </c>
      <c r="E184" s="38" t="s">
        <v>1513</v>
      </c>
      <c r="F184" s="40" t="s">
        <v>1517</v>
      </c>
      <c r="G184" s="40" t="s">
        <v>1521</v>
      </c>
      <c r="H184" s="40" t="s">
        <v>1526</v>
      </c>
      <c r="I184" s="40" t="s">
        <v>1659</v>
      </c>
      <c r="J184" s="46">
        <v>3745.47</v>
      </c>
      <c r="K184" s="3">
        <v>6</v>
      </c>
      <c r="L184" s="43">
        <v>0</v>
      </c>
      <c r="M184" s="48">
        <v>215.67</v>
      </c>
      <c r="N184" s="48" t="str">
        <f>IF(Table3[[#This Row],[Profit]]&lt;0,"Loss","Profit")</f>
        <v>Profit</v>
      </c>
    </row>
    <row r="185" spans="1:14" ht="15.6" x14ac:dyDescent="0.3">
      <c r="A185" s="31" t="s">
        <v>349</v>
      </c>
      <c r="B185" s="33">
        <v>45335</v>
      </c>
      <c r="C185" s="33">
        <v>45344</v>
      </c>
      <c r="D185" s="54" t="s">
        <v>2257</v>
      </c>
      <c r="E185" s="38" t="s">
        <v>1515</v>
      </c>
      <c r="F185" s="40" t="s">
        <v>1517</v>
      </c>
      <c r="G185" s="40" t="s">
        <v>1520</v>
      </c>
      <c r="H185" s="40" t="s">
        <v>1524</v>
      </c>
      <c r="I185" s="40" t="s">
        <v>1860</v>
      </c>
      <c r="J185" s="46">
        <v>1131.78</v>
      </c>
      <c r="K185" s="3">
        <v>7</v>
      </c>
      <c r="L185" s="43">
        <v>0</v>
      </c>
      <c r="M185" s="48">
        <v>231.78</v>
      </c>
      <c r="N185" s="48" t="str">
        <f>IF(Table3[[#This Row],[Profit]]&lt;0,"Loss","Profit")</f>
        <v>Profit</v>
      </c>
    </row>
    <row r="186" spans="1:14" ht="15.6" x14ac:dyDescent="0.3">
      <c r="A186" s="31" t="s">
        <v>688</v>
      </c>
      <c r="B186" s="33">
        <v>45336</v>
      </c>
      <c r="C186" s="33">
        <v>45344</v>
      </c>
      <c r="D186" s="54" t="s">
        <v>1441</v>
      </c>
      <c r="E186" s="38" t="s">
        <v>1513</v>
      </c>
      <c r="F186" s="40" t="s">
        <v>1517</v>
      </c>
      <c r="G186" s="40" t="s">
        <v>1520</v>
      </c>
      <c r="H186" s="40" t="s">
        <v>1525</v>
      </c>
      <c r="I186" s="40" t="s">
        <v>2178</v>
      </c>
      <c r="J186" s="46">
        <v>2296.0100000000002</v>
      </c>
      <c r="K186" s="3">
        <v>8</v>
      </c>
      <c r="L186" s="43">
        <v>0</v>
      </c>
      <c r="M186" s="48">
        <v>300.02</v>
      </c>
      <c r="N186" s="48" t="str">
        <f>IF(Table3[[#This Row],[Profit]]&lt;0,"Loss","Profit")</f>
        <v>Profit</v>
      </c>
    </row>
    <row r="187" spans="1:14" ht="15.6" x14ac:dyDescent="0.3">
      <c r="A187" s="31" t="s">
        <v>760</v>
      </c>
      <c r="B187" s="33">
        <v>45345</v>
      </c>
      <c r="C187" s="33">
        <v>45347</v>
      </c>
      <c r="D187" s="54" t="s">
        <v>1510</v>
      </c>
      <c r="E187" s="38" t="s">
        <v>1513</v>
      </c>
      <c r="F187" s="40" t="s">
        <v>1519</v>
      </c>
      <c r="G187" s="40" t="s">
        <v>1521</v>
      </c>
      <c r="H187" s="40" t="s">
        <v>1530</v>
      </c>
      <c r="I187" s="40" t="s">
        <v>2244</v>
      </c>
      <c r="J187" s="46">
        <v>1422.57</v>
      </c>
      <c r="K187" s="3">
        <v>1</v>
      </c>
      <c r="L187" s="43">
        <v>0.15</v>
      </c>
      <c r="M187" s="48">
        <v>19.52</v>
      </c>
      <c r="N187" s="48" t="str">
        <f>IF(Table3[[#This Row],[Profit]]&lt;0,"Loss","Profit")</f>
        <v>Profit</v>
      </c>
    </row>
    <row r="188" spans="1:14" ht="15.6" x14ac:dyDescent="0.3">
      <c r="A188" s="31" t="s">
        <v>41</v>
      </c>
      <c r="B188" s="33">
        <v>45352</v>
      </c>
      <c r="C188" s="33">
        <v>45353</v>
      </c>
      <c r="D188" s="54" t="s">
        <v>810</v>
      </c>
      <c r="E188" s="38" t="s">
        <v>1514</v>
      </c>
      <c r="F188" s="40" t="s">
        <v>1519</v>
      </c>
      <c r="G188" s="40" t="s">
        <v>1522</v>
      </c>
      <c r="H188" s="40" t="s">
        <v>1529</v>
      </c>
      <c r="I188" s="40" t="s">
        <v>1560</v>
      </c>
      <c r="J188" s="46">
        <v>864.95</v>
      </c>
      <c r="K188" s="3">
        <v>1</v>
      </c>
      <c r="L188" s="43">
        <v>0.15</v>
      </c>
      <c r="M188" s="48">
        <v>-46.83</v>
      </c>
      <c r="N188" s="48" t="str">
        <f>IF(Table3[[#This Row],[Profit]]&lt;0,"Loss","Profit")</f>
        <v>Loss</v>
      </c>
    </row>
    <row r="189" spans="1:14" ht="15.6" x14ac:dyDescent="0.3">
      <c r="A189" s="31" t="s">
        <v>489</v>
      </c>
      <c r="B189" s="33">
        <v>45348</v>
      </c>
      <c r="C189" s="33">
        <v>45354</v>
      </c>
      <c r="D189" s="54" t="s">
        <v>1245</v>
      </c>
      <c r="E189" s="38" t="s">
        <v>1515</v>
      </c>
      <c r="F189" s="40" t="s">
        <v>1518</v>
      </c>
      <c r="G189" s="40" t="s">
        <v>1522</v>
      </c>
      <c r="H189" s="40" t="s">
        <v>1529</v>
      </c>
      <c r="I189" s="40" t="s">
        <v>1992</v>
      </c>
      <c r="J189" s="46">
        <v>1242.4100000000001</v>
      </c>
      <c r="K189" s="3">
        <v>5</v>
      </c>
      <c r="L189" s="43">
        <v>0</v>
      </c>
      <c r="M189" s="48">
        <v>97.92</v>
      </c>
      <c r="N189" s="48" t="str">
        <f>IF(Table3[[#This Row],[Profit]]&lt;0,"Loss","Profit")</f>
        <v>Profit</v>
      </c>
    </row>
    <row r="190" spans="1:14" ht="15.6" x14ac:dyDescent="0.3">
      <c r="A190" s="31" t="s">
        <v>132</v>
      </c>
      <c r="B190" s="33">
        <v>45351</v>
      </c>
      <c r="C190" s="33">
        <v>45361</v>
      </c>
      <c r="D190" s="54" t="s">
        <v>900</v>
      </c>
      <c r="E190" s="38" t="s">
        <v>1515</v>
      </c>
      <c r="F190" s="40" t="s">
        <v>1517</v>
      </c>
      <c r="G190" s="40" t="s">
        <v>1522</v>
      </c>
      <c r="H190" s="40" t="s">
        <v>1531</v>
      </c>
      <c r="I190" s="40" t="s">
        <v>1650</v>
      </c>
      <c r="J190" s="46">
        <v>4360.66</v>
      </c>
      <c r="K190" s="3">
        <v>10</v>
      </c>
      <c r="L190" s="43">
        <v>0.2</v>
      </c>
      <c r="M190" s="48">
        <v>-294.52999999999997</v>
      </c>
      <c r="N190" s="48" t="str">
        <f>IF(Table3[[#This Row],[Profit]]&lt;0,"Loss","Profit")</f>
        <v>Loss</v>
      </c>
    </row>
    <row r="191" spans="1:14" ht="15.6" x14ac:dyDescent="0.3">
      <c r="A191" s="31" t="s">
        <v>693</v>
      </c>
      <c r="B191" s="33">
        <v>45354</v>
      </c>
      <c r="C191" s="33">
        <v>45361</v>
      </c>
      <c r="D191" s="54" t="s">
        <v>2257</v>
      </c>
      <c r="E191" s="38" t="s">
        <v>1513</v>
      </c>
      <c r="F191" s="40" t="s">
        <v>1519</v>
      </c>
      <c r="G191" s="40" t="s">
        <v>1521</v>
      </c>
      <c r="H191" s="40" t="s">
        <v>1530</v>
      </c>
      <c r="I191" s="40" t="s">
        <v>2183</v>
      </c>
      <c r="J191" s="46">
        <v>4224.38</v>
      </c>
      <c r="K191" s="3">
        <v>2</v>
      </c>
      <c r="L191" s="43">
        <v>0.1</v>
      </c>
      <c r="M191" s="48">
        <v>249.02</v>
      </c>
      <c r="N191" s="48" t="str">
        <f>IF(Table3[[#This Row],[Profit]]&lt;0,"Loss","Profit")</f>
        <v>Profit</v>
      </c>
    </row>
    <row r="192" spans="1:14" ht="15.6" x14ac:dyDescent="0.3">
      <c r="A192" s="31" t="s">
        <v>283</v>
      </c>
      <c r="B192" s="33">
        <v>45359</v>
      </c>
      <c r="C192" s="33">
        <v>45361</v>
      </c>
      <c r="D192" s="54" t="s">
        <v>1046</v>
      </c>
      <c r="E192" s="38" t="s">
        <v>1513</v>
      </c>
      <c r="F192" s="40" t="s">
        <v>1517</v>
      </c>
      <c r="G192" s="40" t="s">
        <v>1522</v>
      </c>
      <c r="H192" s="40" t="s">
        <v>1531</v>
      </c>
      <c r="I192" s="40" t="s">
        <v>1798</v>
      </c>
      <c r="J192" s="46">
        <v>2990.02</v>
      </c>
      <c r="K192" s="3">
        <v>8</v>
      </c>
      <c r="L192" s="43">
        <v>0.2</v>
      </c>
      <c r="M192" s="48">
        <v>507.15</v>
      </c>
      <c r="N192" s="48" t="str">
        <f>IF(Table3[[#This Row],[Profit]]&lt;0,"Loss","Profit")</f>
        <v>Profit</v>
      </c>
    </row>
    <row r="193" spans="1:14" ht="15.6" x14ac:dyDescent="0.3">
      <c r="A193" s="31" t="s">
        <v>248</v>
      </c>
      <c r="B193" s="33">
        <v>45363</v>
      </c>
      <c r="C193" s="33">
        <v>45364</v>
      </c>
      <c r="D193" s="54" t="s">
        <v>1012</v>
      </c>
      <c r="E193" s="38" t="s">
        <v>1515</v>
      </c>
      <c r="F193" s="40" t="s">
        <v>1517</v>
      </c>
      <c r="G193" s="40" t="s">
        <v>1520</v>
      </c>
      <c r="H193" s="40" t="s">
        <v>1524</v>
      </c>
      <c r="I193" s="40" t="s">
        <v>1764</v>
      </c>
      <c r="J193" s="46">
        <v>3004.7</v>
      </c>
      <c r="K193" s="3">
        <v>5</v>
      </c>
      <c r="L193" s="43">
        <v>0.2</v>
      </c>
      <c r="M193" s="48">
        <v>692.88</v>
      </c>
      <c r="N193" s="48" t="str">
        <f>IF(Table3[[#This Row],[Profit]]&lt;0,"Loss","Profit")</f>
        <v>Profit</v>
      </c>
    </row>
    <row r="194" spans="1:14" ht="15.6" x14ac:dyDescent="0.3">
      <c r="A194" s="31" t="s">
        <v>491</v>
      </c>
      <c r="B194" s="33">
        <v>45358</v>
      </c>
      <c r="C194" s="33">
        <v>45366</v>
      </c>
      <c r="D194" s="54" t="s">
        <v>1247</v>
      </c>
      <c r="E194" s="38" t="s">
        <v>1513</v>
      </c>
      <c r="F194" s="40" t="s">
        <v>1516</v>
      </c>
      <c r="G194" s="40" t="s">
        <v>1521</v>
      </c>
      <c r="H194" s="40" t="s">
        <v>1530</v>
      </c>
      <c r="I194" s="40" t="s">
        <v>1994</v>
      </c>
      <c r="J194" s="46">
        <v>3738.93</v>
      </c>
      <c r="K194" s="3">
        <v>1</v>
      </c>
      <c r="L194" s="43">
        <v>0</v>
      </c>
      <c r="M194" s="48">
        <v>81.849999999999994</v>
      </c>
      <c r="N194" s="48" t="str">
        <f>IF(Table3[[#This Row],[Profit]]&lt;0,"Loss","Profit")</f>
        <v>Profit</v>
      </c>
    </row>
    <row r="195" spans="1:14" ht="15.6" x14ac:dyDescent="0.3">
      <c r="A195" s="31" t="s">
        <v>754</v>
      </c>
      <c r="B195" s="33">
        <v>45364</v>
      </c>
      <c r="C195" s="33">
        <v>45368</v>
      </c>
      <c r="D195" s="54" t="s">
        <v>1505</v>
      </c>
      <c r="E195" s="38" t="s">
        <v>1515</v>
      </c>
      <c r="F195" s="40" t="s">
        <v>1517</v>
      </c>
      <c r="G195" s="40" t="s">
        <v>1521</v>
      </c>
      <c r="H195" s="40" t="s">
        <v>1528</v>
      </c>
      <c r="I195" s="40" t="s">
        <v>2092</v>
      </c>
      <c r="J195" s="46">
        <v>3684.85</v>
      </c>
      <c r="K195" s="3">
        <v>10</v>
      </c>
      <c r="L195" s="43">
        <v>0.05</v>
      </c>
      <c r="M195" s="48">
        <v>316.8</v>
      </c>
      <c r="N195" s="48" t="str">
        <f>IF(Table3[[#This Row],[Profit]]&lt;0,"Loss","Profit")</f>
        <v>Profit</v>
      </c>
    </row>
    <row r="196" spans="1:14" ht="15.6" x14ac:dyDescent="0.3">
      <c r="A196" s="31" t="s">
        <v>372</v>
      </c>
      <c r="B196" s="33">
        <v>45366</v>
      </c>
      <c r="C196" s="33">
        <v>45369</v>
      </c>
      <c r="D196" s="54" t="s">
        <v>1130</v>
      </c>
      <c r="E196" s="38" t="s">
        <v>1513</v>
      </c>
      <c r="F196" s="40" t="s">
        <v>1519</v>
      </c>
      <c r="G196" s="40" t="s">
        <v>1521</v>
      </c>
      <c r="H196" s="40" t="s">
        <v>1528</v>
      </c>
      <c r="I196" s="40" t="s">
        <v>1846</v>
      </c>
      <c r="J196" s="46">
        <v>3825.49</v>
      </c>
      <c r="K196" s="3">
        <v>2</v>
      </c>
      <c r="L196" s="43">
        <v>0</v>
      </c>
      <c r="M196" s="48">
        <v>470.73</v>
      </c>
      <c r="N196" s="48" t="str">
        <f>IF(Table3[[#This Row],[Profit]]&lt;0,"Loss","Profit")</f>
        <v>Profit</v>
      </c>
    </row>
    <row r="197" spans="1:14" ht="15.6" x14ac:dyDescent="0.3">
      <c r="A197" s="31" t="s">
        <v>70</v>
      </c>
      <c r="B197" s="33">
        <v>45366</v>
      </c>
      <c r="C197" s="33">
        <v>45370</v>
      </c>
      <c r="D197" s="54" t="s">
        <v>839</v>
      </c>
      <c r="E197" s="38" t="s">
        <v>1513</v>
      </c>
      <c r="F197" s="40" t="s">
        <v>1516</v>
      </c>
      <c r="G197" s="40" t="s">
        <v>1522</v>
      </c>
      <c r="H197" s="40" t="s">
        <v>1529</v>
      </c>
      <c r="I197" s="40" t="s">
        <v>1589</v>
      </c>
      <c r="J197" s="46">
        <v>920.64</v>
      </c>
      <c r="K197" s="3">
        <v>9</v>
      </c>
      <c r="L197" s="43">
        <v>0.15</v>
      </c>
      <c r="M197" s="48">
        <v>-158.69999999999999</v>
      </c>
      <c r="N197" s="48" t="str">
        <f>IF(Table3[[#This Row],[Profit]]&lt;0,"Loss","Profit")</f>
        <v>Loss</v>
      </c>
    </row>
    <row r="198" spans="1:14" ht="15.6" x14ac:dyDescent="0.3">
      <c r="A198" s="31" t="s">
        <v>71</v>
      </c>
      <c r="B198" s="33">
        <v>45364</v>
      </c>
      <c r="C198" s="33">
        <v>45372</v>
      </c>
      <c r="D198" s="54" t="s">
        <v>840</v>
      </c>
      <c r="E198" s="38" t="s">
        <v>1514</v>
      </c>
      <c r="F198" s="40" t="s">
        <v>1518</v>
      </c>
      <c r="G198" s="40" t="s">
        <v>1521</v>
      </c>
      <c r="H198" s="40" t="s">
        <v>1530</v>
      </c>
      <c r="I198" s="40" t="s">
        <v>1590</v>
      </c>
      <c r="J198" s="46">
        <v>3354.51</v>
      </c>
      <c r="K198" s="3">
        <v>9</v>
      </c>
      <c r="L198" s="43">
        <v>0.2</v>
      </c>
      <c r="M198" s="48">
        <v>-85.49</v>
      </c>
      <c r="N198" s="48" t="str">
        <f>IF(Table3[[#This Row],[Profit]]&lt;0,"Loss","Profit")</f>
        <v>Loss</v>
      </c>
    </row>
    <row r="199" spans="1:14" ht="15.6" x14ac:dyDescent="0.3">
      <c r="A199" s="31" t="s">
        <v>88</v>
      </c>
      <c r="B199" s="33">
        <v>45370</v>
      </c>
      <c r="C199" s="33">
        <v>45372</v>
      </c>
      <c r="D199" s="54" t="s">
        <v>857</v>
      </c>
      <c r="E199" s="38" t="s">
        <v>1514</v>
      </c>
      <c r="F199" s="40" t="s">
        <v>1517</v>
      </c>
      <c r="G199" s="40" t="s">
        <v>1521</v>
      </c>
      <c r="H199" s="40" t="s">
        <v>1526</v>
      </c>
      <c r="I199" s="40" t="s">
        <v>1607</v>
      </c>
      <c r="J199" s="46">
        <v>2195.94</v>
      </c>
      <c r="K199" s="3">
        <v>6</v>
      </c>
      <c r="L199" s="43">
        <v>0.2</v>
      </c>
      <c r="M199" s="48">
        <v>637.63</v>
      </c>
      <c r="N199" s="48" t="str">
        <f>IF(Table3[[#This Row],[Profit]]&lt;0,"Loss","Profit")</f>
        <v>Profit</v>
      </c>
    </row>
    <row r="200" spans="1:14" ht="15.6" x14ac:dyDescent="0.3">
      <c r="A200" s="31" t="s">
        <v>46</v>
      </c>
      <c r="B200" s="33">
        <v>45368</v>
      </c>
      <c r="C200" s="33">
        <v>45374</v>
      </c>
      <c r="D200" s="54" t="s">
        <v>815</v>
      </c>
      <c r="E200" s="38" t="s">
        <v>1514</v>
      </c>
      <c r="F200" s="40" t="s">
        <v>1518</v>
      </c>
      <c r="G200" s="40" t="s">
        <v>1521</v>
      </c>
      <c r="H200" s="40" t="s">
        <v>1530</v>
      </c>
      <c r="I200" s="40" t="s">
        <v>1565</v>
      </c>
      <c r="J200" s="46">
        <v>1231.5</v>
      </c>
      <c r="K200" s="3">
        <v>7</v>
      </c>
      <c r="L200" s="43">
        <v>0.05</v>
      </c>
      <c r="M200" s="48">
        <v>208.65</v>
      </c>
      <c r="N200" s="48" t="str">
        <f>IF(Table3[[#This Row],[Profit]]&lt;0,"Loss","Profit")</f>
        <v>Profit</v>
      </c>
    </row>
    <row r="201" spans="1:14" ht="15.6" x14ac:dyDescent="0.3">
      <c r="A201" s="31" t="s">
        <v>522</v>
      </c>
      <c r="B201" s="33">
        <v>45368</v>
      </c>
      <c r="C201" s="33">
        <v>45374</v>
      </c>
      <c r="D201" s="54" t="s">
        <v>1277</v>
      </c>
      <c r="E201" s="38" t="s">
        <v>1514</v>
      </c>
      <c r="F201" s="40" t="s">
        <v>1516</v>
      </c>
      <c r="G201" s="40" t="s">
        <v>1522</v>
      </c>
      <c r="H201" s="40" t="s">
        <v>1529</v>
      </c>
      <c r="I201" s="40" t="s">
        <v>2024</v>
      </c>
      <c r="J201" s="46">
        <v>237.54</v>
      </c>
      <c r="K201" s="3">
        <v>2</v>
      </c>
      <c r="L201" s="43">
        <v>0</v>
      </c>
      <c r="M201" s="48">
        <v>-24.25</v>
      </c>
      <c r="N201" s="48" t="str">
        <f>IF(Table3[[#This Row],[Profit]]&lt;0,"Loss","Profit")</f>
        <v>Loss</v>
      </c>
    </row>
    <row r="202" spans="1:14" ht="15.6" x14ac:dyDescent="0.3">
      <c r="A202" s="31" t="s">
        <v>76</v>
      </c>
      <c r="B202" s="33">
        <v>45373</v>
      </c>
      <c r="C202" s="33">
        <v>45374</v>
      </c>
      <c r="D202" s="54" t="s">
        <v>845</v>
      </c>
      <c r="E202" s="38" t="s">
        <v>1514</v>
      </c>
      <c r="F202" s="40" t="s">
        <v>1519</v>
      </c>
      <c r="G202" s="40" t="s">
        <v>1520</v>
      </c>
      <c r="H202" s="40" t="s">
        <v>1525</v>
      </c>
      <c r="I202" s="40" t="s">
        <v>1595</v>
      </c>
      <c r="J202" s="46">
        <v>4290.82</v>
      </c>
      <c r="K202" s="3">
        <v>10</v>
      </c>
      <c r="L202" s="43">
        <v>0.15</v>
      </c>
      <c r="M202" s="48">
        <v>267.48</v>
      </c>
      <c r="N202" s="48" t="str">
        <f>IF(Table3[[#This Row],[Profit]]&lt;0,"Loss","Profit")</f>
        <v>Profit</v>
      </c>
    </row>
    <row r="203" spans="1:14" ht="15.6" x14ac:dyDescent="0.3">
      <c r="A203" s="31" t="s">
        <v>656</v>
      </c>
      <c r="B203" s="33">
        <v>45369</v>
      </c>
      <c r="C203" s="33">
        <v>45375</v>
      </c>
      <c r="D203" s="54" t="s">
        <v>1409</v>
      </c>
      <c r="E203" s="38" t="s">
        <v>1513</v>
      </c>
      <c r="F203" s="40" t="s">
        <v>1519</v>
      </c>
      <c r="G203" s="40" t="s">
        <v>1521</v>
      </c>
      <c r="H203" s="40" t="s">
        <v>1530</v>
      </c>
      <c r="I203" s="40" t="s">
        <v>2151</v>
      </c>
      <c r="J203" s="46">
        <v>3484.29</v>
      </c>
      <c r="K203" s="3">
        <v>2</v>
      </c>
      <c r="L203" s="43">
        <v>0.1</v>
      </c>
      <c r="M203" s="48">
        <v>165.62</v>
      </c>
      <c r="N203" s="48" t="str">
        <f>IF(Table3[[#This Row],[Profit]]&lt;0,"Loss","Profit")</f>
        <v>Profit</v>
      </c>
    </row>
    <row r="204" spans="1:14" ht="15.6" x14ac:dyDescent="0.3">
      <c r="A204" s="31" t="s">
        <v>21</v>
      </c>
      <c r="B204" s="33">
        <v>45374</v>
      </c>
      <c r="C204" s="33">
        <v>45377</v>
      </c>
      <c r="D204" s="54" t="s">
        <v>790</v>
      </c>
      <c r="E204" s="38" t="s">
        <v>1514</v>
      </c>
      <c r="F204" s="40" t="s">
        <v>1517</v>
      </c>
      <c r="G204" s="40" t="s">
        <v>1520</v>
      </c>
      <c r="H204" s="40" t="s">
        <v>1525</v>
      </c>
      <c r="I204" s="40" t="s">
        <v>1540</v>
      </c>
      <c r="J204" s="46">
        <v>2693.99</v>
      </c>
      <c r="K204" s="3">
        <v>4</v>
      </c>
      <c r="L204" s="43">
        <v>0.05</v>
      </c>
      <c r="M204" s="48">
        <v>146.13</v>
      </c>
      <c r="N204" s="48" t="str">
        <f>IF(Table3[[#This Row],[Profit]]&lt;0,"Loss","Profit")</f>
        <v>Profit</v>
      </c>
    </row>
    <row r="205" spans="1:14" ht="15.6" x14ac:dyDescent="0.3">
      <c r="A205" s="31" t="s">
        <v>692</v>
      </c>
      <c r="B205" s="33">
        <v>45368</v>
      </c>
      <c r="C205" s="33">
        <v>45378</v>
      </c>
      <c r="D205" s="54" t="s">
        <v>1445</v>
      </c>
      <c r="E205" s="38" t="s">
        <v>1514</v>
      </c>
      <c r="F205" s="40" t="s">
        <v>1519</v>
      </c>
      <c r="G205" s="40" t="s">
        <v>1521</v>
      </c>
      <c r="H205" s="40" t="s">
        <v>1528</v>
      </c>
      <c r="I205" s="40" t="s">
        <v>2182</v>
      </c>
      <c r="J205" s="46">
        <v>1832.93</v>
      </c>
      <c r="K205" s="3">
        <v>1</v>
      </c>
      <c r="L205" s="43">
        <v>0</v>
      </c>
      <c r="M205" s="48">
        <v>408.16</v>
      </c>
      <c r="N205" s="48" t="str">
        <f>IF(Table3[[#This Row],[Profit]]&lt;0,"Loss","Profit")</f>
        <v>Profit</v>
      </c>
    </row>
    <row r="206" spans="1:14" ht="15.6" x14ac:dyDescent="0.3">
      <c r="A206" s="31" t="s">
        <v>318</v>
      </c>
      <c r="B206" s="33">
        <v>45374</v>
      </c>
      <c r="C206" s="33">
        <v>45380</v>
      </c>
      <c r="D206" s="54" t="s">
        <v>1079</v>
      </c>
      <c r="E206" s="38" t="s">
        <v>1513</v>
      </c>
      <c r="F206" s="40" t="s">
        <v>1517</v>
      </c>
      <c r="G206" s="40" t="s">
        <v>1520</v>
      </c>
      <c r="H206" s="40" t="s">
        <v>1525</v>
      </c>
      <c r="I206" s="40" t="s">
        <v>1707</v>
      </c>
      <c r="J206" s="46">
        <v>4325.3999999999996</v>
      </c>
      <c r="K206" s="3">
        <v>1</v>
      </c>
      <c r="L206" s="43">
        <v>0.1</v>
      </c>
      <c r="M206" s="48">
        <v>119.36</v>
      </c>
      <c r="N206" s="48" t="str">
        <f>IF(Table3[[#This Row],[Profit]]&lt;0,"Loss","Profit")</f>
        <v>Profit</v>
      </c>
    </row>
    <row r="207" spans="1:14" ht="15.6" x14ac:dyDescent="0.3">
      <c r="A207" s="31" t="s">
        <v>609</v>
      </c>
      <c r="B207" s="33">
        <v>45375</v>
      </c>
      <c r="C207" s="33">
        <v>45380</v>
      </c>
      <c r="D207" s="54" t="s">
        <v>1363</v>
      </c>
      <c r="E207" s="38" t="s">
        <v>1513</v>
      </c>
      <c r="F207" s="40" t="s">
        <v>1517</v>
      </c>
      <c r="G207" s="40" t="s">
        <v>1520</v>
      </c>
      <c r="H207" s="40" t="s">
        <v>1525</v>
      </c>
      <c r="I207" s="40" t="s">
        <v>2107</v>
      </c>
      <c r="J207" s="46">
        <v>1459.15</v>
      </c>
      <c r="K207" s="3">
        <v>9</v>
      </c>
      <c r="L207" s="43">
        <v>0.1</v>
      </c>
      <c r="M207" s="48">
        <v>39.54</v>
      </c>
      <c r="N207" s="48" t="str">
        <f>IF(Table3[[#This Row],[Profit]]&lt;0,"Loss","Profit")</f>
        <v>Profit</v>
      </c>
    </row>
    <row r="208" spans="1:14" ht="15.6" x14ac:dyDescent="0.3">
      <c r="A208" s="31" t="s">
        <v>139</v>
      </c>
      <c r="B208" s="33">
        <v>45382</v>
      </c>
      <c r="C208" s="33">
        <v>45383</v>
      </c>
      <c r="D208" s="54" t="s">
        <v>907</v>
      </c>
      <c r="E208" s="38" t="s">
        <v>1514</v>
      </c>
      <c r="F208" s="40" t="s">
        <v>1518</v>
      </c>
      <c r="G208" s="40" t="s">
        <v>1521</v>
      </c>
      <c r="H208" s="40" t="s">
        <v>1526</v>
      </c>
      <c r="I208" s="40" t="s">
        <v>1657</v>
      </c>
      <c r="J208" s="46">
        <v>2918.89</v>
      </c>
      <c r="K208" s="3">
        <v>3</v>
      </c>
      <c r="L208" s="43">
        <v>0</v>
      </c>
      <c r="M208" s="48">
        <v>876.53</v>
      </c>
      <c r="N208" s="48" t="str">
        <f>IF(Table3[[#This Row],[Profit]]&lt;0,"Loss","Profit")</f>
        <v>Profit</v>
      </c>
    </row>
    <row r="209" spans="1:14" ht="15.6" x14ac:dyDescent="0.3">
      <c r="A209" s="31" t="s">
        <v>415</v>
      </c>
      <c r="B209" s="33">
        <v>45374</v>
      </c>
      <c r="C209" s="33">
        <v>45384</v>
      </c>
      <c r="D209" s="54" t="s">
        <v>1172</v>
      </c>
      <c r="E209" s="38" t="s">
        <v>1514</v>
      </c>
      <c r="F209" s="40" t="s">
        <v>1517</v>
      </c>
      <c r="G209" s="40" t="s">
        <v>1522</v>
      </c>
      <c r="H209" s="40" t="s">
        <v>1527</v>
      </c>
      <c r="I209" s="40" t="s">
        <v>1711</v>
      </c>
      <c r="J209" s="46">
        <v>4081.55</v>
      </c>
      <c r="K209" s="3">
        <v>7</v>
      </c>
      <c r="L209" s="43">
        <v>0.1</v>
      </c>
      <c r="M209" s="48">
        <v>831.4</v>
      </c>
      <c r="N209" s="48" t="str">
        <f>IF(Table3[[#This Row],[Profit]]&lt;0,"Loss","Profit")</f>
        <v>Profit</v>
      </c>
    </row>
    <row r="210" spans="1:14" ht="15.6" x14ac:dyDescent="0.3">
      <c r="A210" s="31" t="s">
        <v>354</v>
      </c>
      <c r="B210" s="33">
        <v>45381</v>
      </c>
      <c r="C210" s="33">
        <v>45384</v>
      </c>
      <c r="D210" s="54" t="s">
        <v>1113</v>
      </c>
      <c r="E210" s="38" t="s">
        <v>1514</v>
      </c>
      <c r="F210" s="40" t="s">
        <v>1517</v>
      </c>
      <c r="G210" s="40" t="s">
        <v>1522</v>
      </c>
      <c r="H210" s="40" t="s">
        <v>1529</v>
      </c>
      <c r="I210" s="40" t="s">
        <v>1865</v>
      </c>
      <c r="J210" s="46">
        <v>3522.06</v>
      </c>
      <c r="K210" s="3">
        <v>3</v>
      </c>
      <c r="L210" s="43">
        <v>0.05</v>
      </c>
      <c r="M210" s="48">
        <v>-421.12</v>
      </c>
      <c r="N210" s="48" t="str">
        <f>IF(Table3[[#This Row],[Profit]]&lt;0,"Loss","Profit")</f>
        <v>Loss</v>
      </c>
    </row>
    <row r="211" spans="1:14" ht="15.6" x14ac:dyDescent="0.3">
      <c r="A211" s="31" t="s">
        <v>35</v>
      </c>
      <c r="B211" s="33">
        <v>45383</v>
      </c>
      <c r="C211" s="33">
        <v>45384</v>
      </c>
      <c r="D211" s="54" t="s">
        <v>804</v>
      </c>
      <c r="E211" s="38" t="s">
        <v>1513</v>
      </c>
      <c r="F211" s="40" t="s">
        <v>1519</v>
      </c>
      <c r="G211" s="40" t="s">
        <v>1522</v>
      </c>
      <c r="H211" s="40" t="s">
        <v>1531</v>
      </c>
      <c r="I211" s="40" t="s">
        <v>1554</v>
      </c>
      <c r="J211" s="46">
        <v>1183.26</v>
      </c>
      <c r="K211" s="3">
        <v>1</v>
      </c>
      <c r="L211" s="43">
        <v>0.1</v>
      </c>
      <c r="M211" s="48">
        <v>-190.54</v>
      </c>
      <c r="N211" s="48" t="str">
        <f>IF(Table3[[#This Row],[Profit]]&lt;0,"Loss","Profit")</f>
        <v>Loss</v>
      </c>
    </row>
    <row r="212" spans="1:14" ht="15.6" x14ac:dyDescent="0.3">
      <c r="A212" s="31" t="s">
        <v>63</v>
      </c>
      <c r="B212" s="33">
        <v>45385</v>
      </c>
      <c r="C212" s="33">
        <v>45387</v>
      </c>
      <c r="D212" s="54" t="s">
        <v>832</v>
      </c>
      <c r="E212" s="38" t="s">
        <v>1514</v>
      </c>
      <c r="F212" s="40" t="s">
        <v>1519</v>
      </c>
      <c r="G212" s="40" t="s">
        <v>1520</v>
      </c>
      <c r="H212" s="40" t="s">
        <v>1524</v>
      </c>
      <c r="I212" s="40" t="s">
        <v>1582</v>
      </c>
      <c r="J212" s="46">
        <v>3612.78</v>
      </c>
      <c r="K212" s="3">
        <v>5</v>
      </c>
      <c r="L212" s="43">
        <v>0.2</v>
      </c>
      <c r="M212" s="48">
        <v>-108</v>
      </c>
      <c r="N212" s="48" t="str">
        <f>IF(Table3[[#This Row],[Profit]]&lt;0,"Loss","Profit")</f>
        <v>Loss</v>
      </c>
    </row>
    <row r="213" spans="1:14" ht="15.6" x14ac:dyDescent="0.3">
      <c r="A213" s="31" t="s">
        <v>446</v>
      </c>
      <c r="B213" s="33">
        <v>45380</v>
      </c>
      <c r="C213" s="33">
        <v>45388</v>
      </c>
      <c r="D213" s="54" t="s">
        <v>1203</v>
      </c>
      <c r="E213" s="38" t="s">
        <v>1514</v>
      </c>
      <c r="F213" s="40" t="s">
        <v>1518</v>
      </c>
      <c r="G213" s="40" t="s">
        <v>1521</v>
      </c>
      <c r="H213" s="40" t="s">
        <v>1526</v>
      </c>
      <c r="I213" s="40" t="s">
        <v>1952</v>
      </c>
      <c r="J213" s="46">
        <v>2550.38</v>
      </c>
      <c r="K213" s="3">
        <v>2</v>
      </c>
      <c r="L213" s="43">
        <v>0.2</v>
      </c>
      <c r="M213" s="48">
        <v>-467.2</v>
      </c>
      <c r="N213" s="48" t="str">
        <f>IF(Table3[[#This Row],[Profit]]&lt;0,"Loss","Profit")</f>
        <v>Loss</v>
      </c>
    </row>
    <row r="214" spans="1:14" ht="15.6" x14ac:dyDescent="0.3">
      <c r="A214" s="31" t="s">
        <v>348</v>
      </c>
      <c r="B214" s="33">
        <v>45386</v>
      </c>
      <c r="C214" s="33">
        <v>45388</v>
      </c>
      <c r="D214" s="54" t="s">
        <v>1108</v>
      </c>
      <c r="E214" s="38" t="s">
        <v>1514</v>
      </c>
      <c r="F214" s="40" t="s">
        <v>1516</v>
      </c>
      <c r="G214" s="40" t="s">
        <v>1520</v>
      </c>
      <c r="H214" s="40" t="s">
        <v>1525</v>
      </c>
      <c r="I214" s="40" t="s">
        <v>1859</v>
      </c>
      <c r="J214" s="46">
        <v>2884.93</v>
      </c>
      <c r="K214" s="3">
        <v>5</v>
      </c>
      <c r="L214" s="43">
        <v>0.2</v>
      </c>
      <c r="M214" s="48">
        <v>729.33</v>
      </c>
      <c r="N214" s="48" t="str">
        <f>IF(Table3[[#This Row],[Profit]]&lt;0,"Loss","Profit")</f>
        <v>Profit</v>
      </c>
    </row>
    <row r="215" spans="1:14" ht="15.6" x14ac:dyDescent="0.3">
      <c r="A215" s="31" t="s">
        <v>136</v>
      </c>
      <c r="B215" s="33">
        <v>45385</v>
      </c>
      <c r="C215" s="33">
        <v>45390</v>
      </c>
      <c r="D215" s="54" t="s">
        <v>904</v>
      </c>
      <c r="E215" s="38" t="s">
        <v>1515</v>
      </c>
      <c r="F215" s="40" t="s">
        <v>1516</v>
      </c>
      <c r="G215" s="40" t="s">
        <v>1520</v>
      </c>
      <c r="H215" s="40" t="s">
        <v>1524</v>
      </c>
      <c r="I215" s="40" t="s">
        <v>1654</v>
      </c>
      <c r="J215" s="46">
        <v>158.6</v>
      </c>
      <c r="K215" s="3">
        <v>7</v>
      </c>
      <c r="L215" s="43">
        <v>0.1</v>
      </c>
      <c r="M215" s="48">
        <v>-31.01</v>
      </c>
      <c r="N215" s="48" t="str">
        <f>IF(Table3[[#This Row],[Profit]]&lt;0,"Loss","Profit")</f>
        <v>Loss</v>
      </c>
    </row>
    <row r="216" spans="1:14" ht="15.6" x14ac:dyDescent="0.3">
      <c r="A216" s="31" t="s">
        <v>223</v>
      </c>
      <c r="B216" s="33">
        <v>45387</v>
      </c>
      <c r="C216" s="33">
        <v>45390</v>
      </c>
      <c r="D216" s="54" t="s">
        <v>988</v>
      </c>
      <c r="E216" s="38" t="s">
        <v>1513</v>
      </c>
      <c r="F216" s="40" t="s">
        <v>1517</v>
      </c>
      <c r="G216" s="40" t="s">
        <v>1521</v>
      </c>
      <c r="H216" s="40" t="s">
        <v>1530</v>
      </c>
      <c r="I216" s="40" t="s">
        <v>1739</v>
      </c>
      <c r="J216" s="46">
        <v>3978.8</v>
      </c>
      <c r="K216" s="3">
        <v>9</v>
      </c>
      <c r="L216" s="43">
        <v>0.05</v>
      </c>
      <c r="M216" s="48">
        <v>-530.17999999999995</v>
      </c>
      <c r="N216" s="48" t="str">
        <f>IF(Table3[[#This Row],[Profit]]&lt;0,"Loss","Profit")</f>
        <v>Loss</v>
      </c>
    </row>
    <row r="217" spans="1:14" ht="15.6" x14ac:dyDescent="0.3">
      <c r="A217" s="31" t="s">
        <v>553</v>
      </c>
      <c r="B217" s="33">
        <v>45385</v>
      </c>
      <c r="C217" s="33">
        <v>45392</v>
      </c>
      <c r="D217" s="54" t="s">
        <v>1307</v>
      </c>
      <c r="E217" s="38" t="s">
        <v>1515</v>
      </c>
      <c r="F217" s="40" t="s">
        <v>1519</v>
      </c>
      <c r="G217" s="40" t="s">
        <v>1522</v>
      </c>
      <c r="H217" s="40" t="s">
        <v>1531</v>
      </c>
      <c r="I217" s="40" t="s">
        <v>2053</v>
      </c>
      <c r="J217" s="46">
        <v>3024.15</v>
      </c>
      <c r="K217" s="3">
        <v>10</v>
      </c>
      <c r="L217" s="43">
        <v>0.05</v>
      </c>
      <c r="M217" s="48">
        <v>431.75</v>
      </c>
      <c r="N217" s="48" t="str">
        <f>IF(Table3[[#This Row],[Profit]]&lt;0,"Loss","Profit")</f>
        <v>Profit</v>
      </c>
    </row>
    <row r="218" spans="1:14" ht="15.6" x14ac:dyDescent="0.3">
      <c r="A218" s="31" t="s">
        <v>471</v>
      </c>
      <c r="B218" s="33">
        <v>45393</v>
      </c>
      <c r="C218" s="33">
        <v>45394</v>
      </c>
      <c r="D218" s="54" t="s">
        <v>1228</v>
      </c>
      <c r="E218" s="38" t="s">
        <v>1515</v>
      </c>
      <c r="F218" s="40" t="s">
        <v>1516</v>
      </c>
      <c r="G218" s="40" t="s">
        <v>1522</v>
      </c>
      <c r="H218" s="40" t="s">
        <v>1529</v>
      </c>
      <c r="I218" s="40" t="s">
        <v>1717</v>
      </c>
      <c r="J218" s="46">
        <v>1907.2</v>
      </c>
      <c r="K218" s="3">
        <v>5</v>
      </c>
      <c r="L218" s="43">
        <v>0.2</v>
      </c>
      <c r="M218" s="48">
        <v>272.2</v>
      </c>
      <c r="N218" s="48" t="str">
        <f>IF(Table3[[#This Row],[Profit]]&lt;0,"Loss","Profit")</f>
        <v>Profit</v>
      </c>
    </row>
    <row r="219" spans="1:14" ht="15.6" x14ac:dyDescent="0.3">
      <c r="A219" s="31" t="s">
        <v>75</v>
      </c>
      <c r="B219" s="33">
        <v>45390</v>
      </c>
      <c r="C219" s="33">
        <v>45397</v>
      </c>
      <c r="D219" s="54" t="s">
        <v>844</v>
      </c>
      <c r="E219" s="38" t="s">
        <v>1514</v>
      </c>
      <c r="F219" s="40" t="s">
        <v>1518</v>
      </c>
      <c r="G219" s="40" t="s">
        <v>1522</v>
      </c>
      <c r="H219" s="40" t="s">
        <v>1529</v>
      </c>
      <c r="I219" s="40" t="s">
        <v>1594</v>
      </c>
      <c r="J219" s="46">
        <v>1687.86</v>
      </c>
      <c r="K219" s="3">
        <v>8</v>
      </c>
      <c r="L219" s="43">
        <v>0.15</v>
      </c>
      <c r="M219" s="48">
        <v>-279.77</v>
      </c>
      <c r="N219" s="48" t="str">
        <f>IF(Table3[[#This Row],[Profit]]&lt;0,"Loss","Profit")</f>
        <v>Loss</v>
      </c>
    </row>
    <row r="220" spans="1:14" ht="15.6" x14ac:dyDescent="0.3">
      <c r="A220" s="31" t="s">
        <v>702</v>
      </c>
      <c r="B220" s="33">
        <v>45390</v>
      </c>
      <c r="C220" s="33">
        <v>45398</v>
      </c>
      <c r="D220" s="54" t="s">
        <v>2284</v>
      </c>
      <c r="E220" s="38" t="s">
        <v>1515</v>
      </c>
      <c r="F220" s="40" t="s">
        <v>1519</v>
      </c>
      <c r="G220" s="40" t="s">
        <v>1520</v>
      </c>
      <c r="H220" s="40" t="s">
        <v>1524</v>
      </c>
      <c r="I220" s="40" t="s">
        <v>2191</v>
      </c>
      <c r="J220" s="46">
        <v>3930.75</v>
      </c>
      <c r="K220" s="3">
        <v>7</v>
      </c>
      <c r="L220" s="43">
        <v>0.2</v>
      </c>
      <c r="M220" s="48">
        <v>-665.03</v>
      </c>
      <c r="N220" s="48" t="str">
        <f>IF(Table3[[#This Row],[Profit]]&lt;0,"Loss","Profit")</f>
        <v>Loss</v>
      </c>
    </row>
    <row r="221" spans="1:14" ht="15.6" x14ac:dyDescent="0.3">
      <c r="A221" s="31" t="s">
        <v>130</v>
      </c>
      <c r="B221" s="33">
        <v>45394</v>
      </c>
      <c r="C221" s="33">
        <v>45399</v>
      </c>
      <c r="D221" s="54" t="s">
        <v>898</v>
      </c>
      <c r="E221" s="38" t="s">
        <v>1514</v>
      </c>
      <c r="F221" s="40" t="s">
        <v>1519</v>
      </c>
      <c r="G221" s="40" t="s">
        <v>1522</v>
      </c>
      <c r="H221" s="40" t="s">
        <v>1527</v>
      </c>
      <c r="I221" s="40" t="s">
        <v>1648</v>
      </c>
      <c r="J221" s="46">
        <v>4521.95</v>
      </c>
      <c r="K221" s="3">
        <v>1</v>
      </c>
      <c r="L221" s="43">
        <v>0.1</v>
      </c>
      <c r="M221" s="48">
        <v>1075.68</v>
      </c>
      <c r="N221" s="48" t="str">
        <f>IF(Table3[[#This Row],[Profit]]&lt;0,"Loss","Profit")</f>
        <v>Profit</v>
      </c>
    </row>
    <row r="222" spans="1:14" ht="15.6" x14ac:dyDescent="0.3">
      <c r="A222" s="31" t="s">
        <v>361</v>
      </c>
      <c r="B222" s="33">
        <v>45397</v>
      </c>
      <c r="C222" s="33">
        <v>45402</v>
      </c>
      <c r="D222" s="54" t="s">
        <v>1120</v>
      </c>
      <c r="E222" s="38" t="s">
        <v>1514</v>
      </c>
      <c r="F222" s="40" t="s">
        <v>1516</v>
      </c>
      <c r="G222" s="40" t="s">
        <v>1520</v>
      </c>
      <c r="H222" s="40" t="s">
        <v>1523</v>
      </c>
      <c r="I222" s="40" t="s">
        <v>1872</v>
      </c>
      <c r="J222" s="46">
        <v>836.94</v>
      </c>
      <c r="K222" s="3">
        <v>5</v>
      </c>
      <c r="L222" s="43">
        <v>0</v>
      </c>
      <c r="M222" s="48">
        <v>133.93</v>
      </c>
      <c r="N222" s="48" t="str">
        <f>IF(Table3[[#This Row],[Profit]]&lt;0,"Loss","Profit")</f>
        <v>Profit</v>
      </c>
    </row>
    <row r="223" spans="1:14" ht="15.6" x14ac:dyDescent="0.3">
      <c r="A223" s="31" t="s">
        <v>538</v>
      </c>
      <c r="B223" s="33">
        <v>45401</v>
      </c>
      <c r="C223" s="33">
        <v>45402</v>
      </c>
      <c r="D223" s="54" t="s">
        <v>1293</v>
      </c>
      <c r="E223" s="38" t="s">
        <v>1513</v>
      </c>
      <c r="F223" s="40" t="s">
        <v>1519</v>
      </c>
      <c r="G223" s="40" t="s">
        <v>1520</v>
      </c>
      <c r="H223" s="40" t="s">
        <v>1523</v>
      </c>
      <c r="I223" s="40" t="s">
        <v>2038</v>
      </c>
      <c r="J223" s="46">
        <v>2780.39</v>
      </c>
      <c r="K223" s="3">
        <v>9</v>
      </c>
      <c r="L223" s="43">
        <v>0.2</v>
      </c>
      <c r="M223" s="48">
        <v>165.87</v>
      </c>
      <c r="N223" s="48" t="str">
        <f>IF(Table3[[#This Row],[Profit]]&lt;0,"Loss","Profit")</f>
        <v>Profit</v>
      </c>
    </row>
    <row r="224" spans="1:14" ht="15.6" x14ac:dyDescent="0.3">
      <c r="A224" s="31" t="s">
        <v>461</v>
      </c>
      <c r="B224" s="33">
        <v>45396</v>
      </c>
      <c r="C224" s="33">
        <v>45405</v>
      </c>
      <c r="D224" s="54" t="s">
        <v>1218</v>
      </c>
      <c r="E224" s="38" t="s">
        <v>1513</v>
      </c>
      <c r="F224" s="40" t="s">
        <v>1517</v>
      </c>
      <c r="G224" s="40" t="s">
        <v>1521</v>
      </c>
      <c r="H224" s="40" t="s">
        <v>1530</v>
      </c>
      <c r="I224" s="40" t="s">
        <v>1965</v>
      </c>
      <c r="J224" s="46">
        <v>643.09</v>
      </c>
      <c r="K224" s="3">
        <v>7</v>
      </c>
      <c r="L224" s="43">
        <v>0.2</v>
      </c>
      <c r="M224" s="48">
        <v>-23.09</v>
      </c>
      <c r="N224" s="48" t="str">
        <f>IF(Table3[[#This Row],[Profit]]&lt;0,"Loss","Profit")</f>
        <v>Loss</v>
      </c>
    </row>
    <row r="225" spans="1:14" ht="15.6" x14ac:dyDescent="0.3">
      <c r="A225" s="31" t="s">
        <v>503</v>
      </c>
      <c r="B225" s="33">
        <v>45402</v>
      </c>
      <c r="C225" s="33">
        <v>45405</v>
      </c>
      <c r="D225" s="54" t="s">
        <v>1259</v>
      </c>
      <c r="E225" s="38" t="s">
        <v>1515</v>
      </c>
      <c r="F225" s="40" t="s">
        <v>1519</v>
      </c>
      <c r="G225" s="40" t="s">
        <v>1520</v>
      </c>
      <c r="H225" s="40" t="s">
        <v>1524</v>
      </c>
      <c r="I225" s="40" t="s">
        <v>2006</v>
      </c>
      <c r="J225" s="46">
        <v>4907.6099999999997</v>
      </c>
      <c r="K225" s="3">
        <v>3</v>
      </c>
      <c r="L225" s="43">
        <v>0.2</v>
      </c>
      <c r="M225" s="48">
        <v>482.76</v>
      </c>
      <c r="N225" s="48" t="str">
        <f>IF(Table3[[#This Row],[Profit]]&lt;0,"Loss","Profit")</f>
        <v>Profit</v>
      </c>
    </row>
    <row r="226" spans="1:14" ht="15.6" x14ac:dyDescent="0.3">
      <c r="A226" s="31" t="s">
        <v>302</v>
      </c>
      <c r="B226" s="33">
        <v>45396</v>
      </c>
      <c r="C226" s="33">
        <v>45406</v>
      </c>
      <c r="D226" s="54" t="s">
        <v>1064</v>
      </c>
      <c r="E226" s="38" t="s">
        <v>1515</v>
      </c>
      <c r="F226" s="40" t="s">
        <v>1518</v>
      </c>
      <c r="G226" s="40" t="s">
        <v>1522</v>
      </c>
      <c r="H226" s="40" t="s">
        <v>1527</v>
      </c>
      <c r="I226" s="40" t="s">
        <v>1815</v>
      </c>
      <c r="J226" s="46">
        <v>4568.12</v>
      </c>
      <c r="K226" s="3">
        <v>8</v>
      </c>
      <c r="L226" s="43">
        <v>0</v>
      </c>
      <c r="M226" s="48">
        <v>-897.01</v>
      </c>
      <c r="N226" s="48" t="str">
        <f>IF(Table3[[#This Row],[Profit]]&lt;0,"Loss","Profit")</f>
        <v>Loss</v>
      </c>
    </row>
    <row r="227" spans="1:14" ht="15.6" x14ac:dyDescent="0.3">
      <c r="A227" s="31" t="s">
        <v>216</v>
      </c>
      <c r="B227" s="33">
        <v>45399</v>
      </c>
      <c r="C227" s="33">
        <v>45406</v>
      </c>
      <c r="D227" s="54" t="s">
        <v>981</v>
      </c>
      <c r="E227" s="38" t="s">
        <v>1515</v>
      </c>
      <c r="F227" s="40" t="s">
        <v>1518</v>
      </c>
      <c r="G227" s="40" t="s">
        <v>1522</v>
      </c>
      <c r="H227" s="40" t="s">
        <v>1527</v>
      </c>
      <c r="I227" s="40" t="s">
        <v>1621</v>
      </c>
      <c r="J227" s="46">
        <v>1848.39</v>
      </c>
      <c r="K227" s="3">
        <v>3</v>
      </c>
      <c r="L227" s="43">
        <v>0</v>
      </c>
      <c r="M227" s="48">
        <v>-224.53</v>
      </c>
      <c r="N227" s="48" t="str">
        <f>IF(Table3[[#This Row],[Profit]]&lt;0,"Loss","Profit")</f>
        <v>Loss</v>
      </c>
    </row>
    <row r="228" spans="1:14" ht="15.6" x14ac:dyDescent="0.3">
      <c r="A228" s="31" t="s">
        <v>152</v>
      </c>
      <c r="B228" s="33">
        <v>45403</v>
      </c>
      <c r="C228" s="33">
        <v>45406</v>
      </c>
      <c r="D228" s="54" t="s">
        <v>919</v>
      </c>
      <c r="E228" s="38" t="s">
        <v>1515</v>
      </c>
      <c r="F228" s="40" t="s">
        <v>1517</v>
      </c>
      <c r="G228" s="40" t="s">
        <v>1521</v>
      </c>
      <c r="H228" s="40" t="s">
        <v>1530</v>
      </c>
      <c r="I228" s="40" t="s">
        <v>1670</v>
      </c>
      <c r="J228" s="46">
        <v>2724.07</v>
      </c>
      <c r="K228" s="3">
        <v>3</v>
      </c>
      <c r="L228" s="43">
        <v>0</v>
      </c>
      <c r="M228" s="48">
        <v>445.61</v>
      </c>
      <c r="N228" s="48" t="str">
        <f>IF(Table3[[#This Row],[Profit]]&lt;0,"Loss","Profit")</f>
        <v>Profit</v>
      </c>
    </row>
    <row r="229" spans="1:14" ht="15.6" x14ac:dyDescent="0.3">
      <c r="A229" s="31" t="s">
        <v>477</v>
      </c>
      <c r="B229" s="33">
        <v>45405</v>
      </c>
      <c r="C229" s="33">
        <v>45406</v>
      </c>
      <c r="D229" s="54" t="s">
        <v>1234</v>
      </c>
      <c r="E229" s="38" t="s">
        <v>1515</v>
      </c>
      <c r="F229" s="40" t="s">
        <v>1518</v>
      </c>
      <c r="G229" s="40" t="s">
        <v>1521</v>
      </c>
      <c r="H229" s="40" t="s">
        <v>1530</v>
      </c>
      <c r="I229" s="40" t="s">
        <v>1980</v>
      </c>
      <c r="J229" s="46">
        <v>113.11</v>
      </c>
      <c r="K229" s="3">
        <v>2</v>
      </c>
      <c r="L229" s="43">
        <v>0</v>
      </c>
      <c r="M229" s="48">
        <v>29.34</v>
      </c>
      <c r="N229" s="48" t="str">
        <f>IF(Table3[[#This Row],[Profit]]&lt;0,"Loss","Profit")</f>
        <v>Profit</v>
      </c>
    </row>
    <row r="230" spans="1:14" ht="15.6" x14ac:dyDescent="0.3">
      <c r="A230" s="31" t="s">
        <v>406</v>
      </c>
      <c r="B230" s="33">
        <v>45400</v>
      </c>
      <c r="C230" s="33">
        <v>45408</v>
      </c>
      <c r="D230" s="54" t="s">
        <v>1164</v>
      </c>
      <c r="E230" s="38" t="s">
        <v>1513</v>
      </c>
      <c r="F230" s="40" t="s">
        <v>1517</v>
      </c>
      <c r="G230" s="40" t="s">
        <v>1521</v>
      </c>
      <c r="H230" s="40" t="s">
        <v>1530</v>
      </c>
      <c r="I230" s="40" t="s">
        <v>1915</v>
      </c>
      <c r="J230" s="46">
        <v>2670.69</v>
      </c>
      <c r="K230" s="3">
        <v>10</v>
      </c>
      <c r="L230" s="43">
        <v>0.05</v>
      </c>
      <c r="M230" s="48">
        <v>896.52</v>
      </c>
      <c r="N230" s="48" t="str">
        <f>IF(Table3[[#This Row],[Profit]]&lt;0,"Loss","Profit")</f>
        <v>Profit</v>
      </c>
    </row>
    <row r="231" spans="1:14" ht="15.6" x14ac:dyDescent="0.3">
      <c r="A231" s="31" t="s">
        <v>511</v>
      </c>
      <c r="B231" s="33">
        <v>45405</v>
      </c>
      <c r="C231" s="33">
        <v>45410</v>
      </c>
      <c r="D231" s="54" t="s">
        <v>2285</v>
      </c>
      <c r="E231" s="38" t="s">
        <v>1515</v>
      </c>
      <c r="F231" s="40" t="s">
        <v>1516</v>
      </c>
      <c r="G231" s="40" t="s">
        <v>1520</v>
      </c>
      <c r="H231" s="40" t="s">
        <v>1523</v>
      </c>
      <c r="I231" s="40" t="s">
        <v>2014</v>
      </c>
      <c r="J231" s="46">
        <v>2271.63</v>
      </c>
      <c r="K231" s="3">
        <v>2</v>
      </c>
      <c r="L231" s="43">
        <v>0.05</v>
      </c>
      <c r="M231" s="48">
        <v>748.19</v>
      </c>
      <c r="N231" s="48" t="str">
        <f>IF(Table3[[#This Row],[Profit]]&lt;0,"Loss","Profit")</f>
        <v>Profit</v>
      </c>
    </row>
    <row r="232" spans="1:14" ht="15.6" x14ac:dyDescent="0.3">
      <c r="A232" s="31" t="s">
        <v>723</v>
      </c>
      <c r="B232" s="33">
        <v>45406</v>
      </c>
      <c r="C232" s="33">
        <v>45413</v>
      </c>
      <c r="D232" s="54" t="s">
        <v>1475</v>
      </c>
      <c r="E232" s="38" t="s">
        <v>1513</v>
      </c>
      <c r="F232" s="40" t="s">
        <v>1518</v>
      </c>
      <c r="G232" s="40" t="s">
        <v>1520</v>
      </c>
      <c r="H232" s="40" t="s">
        <v>1524</v>
      </c>
      <c r="I232" s="40" t="s">
        <v>1541</v>
      </c>
      <c r="J232" s="46">
        <v>2973.15</v>
      </c>
      <c r="K232" s="3">
        <v>4</v>
      </c>
      <c r="L232" s="43">
        <v>0.2</v>
      </c>
      <c r="M232" s="48">
        <v>-196.14</v>
      </c>
      <c r="N232" s="48" t="str">
        <f>IF(Table3[[#This Row],[Profit]]&lt;0,"Loss","Profit")</f>
        <v>Loss</v>
      </c>
    </row>
    <row r="233" spans="1:14" ht="15.6" x14ac:dyDescent="0.3">
      <c r="A233" s="31" t="s">
        <v>60</v>
      </c>
      <c r="B233" s="33">
        <v>45409</v>
      </c>
      <c r="C233" s="33">
        <v>45414</v>
      </c>
      <c r="D233" s="54" t="s">
        <v>829</v>
      </c>
      <c r="E233" s="38" t="s">
        <v>1514</v>
      </c>
      <c r="F233" s="40" t="s">
        <v>1518</v>
      </c>
      <c r="G233" s="40" t="s">
        <v>1522</v>
      </c>
      <c r="H233" s="40" t="s">
        <v>1527</v>
      </c>
      <c r="I233" s="40" t="s">
        <v>1579</v>
      </c>
      <c r="J233" s="46">
        <v>239.37</v>
      </c>
      <c r="K233" s="3">
        <v>10</v>
      </c>
      <c r="L233" s="43">
        <v>0.15</v>
      </c>
      <c r="M233" s="48">
        <v>-2.36</v>
      </c>
      <c r="N233" s="48" t="str">
        <f>IF(Table3[[#This Row],[Profit]]&lt;0,"Loss","Profit")</f>
        <v>Loss</v>
      </c>
    </row>
    <row r="234" spans="1:14" ht="15.6" x14ac:dyDescent="0.3">
      <c r="A234" s="31" t="s">
        <v>180</v>
      </c>
      <c r="B234" s="33">
        <v>45406</v>
      </c>
      <c r="C234" s="33">
        <v>45416</v>
      </c>
      <c r="D234" s="54" t="s">
        <v>946</v>
      </c>
      <c r="E234" s="38" t="s">
        <v>1514</v>
      </c>
      <c r="F234" s="40" t="s">
        <v>1518</v>
      </c>
      <c r="G234" s="40" t="s">
        <v>1520</v>
      </c>
      <c r="H234" s="40" t="s">
        <v>1525</v>
      </c>
      <c r="I234" s="40" t="s">
        <v>1697</v>
      </c>
      <c r="J234" s="46">
        <v>1649.88</v>
      </c>
      <c r="K234" s="3">
        <v>6</v>
      </c>
      <c r="L234" s="43">
        <v>0.05</v>
      </c>
      <c r="M234" s="48">
        <v>69.08</v>
      </c>
      <c r="N234" s="48" t="str">
        <f>IF(Table3[[#This Row],[Profit]]&lt;0,"Loss","Profit")</f>
        <v>Profit</v>
      </c>
    </row>
    <row r="235" spans="1:14" ht="15.6" x14ac:dyDescent="0.3">
      <c r="A235" s="31" t="s">
        <v>214</v>
      </c>
      <c r="B235" s="33">
        <v>45411</v>
      </c>
      <c r="C235" s="33">
        <v>45416</v>
      </c>
      <c r="D235" s="54" t="s">
        <v>979</v>
      </c>
      <c r="E235" s="38" t="s">
        <v>1515</v>
      </c>
      <c r="F235" s="40" t="s">
        <v>1518</v>
      </c>
      <c r="G235" s="40" t="s">
        <v>1522</v>
      </c>
      <c r="H235" s="40" t="s">
        <v>1529</v>
      </c>
      <c r="I235" s="40" t="s">
        <v>1731</v>
      </c>
      <c r="J235" s="46">
        <v>1567.15</v>
      </c>
      <c r="K235" s="3">
        <v>10</v>
      </c>
      <c r="L235" s="43">
        <v>0.2</v>
      </c>
      <c r="M235" s="48">
        <v>53.85</v>
      </c>
      <c r="N235" s="48" t="str">
        <f>IF(Table3[[#This Row],[Profit]]&lt;0,"Loss","Profit")</f>
        <v>Profit</v>
      </c>
    </row>
    <row r="236" spans="1:14" ht="15.6" x14ac:dyDescent="0.3">
      <c r="A236" s="31" t="s">
        <v>94</v>
      </c>
      <c r="B236" s="33">
        <v>45411</v>
      </c>
      <c r="C236" s="33">
        <v>45419</v>
      </c>
      <c r="D236" s="54" t="s">
        <v>863</v>
      </c>
      <c r="E236" s="38" t="s">
        <v>1514</v>
      </c>
      <c r="F236" s="40" t="s">
        <v>1517</v>
      </c>
      <c r="G236" s="40" t="s">
        <v>1520</v>
      </c>
      <c r="H236" s="40" t="s">
        <v>1524</v>
      </c>
      <c r="I236" s="40" t="s">
        <v>1613</v>
      </c>
      <c r="J236" s="46">
        <v>2268.46</v>
      </c>
      <c r="K236" s="3">
        <v>1</v>
      </c>
      <c r="L236" s="43">
        <v>0</v>
      </c>
      <c r="M236" s="48">
        <v>-86.59</v>
      </c>
      <c r="N236" s="48" t="str">
        <f>IF(Table3[[#This Row],[Profit]]&lt;0,"Loss","Profit")</f>
        <v>Loss</v>
      </c>
    </row>
    <row r="237" spans="1:14" ht="15.6" x14ac:dyDescent="0.3">
      <c r="A237" s="31" t="s">
        <v>102</v>
      </c>
      <c r="B237" s="33">
        <v>45423</v>
      </c>
      <c r="C237" s="33">
        <v>45424</v>
      </c>
      <c r="D237" s="54" t="s">
        <v>871</v>
      </c>
      <c r="E237" s="38" t="s">
        <v>1513</v>
      </c>
      <c r="F237" s="40" t="s">
        <v>1516</v>
      </c>
      <c r="G237" s="40" t="s">
        <v>1522</v>
      </c>
      <c r="H237" s="40" t="s">
        <v>1527</v>
      </c>
      <c r="I237" s="40" t="s">
        <v>1621</v>
      </c>
      <c r="J237" s="46">
        <v>801.05</v>
      </c>
      <c r="K237" s="3">
        <v>10</v>
      </c>
      <c r="L237" s="43">
        <v>0.1</v>
      </c>
      <c r="M237" s="48">
        <v>-122.68</v>
      </c>
      <c r="N237" s="48" t="str">
        <f>IF(Table3[[#This Row],[Profit]]&lt;0,"Loss","Profit")</f>
        <v>Loss</v>
      </c>
    </row>
    <row r="238" spans="1:14" ht="15.6" x14ac:dyDescent="0.3">
      <c r="A238" s="31" t="s">
        <v>68</v>
      </c>
      <c r="B238" s="33">
        <v>45424</v>
      </c>
      <c r="C238" s="33">
        <v>45427</v>
      </c>
      <c r="D238" s="54" t="s">
        <v>837</v>
      </c>
      <c r="E238" s="38" t="s">
        <v>1513</v>
      </c>
      <c r="F238" s="40" t="s">
        <v>1518</v>
      </c>
      <c r="G238" s="40" t="s">
        <v>1522</v>
      </c>
      <c r="H238" s="40" t="s">
        <v>1531</v>
      </c>
      <c r="I238" s="40" t="s">
        <v>1587</v>
      </c>
      <c r="J238" s="46">
        <v>170.91</v>
      </c>
      <c r="K238" s="3">
        <v>4</v>
      </c>
      <c r="L238" s="43">
        <v>0.15</v>
      </c>
      <c r="M238" s="48">
        <v>23.28</v>
      </c>
      <c r="N238" s="48" t="str">
        <f>IF(Table3[[#This Row],[Profit]]&lt;0,"Loss","Profit")</f>
        <v>Profit</v>
      </c>
    </row>
    <row r="239" spans="1:14" ht="15.6" x14ac:dyDescent="0.3">
      <c r="A239" s="31" t="s">
        <v>410</v>
      </c>
      <c r="B239" s="33">
        <v>45426</v>
      </c>
      <c r="C239" s="33">
        <v>45427</v>
      </c>
      <c r="D239" s="54" t="s">
        <v>1168</v>
      </c>
      <c r="E239" s="38" t="s">
        <v>1513</v>
      </c>
      <c r="F239" s="40" t="s">
        <v>1519</v>
      </c>
      <c r="G239" s="40" t="s">
        <v>1522</v>
      </c>
      <c r="H239" s="40" t="s">
        <v>1531</v>
      </c>
      <c r="I239" s="40" t="s">
        <v>1919</v>
      </c>
      <c r="J239" s="46">
        <v>1201.49</v>
      </c>
      <c r="K239" s="3">
        <v>4</v>
      </c>
      <c r="L239" s="43">
        <v>0</v>
      </c>
      <c r="M239" s="48">
        <v>107.59</v>
      </c>
      <c r="N239" s="48" t="str">
        <f>IF(Table3[[#This Row],[Profit]]&lt;0,"Loss","Profit")</f>
        <v>Profit</v>
      </c>
    </row>
    <row r="240" spans="1:14" ht="15.6" x14ac:dyDescent="0.3">
      <c r="A240" s="31" t="s">
        <v>222</v>
      </c>
      <c r="B240" s="33">
        <v>45421</v>
      </c>
      <c r="C240" s="33">
        <v>45429</v>
      </c>
      <c r="D240" s="54" t="s">
        <v>987</v>
      </c>
      <c r="E240" s="38" t="s">
        <v>1513</v>
      </c>
      <c r="F240" s="40" t="s">
        <v>1519</v>
      </c>
      <c r="G240" s="40" t="s">
        <v>1522</v>
      </c>
      <c r="H240" s="40" t="s">
        <v>1527</v>
      </c>
      <c r="I240" s="40" t="s">
        <v>1738</v>
      </c>
      <c r="J240" s="46">
        <v>4986.45</v>
      </c>
      <c r="K240" s="3">
        <v>6</v>
      </c>
      <c r="L240" s="43">
        <v>0.2</v>
      </c>
      <c r="M240" s="48">
        <v>-44.46</v>
      </c>
      <c r="N240" s="48" t="str">
        <f>IF(Table3[[#This Row],[Profit]]&lt;0,"Loss","Profit")</f>
        <v>Loss</v>
      </c>
    </row>
    <row r="241" spans="1:14" ht="15.6" x14ac:dyDescent="0.3">
      <c r="A241" s="31" t="s">
        <v>558</v>
      </c>
      <c r="B241" s="33">
        <v>45421</v>
      </c>
      <c r="C241" s="33">
        <v>45430</v>
      </c>
      <c r="D241" s="54" t="s">
        <v>1312</v>
      </c>
      <c r="E241" s="38" t="s">
        <v>1515</v>
      </c>
      <c r="F241" s="40" t="s">
        <v>1516</v>
      </c>
      <c r="G241" s="40" t="s">
        <v>1521</v>
      </c>
      <c r="H241" s="40" t="s">
        <v>1530</v>
      </c>
      <c r="I241" s="40" t="s">
        <v>2058</v>
      </c>
      <c r="J241" s="46">
        <v>2173.33</v>
      </c>
      <c r="K241" s="3">
        <v>8</v>
      </c>
      <c r="L241" s="43">
        <v>0.15</v>
      </c>
      <c r="M241" s="48">
        <v>-15.68</v>
      </c>
      <c r="N241" s="48" t="str">
        <f>IF(Table3[[#This Row],[Profit]]&lt;0,"Loss","Profit")</f>
        <v>Loss</v>
      </c>
    </row>
    <row r="242" spans="1:14" ht="15.6" x14ac:dyDescent="0.3">
      <c r="A242" s="31" t="s">
        <v>276</v>
      </c>
      <c r="B242" s="33">
        <v>45423</v>
      </c>
      <c r="C242" s="33">
        <v>45430</v>
      </c>
      <c r="D242" s="54" t="s">
        <v>2271</v>
      </c>
      <c r="E242" s="38" t="s">
        <v>1513</v>
      </c>
      <c r="F242" s="40" t="s">
        <v>1516</v>
      </c>
      <c r="G242" s="40" t="s">
        <v>1520</v>
      </c>
      <c r="H242" s="40" t="s">
        <v>1523</v>
      </c>
      <c r="I242" s="40" t="s">
        <v>1791</v>
      </c>
      <c r="J242" s="46">
        <v>1309.56</v>
      </c>
      <c r="K242" s="3">
        <v>1</v>
      </c>
      <c r="L242" s="43">
        <v>0.2</v>
      </c>
      <c r="M242" s="48">
        <v>-104.97</v>
      </c>
      <c r="N242" s="48" t="str">
        <f>IF(Table3[[#This Row],[Profit]]&lt;0,"Loss","Profit")</f>
        <v>Loss</v>
      </c>
    </row>
    <row r="243" spans="1:14" ht="15.6" x14ac:dyDescent="0.3">
      <c r="A243" s="31" t="s">
        <v>334</v>
      </c>
      <c r="B243" s="33">
        <v>45425</v>
      </c>
      <c r="C243" s="33">
        <v>45431</v>
      </c>
      <c r="D243" s="54" t="s">
        <v>1094</v>
      </c>
      <c r="E243" s="38" t="s">
        <v>1514</v>
      </c>
      <c r="F243" s="40" t="s">
        <v>1516</v>
      </c>
      <c r="G243" s="40" t="s">
        <v>1521</v>
      </c>
      <c r="H243" s="40" t="s">
        <v>1526</v>
      </c>
      <c r="I243" s="40" t="s">
        <v>1845</v>
      </c>
      <c r="J243" s="46">
        <v>2303.9</v>
      </c>
      <c r="K243" s="3">
        <v>4</v>
      </c>
      <c r="L243" s="43">
        <v>0.2</v>
      </c>
      <c r="M243" s="48">
        <v>151.16</v>
      </c>
      <c r="N243" s="48" t="str">
        <f>IF(Table3[[#This Row],[Profit]]&lt;0,"Loss","Profit")</f>
        <v>Profit</v>
      </c>
    </row>
    <row r="244" spans="1:14" ht="15.6" x14ac:dyDescent="0.3">
      <c r="A244" s="31" t="s">
        <v>131</v>
      </c>
      <c r="B244" s="33">
        <v>45430</v>
      </c>
      <c r="C244" s="33">
        <v>45433</v>
      </c>
      <c r="D244" s="54" t="s">
        <v>899</v>
      </c>
      <c r="E244" s="38" t="s">
        <v>1513</v>
      </c>
      <c r="F244" s="40" t="s">
        <v>1517</v>
      </c>
      <c r="G244" s="40" t="s">
        <v>1521</v>
      </c>
      <c r="H244" s="40" t="s">
        <v>1526</v>
      </c>
      <c r="I244" s="40" t="s">
        <v>1649</v>
      </c>
      <c r="J244" s="46">
        <v>1258.78</v>
      </c>
      <c r="K244" s="3">
        <v>7</v>
      </c>
      <c r="L244" s="43">
        <v>0.2</v>
      </c>
      <c r="M244" s="48">
        <v>220.27</v>
      </c>
      <c r="N244" s="48" t="str">
        <f>IF(Table3[[#This Row],[Profit]]&lt;0,"Loss","Profit")</f>
        <v>Profit</v>
      </c>
    </row>
    <row r="245" spans="1:14" ht="15.6" x14ac:dyDescent="0.3">
      <c r="A245" s="31" t="s">
        <v>228</v>
      </c>
      <c r="B245" s="33">
        <v>45435</v>
      </c>
      <c r="C245" s="33">
        <v>45439</v>
      </c>
      <c r="D245" s="54" t="s">
        <v>992</v>
      </c>
      <c r="E245" s="38" t="s">
        <v>1514</v>
      </c>
      <c r="F245" s="40" t="s">
        <v>1517</v>
      </c>
      <c r="G245" s="40" t="s">
        <v>1522</v>
      </c>
      <c r="H245" s="40" t="s">
        <v>1529</v>
      </c>
      <c r="I245" s="40" t="s">
        <v>1744</v>
      </c>
      <c r="J245" s="46">
        <v>1762.81</v>
      </c>
      <c r="K245" s="3">
        <v>9</v>
      </c>
      <c r="L245" s="43">
        <v>0.1</v>
      </c>
      <c r="M245" s="48">
        <v>467.61</v>
      </c>
      <c r="N245" s="48" t="str">
        <f>IF(Table3[[#This Row],[Profit]]&lt;0,"Loss","Profit")</f>
        <v>Profit</v>
      </c>
    </row>
    <row r="246" spans="1:14" ht="15.6" x14ac:dyDescent="0.3">
      <c r="A246" s="31" t="s">
        <v>417</v>
      </c>
      <c r="B246" s="33">
        <v>45434</v>
      </c>
      <c r="C246" s="33">
        <v>45440</v>
      </c>
      <c r="D246" s="54" t="s">
        <v>1174</v>
      </c>
      <c r="E246" s="38" t="s">
        <v>1513</v>
      </c>
      <c r="F246" s="40" t="s">
        <v>1518</v>
      </c>
      <c r="G246" s="40" t="s">
        <v>1522</v>
      </c>
      <c r="H246" s="40" t="s">
        <v>1527</v>
      </c>
      <c r="I246" s="40" t="s">
        <v>1925</v>
      </c>
      <c r="J246" s="46">
        <v>4609.1400000000003</v>
      </c>
      <c r="K246" s="3">
        <v>10</v>
      </c>
      <c r="L246" s="43">
        <v>0.05</v>
      </c>
      <c r="M246" s="48">
        <v>699.69</v>
      </c>
      <c r="N246" s="48" t="str">
        <f>IF(Table3[[#This Row],[Profit]]&lt;0,"Loss","Profit")</f>
        <v>Profit</v>
      </c>
    </row>
    <row r="247" spans="1:14" ht="15.6" x14ac:dyDescent="0.3">
      <c r="A247" s="31" t="s">
        <v>407</v>
      </c>
      <c r="B247" s="33">
        <v>45435</v>
      </c>
      <c r="C247" s="33">
        <v>45440</v>
      </c>
      <c r="D247" s="54" t="s">
        <v>1165</v>
      </c>
      <c r="E247" s="38" t="s">
        <v>1514</v>
      </c>
      <c r="F247" s="40" t="s">
        <v>1519</v>
      </c>
      <c r="G247" s="40" t="s">
        <v>1520</v>
      </c>
      <c r="H247" s="40" t="s">
        <v>1523</v>
      </c>
      <c r="I247" s="40" t="s">
        <v>1916</v>
      </c>
      <c r="J247" s="46">
        <v>2691.76</v>
      </c>
      <c r="K247" s="3">
        <v>1</v>
      </c>
      <c r="L247" s="43">
        <v>0.05</v>
      </c>
      <c r="M247" s="48">
        <v>313.94</v>
      </c>
      <c r="N247" s="48" t="str">
        <f>IF(Table3[[#This Row],[Profit]]&lt;0,"Loss","Profit")</f>
        <v>Profit</v>
      </c>
    </row>
    <row r="248" spans="1:14" ht="15.6" x14ac:dyDescent="0.3">
      <c r="A248" s="31" t="s">
        <v>399</v>
      </c>
      <c r="B248" s="33">
        <v>45436</v>
      </c>
      <c r="C248" s="33">
        <v>45441</v>
      </c>
      <c r="D248" s="54" t="s">
        <v>1157</v>
      </c>
      <c r="E248" s="38" t="s">
        <v>1513</v>
      </c>
      <c r="F248" s="40" t="s">
        <v>1518</v>
      </c>
      <c r="G248" s="40" t="s">
        <v>1520</v>
      </c>
      <c r="H248" s="40" t="s">
        <v>1525</v>
      </c>
      <c r="I248" s="40" t="s">
        <v>1908</v>
      </c>
      <c r="J248" s="46">
        <v>4591.2700000000004</v>
      </c>
      <c r="K248" s="3">
        <v>2</v>
      </c>
      <c r="L248" s="43">
        <v>0</v>
      </c>
      <c r="M248" s="48">
        <v>1599.78</v>
      </c>
      <c r="N248" s="48" t="str">
        <f>IF(Table3[[#This Row],[Profit]]&lt;0,"Loss","Profit")</f>
        <v>Profit</v>
      </c>
    </row>
    <row r="249" spans="1:14" ht="15.6" x14ac:dyDescent="0.3">
      <c r="A249" s="31" t="s">
        <v>39</v>
      </c>
      <c r="B249" s="33">
        <v>45441</v>
      </c>
      <c r="C249" s="33">
        <v>45444</v>
      </c>
      <c r="D249" s="54" t="s">
        <v>808</v>
      </c>
      <c r="E249" s="38" t="s">
        <v>1515</v>
      </c>
      <c r="F249" s="40" t="s">
        <v>1516</v>
      </c>
      <c r="G249" s="40" t="s">
        <v>1522</v>
      </c>
      <c r="H249" s="40" t="s">
        <v>1529</v>
      </c>
      <c r="I249" s="40" t="s">
        <v>1558</v>
      </c>
      <c r="J249" s="46">
        <v>1428.8</v>
      </c>
      <c r="K249" s="3">
        <v>4</v>
      </c>
      <c r="L249" s="43">
        <v>0</v>
      </c>
      <c r="M249" s="48">
        <v>62.47</v>
      </c>
      <c r="N249" s="48" t="str">
        <f>IF(Table3[[#This Row],[Profit]]&lt;0,"Loss","Profit")</f>
        <v>Profit</v>
      </c>
    </row>
    <row r="250" spans="1:14" ht="15.6" x14ac:dyDescent="0.3">
      <c r="A250" s="31" t="s">
        <v>438</v>
      </c>
      <c r="B250" s="33" t="s">
        <v>773</v>
      </c>
      <c r="C250" s="33">
        <v>45448</v>
      </c>
      <c r="D250" s="54" t="s">
        <v>1195</v>
      </c>
      <c r="E250" s="38" t="s">
        <v>1515</v>
      </c>
      <c r="F250" s="40" t="s">
        <v>1518</v>
      </c>
      <c r="G250" s="40" t="s">
        <v>1520</v>
      </c>
      <c r="H250" s="40" t="s">
        <v>1523</v>
      </c>
      <c r="I250" s="40" t="s">
        <v>1944</v>
      </c>
      <c r="J250" s="46">
        <v>4344</v>
      </c>
      <c r="K250" s="3">
        <v>6</v>
      </c>
      <c r="L250" s="43">
        <v>0.15</v>
      </c>
      <c r="M250" s="48">
        <v>-237.72</v>
      </c>
      <c r="N250" s="48" t="str">
        <f>IF(Table3[[#This Row],[Profit]]&lt;0,"Loss","Profit")</f>
        <v>Loss</v>
      </c>
    </row>
    <row r="251" spans="1:14" ht="15.6" x14ac:dyDescent="0.3">
      <c r="A251" s="31" t="s">
        <v>676</v>
      </c>
      <c r="B251" s="33">
        <v>45444</v>
      </c>
      <c r="C251" s="33">
        <v>45451</v>
      </c>
      <c r="D251" s="54" t="s">
        <v>1429</v>
      </c>
      <c r="E251" s="38" t="s">
        <v>1515</v>
      </c>
      <c r="F251" s="40" t="s">
        <v>1516</v>
      </c>
      <c r="G251" s="40" t="s">
        <v>1520</v>
      </c>
      <c r="H251" s="40" t="s">
        <v>1524</v>
      </c>
      <c r="I251" s="40" t="s">
        <v>2168</v>
      </c>
      <c r="J251" s="46">
        <v>3076.95</v>
      </c>
      <c r="K251" s="3">
        <v>10</v>
      </c>
      <c r="L251" s="43">
        <v>0.2</v>
      </c>
      <c r="M251" s="48">
        <v>291.95999999999998</v>
      </c>
      <c r="N251" s="48" t="str">
        <f>IF(Table3[[#This Row],[Profit]]&lt;0,"Loss","Profit")</f>
        <v>Profit</v>
      </c>
    </row>
    <row r="252" spans="1:14" ht="15.6" x14ac:dyDescent="0.3">
      <c r="A252" s="31" t="s">
        <v>552</v>
      </c>
      <c r="B252" s="33">
        <v>45447</v>
      </c>
      <c r="C252" s="33">
        <v>45452</v>
      </c>
      <c r="D252" s="54" t="s">
        <v>1306</v>
      </c>
      <c r="E252" s="38" t="s">
        <v>1514</v>
      </c>
      <c r="F252" s="40" t="s">
        <v>1518</v>
      </c>
      <c r="G252" s="40" t="s">
        <v>1520</v>
      </c>
      <c r="H252" s="40" t="s">
        <v>1525</v>
      </c>
      <c r="I252" s="40" t="s">
        <v>2052</v>
      </c>
      <c r="J252" s="46">
        <v>4738.91</v>
      </c>
      <c r="K252" s="3">
        <v>4</v>
      </c>
      <c r="L252" s="43">
        <v>0.15</v>
      </c>
      <c r="M252" s="48">
        <v>633.07000000000005</v>
      </c>
      <c r="N252" s="48" t="str">
        <f>IF(Table3[[#This Row],[Profit]]&lt;0,"Loss","Profit")</f>
        <v>Profit</v>
      </c>
    </row>
    <row r="253" spans="1:14" ht="15.6" x14ac:dyDescent="0.3">
      <c r="A253" s="31" t="s">
        <v>458</v>
      </c>
      <c r="B253" s="33">
        <v>45446</v>
      </c>
      <c r="C253" s="33">
        <v>45454</v>
      </c>
      <c r="D253" s="54" t="s">
        <v>1215</v>
      </c>
      <c r="E253" s="38" t="s">
        <v>1513</v>
      </c>
      <c r="F253" s="40" t="s">
        <v>1519</v>
      </c>
      <c r="G253" s="40" t="s">
        <v>1521</v>
      </c>
      <c r="H253" s="40" t="s">
        <v>1530</v>
      </c>
      <c r="I253" s="40" t="s">
        <v>1963</v>
      </c>
      <c r="J253" s="46">
        <v>683.32</v>
      </c>
      <c r="K253" s="3">
        <v>5</v>
      </c>
      <c r="L253" s="43">
        <v>0.2</v>
      </c>
      <c r="M253" s="48">
        <v>167.13</v>
      </c>
      <c r="N253" s="48" t="str">
        <f>IF(Table3[[#This Row],[Profit]]&lt;0,"Loss","Profit")</f>
        <v>Profit</v>
      </c>
    </row>
    <row r="254" spans="1:14" ht="15.6" x14ac:dyDescent="0.3">
      <c r="A254" s="31" t="s">
        <v>113</v>
      </c>
      <c r="B254" s="33">
        <v>45449</v>
      </c>
      <c r="C254" s="33">
        <v>45456</v>
      </c>
      <c r="D254" s="54" t="s">
        <v>881</v>
      </c>
      <c r="E254" s="38" t="s">
        <v>1514</v>
      </c>
      <c r="F254" s="40" t="s">
        <v>1519</v>
      </c>
      <c r="G254" s="40" t="s">
        <v>1522</v>
      </c>
      <c r="H254" s="40" t="s">
        <v>1527</v>
      </c>
      <c r="I254" s="40" t="s">
        <v>1631</v>
      </c>
      <c r="J254" s="46">
        <v>3192.18</v>
      </c>
      <c r="K254" s="3">
        <v>8</v>
      </c>
      <c r="L254" s="43">
        <v>0</v>
      </c>
      <c r="M254" s="48">
        <v>186.76</v>
      </c>
      <c r="N254" s="48" t="str">
        <f>IF(Table3[[#This Row],[Profit]]&lt;0,"Loss","Profit")</f>
        <v>Profit</v>
      </c>
    </row>
    <row r="255" spans="1:14" ht="15.6" x14ac:dyDescent="0.3">
      <c r="A255" s="31" t="s">
        <v>504</v>
      </c>
      <c r="B255" s="33">
        <v>45452</v>
      </c>
      <c r="C255" s="33">
        <v>45458</v>
      </c>
      <c r="D255" s="54" t="s">
        <v>1260</v>
      </c>
      <c r="E255" s="38" t="s">
        <v>1515</v>
      </c>
      <c r="F255" s="40" t="s">
        <v>1518</v>
      </c>
      <c r="G255" s="40" t="s">
        <v>1520</v>
      </c>
      <c r="H255" s="40" t="s">
        <v>1523</v>
      </c>
      <c r="I255" s="40" t="s">
        <v>2007</v>
      </c>
      <c r="J255" s="46">
        <v>2833.29</v>
      </c>
      <c r="K255" s="3">
        <v>10</v>
      </c>
      <c r="L255" s="43">
        <v>0.2</v>
      </c>
      <c r="M255" s="48">
        <v>902.32</v>
      </c>
      <c r="N255" s="48" t="str">
        <f>IF(Table3[[#This Row],[Profit]]&lt;0,"Loss","Profit")</f>
        <v>Profit</v>
      </c>
    </row>
    <row r="256" spans="1:14" ht="15.6" x14ac:dyDescent="0.3">
      <c r="A256" s="31" t="s">
        <v>724</v>
      </c>
      <c r="B256" s="33">
        <v>45452</v>
      </c>
      <c r="C256" s="33">
        <v>45458</v>
      </c>
      <c r="D256" s="54" t="s">
        <v>1476</v>
      </c>
      <c r="E256" s="38" t="s">
        <v>1514</v>
      </c>
      <c r="F256" s="40" t="s">
        <v>1519</v>
      </c>
      <c r="G256" s="40" t="s">
        <v>1521</v>
      </c>
      <c r="H256" s="40" t="s">
        <v>1530</v>
      </c>
      <c r="I256" s="40" t="s">
        <v>2210</v>
      </c>
      <c r="J256" s="46">
        <v>1080.78</v>
      </c>
      <c r="K256" s="3">
        <v>10</v>
      </c>
      <c r="L256" s="43">
        <v>0.15</v>
      </c>
      <c r="M256" s="48">
        <v>250.06</v>
      </c>
      <c r="N256" s="48" t="str">
        <f>IF(Table3[[#This Row],[Profit]]&lt;0,"Loss","Profit")</f>
        <v>Profit</v>
      </c>
    </row>
    <row r="257" spans="1:14" ht="15.6" x14ac:dyDescent="0.3">
      <c r="A257" s="31" t="s">
        <v>427</v>
      </c>
      <c r="B257" s="33">
        <v>45457</v>
      </c>
      <c r="C257" s="33">
        <v>45458</v>
      </c>
      <c r="D257" s="54" t="s">
        <v>1184</v>
      </c>
      <c r="E257" s="38" t="s">
        <v>1514</v>
      </c>
      <c r="F257" s="40" t="s">
        <v>1517</v>
      </c>
      <c r="G257" s="40" t="s">
        <v>1522</v>
      </c>
      <c r="H257" s="40" t="s">
        <v>1529</v>
      </c>
      <c r="I257" s="40" t="s">
        <v>1933</v>
      </c>
      <c r="J257" s="46">
        <v>2166.65</v>
      </c>
      <c r="K257" s="3">
        <v>5</v>
      </c>
      <c r="L257" s="43">
        <v>0.2</v>
      </c>
      <c r="M257" s="48">
        <v>311.56</v>
      </c>
      <c r="N257" s="48" t="str">
        <f>IF(Table3[[#This Row],[Profit]]&lt;0,"Loss","Profit")</f>
        <v>Profit</v>
      </c>
    </row>
    <row r="258" spans="1:14" ht="15.6" x14ac:dyDescent="0.3">
      <c r="A258" s="31" t="s">
        <v>738</v>
      </c>
      <c r="B258" s="33">
        <v>45456</v>
      </c>
      <c r="C258" s="33">
        <v>45461</v>
      </c>
      <c r="D258" s="54" t="s">
        <v>1490</v>
      </c>
      <c r="E258" s="38" t="s">
        <v>1513</v>
      </c>
      <c r="F258" s="40" t="s">
        <v>1518</v>
      </c>
      <c r="G258" s="40" t="s">
        <v>1520</v>
      </c>
      <c r="H258" s="40" t="s">
        <v>1525</v>
      </c>
      <c r="I258" s="40" t="s">
        <v>2224</v>
      </c>
      <c r="J258" s="46">
        <v>2083.65</v>
      </c>
      <c r="K258" s="3">
        <v>9</v>
      </c>
      <c r="L258" s="43">
        <v>0.2</v>
      </c>
      <c r="M258" s="48">
        <v>3.82</v>
      </c>
      <c r="N258" s="48" t="str">
        <f>IF(Table3[[#This Row],[Profit]]&lt;0,"Loss","Profit")</f>
        <v>Profit</v>
      </c>
    </row>
    <row r="259" spans="1:14" ht="15.6" x14ac:dyDescent="0.3">
      <c r="A259" s="31" t="s">
        <v>647</v>
      </c>
      <c r="B259" s="33">
        <v>45452</v>
      </c>
      <c r="C259" s="33">
        <v>45462</v>
      </c>
      <c r="D259" s="54" t="s">
        <v>1401</v>
      </c>
      <c r="E259" s="38" t="s">
        <v>1513</v>
      </c>
      <c r="F259" s="40" t="s">
        <v>1519</v>
      </c>
      <c r="G259" s="40" t="s">
        <v>1520</v>
      </c>
      <c r="H259" s="40" t="s">
        <v>1525</v>
      </c>
      <c r="I259" s="40" t="s">
        <v>2143</v>
      </c>
      <c r="J259" s="46">
        <v>4646.83</v>
      </c>
      <c r="K259" s="3">
        <v>7</v>
      </c>
      <c r="L259" s="43">
        <v>0</v>
      </c>
      <c r="M259" s="48">
        <v>-150.41</v>
      </c>
      <c r="N259" s="48" t="str">
        <f>IF(Table3[[#This Row],[Profit]]&lt;0,"Loss","Profit")</f>
        <v>Loss</v>
      </c>
    </row>
    <row r="260" spans="1:14" ht="15.6" x14ac:dyDescent="0.3">
      <c r="A260" s="31" t="s">
        <v>649</v>
      </c>
      <c r="B260" s="33">
        <v>45452</v>
      </c>
      <c r="C260" s="33">
        <v>45462</v>
      </c>
      <c r="D260" s="54" t="s">
        <v>1403</v>
      </c>
      <c r="E260" s="38" t="s">
        <v>1514</v>
      </c>
      <c r="F260" s="40" t="s">
        <v>1517</v>
      </c>
      <c r="G260" s="40" t="s">
        <v>1521</v>
      </c>
      <c r="H260" s="40" t="s">
        <v>1528</v>
      </c>
      <c r="I260" s="40" t="s">
        <v>2145</v>
      </c>
      <c r="J260" s="46">
        <v>2548.41</v>
      </c>
      <c r="K260" s="3">
        <v>4</v>
      </c>
      <c r="L260" s="43">
        <v>0.15</v>
      </c>
      <c r="M260" s="48">
        <v>-103.51</v>
      </c>
      <c r="N260" s="48" t="str">
        <f>IF(Table3[[#This Row],[Profit]]&lt;0,"Loss","Profit")</f>
        <v>Loss</v>
      </c>
    </row>
    <row r="261" spans="1:14" ht="15.6" x14ac:dyDescent="0.3">
      <c r="A261" s="31" t="s">
        <v>301</v>
      </c>
      <c r="B261" s="33">
        <v>45458</v>
      </c>
      <c r="C261" s="33">
        <v>45462</v>
      </c>
      <c r="D261" s="54" t="s">
        <v>1063</v>
      </c>
      <c r="E261" s="38" t="s">
        <v>1514</v>
      </c>
      <c r="F261" s="40" t="s">
        <v>1519</v>
      </c>
      <c r="G261" s="40" t="s">
        <v>1522</v>
      </c>
      <c r="H261" s="40" t="s">
        <v>1527</v>
      </c>
      <c r="I261" s="40" t="s">
        <v>1814</v>
      </c>
      <c r="J261" s="46">
        <v>386.44</v>
      </c>
      <c r="K261" s="3">
        <v>3</v>
      </c>
      <c r="L261" s="43">
        <v>0</v>
      </c>
      <c r="M261" s="48">
        <v>-30.8</v>
      </c>
      <c r="N261" s="48" t="str">
        <f>IF(Table3[[#This Row],[Profit]]&lt;0,"Loss","Profit")</f>
        <v>Loss</v>
      </c>
    </row>
    <row r="262" spans="1:14" ht="15.6" x14ac:dyDescent="0.3">
      <c r="A262" s="31" t="s">
        <v>565</v>
      </c>
      <c r="B262" s="33">
        <v>45457</v>
      </c>
      <c r="C262" s="33">
        <v>45465</v>
      </c>
      <c r="D262" s="54" t="s">
        <v>1319</v>
      </c>
      <c r="E262" s="38" t="s">
        <v>1514</v>
      </c>
      <c r="F262" s="40" t="s">
        <v>1519</v>
      </c>
      <c r="G262" s="40" t="s">
        <v>1520</v>
      </c>
      <c r="H262" s="40" t="s">
        <v>1523</v>
      </c>
      <c r="I262" s="40" t="s">
        <v>2065</v>
      </c>
      <c r="J262" s="46">
        <v>3926.39</v>
      </c>
      <c r="K262" s="3">
        <v>3</v>
      </c>
      <c r="L262" s="43">
        <v>0</v>
      </c>
      <c r="M262" s="48">
        <v>-322.14999999999998</v>
      </c>
      <c r="N262" s="48" t="str">
        <f>IF(Table3[[#This Row],[Profit]]&lt;0,"Loss","Profit")</f>
        <v>Loss</v>
      </c>
    </row>
    <row r="263" spans="1:14" ht="15.6" x14ac:dyDescent="0.3">
      <c r="A263" s="31" t="s">
        <v>682</v>
      </c>
      <c r="B263" s="33">
        <v>45460</v>
      </c>
      <c r="C263" s="33">
        <v>45465</v>
      </c>
      <c r="D263" s="54" t="s">
        <v>1435</v>
      </c>
      <c r="E263" s="38" t="s">
        <v>1513</v>
      </c>
      <c r="F263" s="40" t="s">
        <v>1516</v>
      </c>
      <c r="G263" s="40" t="s">
        <v>1521</v>
      </c>
      <c r="H263" s="40" t="s">
        <v>1530</v>
      </c>
      <c r="I263" s="40" t="s">
        <v>1927</v>
      </c>
      <c r="J263" s="46">
        <v>1654.17</v>
      </c>
      <c r="K263" s="3">
        <v>3</v>
      </c>
      <c r="L263" s="43">
        <v>0.2</v>
      </c>
      <c r="M263" s="48">
        <v>336.28</v>
      </c>
      <c r="N263" s="48" t="str">
        <f>IF(Table3[[#This Row],[Profit]]&lt;0,"Loss","Profit")</f>
        <v>Profit</v>
      </c>
    </row>
    <row r="264" spans="1:14" ht="15.6" x14ac:dyDescent="0.3">
      <c r="A264" s="31" t="s">
        <v>390</v>
      </c>
      <c r="B264" s="33">
        <v>45459</v>
      </c>
      <c r="C264" s="33">
        <v>45467</v>
      </c>
      <c r="D264" s="54" t="s">
        <v>1148</v>
      </c>
      <c r="E264" s="38" t="s">
        <v>1513</v>
      </c>
      <c r="F264" s="40" t="s">
        <v>1518</v>
      </c>
      <c r="G264" s="40" t="s">
        <v>1520</v>
      </c>
      <c r="H264" s="40" t="s">
        <v>1524</v>
      </c>
      <c r="I264" s="40" t="s">
        <v>1900</v>
      </c>
      <c r="J264" s="46">
        <v>4874.05</v>
      </c>
      <c r="K264" s="3">
        <v>2</v>
      </c>
      <c r="L264" s="43">
        <v>0.2</v>
      </c>
      <c r="M264" s="48">
        <v>-718.59</v>
      </c>
      <c r="N264" s="48" t="str">
        <f>IF(Table3[[#This Row],[Profit]]&lt;0,"Loss","Profit")</f>
        <v>Loss</v>
      </c>
    </row>
    <row r="265" spans="1:14" ht="15.6" x14ac:dyDescent="0.3">
      <c r="A265" s="31" t="s">
        <v>729</v>
      </c>
      <c r="B265" s="33">
        <v>45458</v>
      </c>
      <c r="C265" s="33">
        <v>45468</v>
      </c>
      <c r="D265" s="54" t="s">
        <v>1481</v>
      </c>
      <c r="E265" s="38" t="s">
        <v>1514</v>
      </c>
      <c r="F265" s="40" t="s">
        <v>1519</v>
      </c>
      <c r="G265" s="40" t="s">
        <v>1521</v>
      </c>
      <c r="H265" s="40" t="s">
        <v>1528</v>
      </c>
      <c r="I265" s="40" t="s">
        <v>2215</v>
      </c>
      <c r="J265" s="46">
        <v>2263.44</v>
      </c>
      <c r="K265" s="3">
        <v>4</v>
      </c>
      <c r="L265" s="43">
        <v>0.2</v>
      </c>
      <c r="M265" s="48">
        <v>639.61</v>
      </c>
      <c r="N265" s="48" t="str">
        <f>IF(Table3[[#This Row],[Profit]]&lt;0,"Loss","Profit")</f>
        <v>Profit</v>
      </c>
    </row>
    <row r="266" spans="1:14" ht="15.6" x14ac:dyDescent="0.3">
      <c r="A266" s="31" t="s">
        <v>709</v>
      </c>
      <c r="B266" s="33">
        <v>45459</v>
      </c>
      <c r="C266" s="33">
        <v>45468</v>
      </c>
      <c r="D266" s="54" t="s">
        <v>1461</v>
      </c>
      <c r="E266" s="38" t="s">
        <v>1514</v>
      </c>
      <c r="F266" s="40" t="s">
        <v>1518</v>
      </c>
      <c r="G266" s="40" t="s">
        <v>1522</v>
      </c>
      <c r="H266" s="40" t="s">
        <v>1531</v>
      </c>
      <c r="I266" s="40" t="s">
        <v>2198</v>
      </c>
      <c r="J266" s="46">
        <v>3399.75</v>
      </c>
      <c r="K266" s="3">
        <v>3</v>
      </c>
      <c r="L266" s="43">
        <v>0.05</v>
      </c>
      <c r="M266" s="48">
        <v>674.9</v>
      </c>
      <c r="N266" s="48" t="str">
        <f>IF(Table3[[#This Row],[Profit]]&lt;0,"Loss","Profit")</f>
        <v>Profit</v>
      </c>
    </row>
    <row r="267" spans="1:14" ht="15.6" x14ac:dyDescent="0.3">
      <c r="A267" s="31" t="s">
        <v>221</v>
      </c>
      <c r="B267" s="33">
        <v>45463</v>
      </c>
      <c r="C267" s="33">
        <v>45468</v>
      </c>
      <c r="D267" s="54" t="s">
        <v>986</v>
      </c>
      <c r="E267" s="38" t="s">
        <v>1515</v>
      </c>
      <c r="F267" s="40" t="s">
        <v>1518</v>
      </c>
      <c r="G267" s="40" t="s">
        <v>1522</v>
      </c>
      <c r="H267" s="40" t="s">
        <v>1527</v>
      </c>
      <c r="I267" s="40" t="s">
        <v>1737</v>
      </c>
      <c r="J267" s="46">
        <v>3485.2</v>
      </c>
      <c r="K267" s="3">
        <v>8</v>
      </c>
      <c r="L267" s="43">
        <v>0.05</v>
      </c>
      <c r="M267" s="48">
        <v>-461.96</v>
      </c>
      <c r="N267" s="48" t="str">
        <f>IF(Table3[[#This Row],[Profit]]&lt;0,"Loss","Profit")</f>
        <v>Loss</v>
      </c>
    </row>
    <row r="268" spans="1:14" ht="15.6" x14ac:dyDescent="0.3">
      <c r="A268" s="31" t="s">
        <v>335</v>
      </c>
      <c r="B268" s="33">
        <v>45461</v>
      </c>
      <c r="C268" s="33">
        <v>45469</v>
      </c>
      <c r="D268" s="54" t="s">
        <v>1095</v>
      </c>
      <c r="E268" s="38" t="s">
        <v>1513</v>
      </c>
      <c r="F268" s="40" t="s">
        <v>1516</v>
      </c>
      <c r="G268" s="40" t="s">
        <v>1521</v>
      </c>
      <c r="H268" s="40" t="s">
        <v>1528</v>
      </c>
      <c r="I268" s="40" t="s">
        <v>1846</v>
      </c>
      <c r="J268" s="46">
        <v>1628.6</v>
      </c>
      <c r="K268" s="3">
        <v>5</v>
      </c>
      <c r="L268" s="43">
        <v>0</v>
      </c>
      <c r="M268" s="48">
        <v>399.99</v>
      </c>
      <c r="N268" s="48" t="str">
        <f>IF(Table3[[#This Row],[Profit]]&lt;0,"Loss","Profit")</f>
        <v>Profit</v>
      </c>
    </row>
    <row r="269" spans="1:14" ht="15.6" x14ac:dyDescent="0.3">
      <c r="A269" s="31" t="s">
        <v>536</v>
      </c>
      <c r="B269" s="33">
        <v>45470</v>
      </c>
      <c r="C269" s="33">
        <v>45472</v>
      </c>
      <c r="D269" s="54" t="s">
        <v>1291</v>
      </c>
      <c r="E269" s="38" t="s">
        <v>1513</v>
      </c>
      <c r="F269" s="40" t="s">
        <v>1517</v>
      </c>
      <c r="G269" s="40" t="s">
        <v>1521</v>
      </c>
      <c r="H269" s="40" t="s">
        <v>1528</v>
      </c>
      <c r="I269" s="40" t="s">
        <v>2036</v>
      </c>
      <c r="J269" s="46">
        <v>920.06</v>
      </c>
      <c r="K269" s="3">
        <v>10</v>
      </c>
      <c r="L269" s="43">
        <v>0</v>
      </c>
      <c r="M269" s="48">
        <v>241.96</v>
      </c>
      <c r="N269" s="48" t="str">
        <f>IF(Table3[[#This Row],[Profit]]&lt;0,"Loss","Profit")</f>
        <v>Profit</v>
      </c>
    </row>
    <row r="270" spans="1:14" ht="15.6" x14ac:dyDescent="0.3">
      <c r="A270" s="31" t="s">
        <v>289</v>
      </c>
      <c r="B270" s="33">
        <v>45468</v>
      </c>
      <c r="C270" s="33">
        <v>45473</v>
      </c>
      <c r="D270" s="54" t="s">
        <v>1052</v>
      </c>
      <c r="E270" s="38" t="s">
        <v>1515</v>
      </c>
      <c r="F270" s="40" t="s">
        <v>1518</v>
      </c>
      <c r="G270" s="40" t="s">
        <v>1522</v>
      </c>
      <c r="H270" s="40" t="s">
        <v>1531</v>
      </c>
      <c r="I270" s="40" t="s">
        <v>1803</v>
      </c>
      <c r="J270" s="46">
        <v>4294.83</v>
      </c>
      <c r="K270" s="3">
        <v>3</v>
      </c>
      <c r="L270" s="43">
        <v>0.15</v>
      </c>
      <c r="M270" s="48">
        <v>1301.8</v>
      </c>
      <c r="N270" s="48" t="str">
        <f>IF(Table3[[#This Row],[Profit]]&lt;0,"Loss","Profit")</f>
        <v>Profit</v>
      </c>
    </row>
    <row r="271" spans="1:14" ht="15.6" x14ac:dyDescent="0.3">
      <c r="A271" s="31" t="s">
        <v>460</v>
      </c>
      <c r="B271" s="33">
        <v>45468</v>
      </c>
      <c r="C271" s="33">
        <v>45473</v>
      </c>
      <c r="D271" s="54" t="s">
        <v>1217</v>
      </c>
      <c r="E271" s="38" t="s">
        <v>1515</v>
      </c>
      <c r="F271" s="40" t="s">
        <v>1516</v>
      </c>
      <c r="G271" s="40" t="s">
        <v>1521</v>
      </c>
      <c r="H271" s="40" t="s">
        <v>1528</v>
      </c>
      <c r="I271" s="40" t="s">
        <v>1954</v>
      </c>
      <c r="J271" s="46">
        <v>2345.62</v>
      </c>
      <c r="K271" s="3">
        <v>2</v>
      </c>
      <c r="L271" s="43">
        <v>0.15</v>
      </c>
      <c r="M271" s="48">
        <v>-399.88</v>
      </c>
      <c r="N271" s="48" t="str">
        <f>IF(Table3[[#This Row],[Profit]]&lt;0,"Loss","Profit")</f>
        <v>Loss</v>
      </c>
    </row>
    <row r="272" spans="1:14" ht="15.6" x14ac:dyDescent="0.3">
      <c r="A272" s="31" t="s">
        <v>711</v>
      </c>
      <c r="B272" s="33">
        <v>45471</v>
      </c>
      <c r="C272" s="33">
        <v>45473</v>
      </c>
      <c r="D272" s="54" t="s">
        <v>1463</v>
      </c>
      <c r="E272" s="38" t="s">
        <v>1514</v>
      </c>
      <c r="F272" s="40" t="s">
        <v>1517</v>
      </c>
      <c r="G272" s="40" t="s">
        <v>1521</v>
      </c>
      <c r="H272" s="40" t="s">
        <v>1530</v>
      </c>
      <c r="I272" s="40" t="s">
        <v>1861</v>
      </c>
      <c r="J272" s="46">
        <v>2626.86</v>
      </c>
      <c r="K272" s="3">
        <v>5</v>
      </c>
      <c r="L272" s="43">
        <v>0</v>
      </c>
      <c r="M272" s="48">
        <v>309.07</v>
      </c>
      <c r="N272" s="48" t="str">
        <f>IF(Table3[[#This Row],[Profit]]&lt;0,"Loss","Profit")</f>
        <v>Profit</v>
      </c>
    </row>
    <row r="273" spans="1:14" ht="15.6" x14ac:dyDescent="0.3">
      <c r="A273" s="31" t="s">
        <v>476</v>
      </c>
      <c r="B273" s="33">
        <v>45469</v>
      </c>
      <c r="C273" s="33">
        <v>45474</v>
      </c>
      <c r="D273" s="54" t="s">
        <v>1233</v>
      </c>
      <c r="E273" s="38" t="s">
        <v>1515</v>
      </c>
      <c r="F273" s="40" t="s">
        <v>1518</v>
      </c>
      <c r="G273" s="40" t="s">
        <v>1520</v>
      </c>
      <c r="H273" s="40" t="s">
        <v>1524</v>
      </c>
      <c r="I273" s="40" t="s">
        <v>1979</v>
      </c>
      <c r="J273" s="46">
        <v>843.85</v>
      </c>
      <c r="K273" s="3">
        <v>9</v>
      </c>
      <c r="L273" s="43">
        <v>0.15</v>
      </c>
      <c r="M273" s="48">
        <v>253.74</v>
      </c>
      <c r="N273" s="48" t="str">
        <f>IF(Table3[[#This Row],[Profit]]&lt;0,"Loss","Profit")</f>
        <v>Profit</v>
      </c>
    </row>
    <row r="274" spans="1:14" ht="15.6" x14ac:dyDescent="0.3">
      <c r="A274" s="31" t="s">
        <v>555</v>
      </c>
      <c r="B274" s="33">
        <v>45478</v>
      </c>
      <c r="C274" s="33">
        <v>45479</v>
      </c>
      <c r="D274" s="54" t="s">
        <v>1309</v>
      </c>
      <c r="E274" s="38" t="s">
        <v>1513</v>
      </c>
      <c r="F274" s="40" t="s">
        <v>1516</v>
      </c>
      <c r="G274" s="40" t="s">
        <v>1522</v>
      </c>
      <c r="H274" s="40" t="s">
        <v>1531</v>
      </c>
      <c r="I274" s="40" t="s">
        <v>2055</v>
      </c>
      <c r="J274" s="46">
        <v>1051.6300000000001</v>
      </c>
      <c r="K274" s="3">
        <v>9</v>
      </c>
      <c r="L274" s="43">
        <v>0.2</v>
      </c>
      <c r="M274" s="48">
        <v>32.479999999999997</v>
      </c>
      <c r="N274" s="48" t="str">
        <f>IF(Table3[[#This Row],[Profit]]&lt;0,"Loss","Profit")</f>
        <v>Profit</v>
      </c>
    </row>
    <row r="275" spans="1:14" ht="15.6" x14ac:dyDescent="0.3">
      <c r="A275" s="31" t="s">
        <v>247</v>
      </c>
      <c r="B275" s="33">
        <v>45475</v>
      </c>
      <c r="C275" s="33">
        <v>45480</v>
      </c>
      <c r="D275" s="54" t="s">
        <v>1011</v>
      </c>
      <c r="E275" s="38" t="s">
        <v>1513</v>
      </c>
      <c r="F275" s="40" t="s">
        <v>1518</v>
      </c>
      <c r="G275" s="40" t="s">
        <v>1520</v>
      </c>
      <c r="H275" s="40" t="s">
        <v>1525</v>
      </c>
      <c r="I275" s="40" t="s">
        <v>1763</v>
      </c>
      <c r="J275" s="46">
        <v>2400.7199999999998</v>
      </c>
      <c r="K275" s="3">
        <v>1</v>
      </c>
      <c r="L275" s="43">
        <v>0.1</v>
      </c>
      <c r="M275" s="48">
        <v>-42.78</v>
      </c>
      <c r="N275" s="48" t="str">
        <f>IF(Table3[[#This Row],[Profit]]&lt;0,"Loss","Profit")</f>
        <v>Loss</v>
      </c>
    </row>
    <row r="276" spans="1:14" ht="15.6" x14ac:dyDescent="0.3">
      <c r="A276" s="31" t="s">
        <v>187</v>
      </c>
      <c r="B276" s="33">
        <v>45480</v>
      </c>
      <c r="C276" s="33">
        <v>45482</v>
      </c>
      <c r="D276" s="54" t="s">
        <v>953</v>
      </c>
      <c r="E276" s="38" t="s">
        <v>1515</v>
      </c>
      <c r="F276" s="40" t="s">
        <v>1517</v>
      </c>
      <c r="G276" s="40" t="s">
        <v>1522</v>
      </c>
      <c r="H276" s="40" t="s">
        <v>1529</v>
      </c>
      <c r="I276" s="40" t="s">
        <v>1704</v>
      </c>
      <c r="J276" s="46">
        <v>2811.92</v>
      </c>
      <c r="K276" s="3">
        <v>7</v>
      </c>
      <c r="L276" s="43">
        <v>0.1</v>
      </c>
      <c r="M276" s="48">
        <v>-172.66</v>
      </c>
      <c r="N276" s="48" t="str">
        <f>IF(Table3[[#This Row],[Profit]]&lt;0,"Loss","Profit")</f>
        <v>Loss</v>
      </c>
    </row>
    <row r="277" spans="1:14" ht="15.6" x14ac:dyDescent="0.3">
      <c r="A277" s="31" t="s">
        <v>308</v>
      </c>
      <c r="B277" s="33">
        <v>45474</v>
      </c>
      <c r="C277" s="33">
        <v>45483</v>
      </c>
      <c r="D277" s="54" t="s">
        <v>1070</v>
      </c>
      <c r="E277" s="38" t="s">
        <v>1515</v>
      </c>
      <c r="F277" s="40" t="s">
        <v>1518</v>
      </c>
      <c r="G277" s="40" t="s">
        <v>1520</v>
      </c>
      <c r="H277" s="40" t="s">
        <v>1523</v>
      </c>
      <c r="I277" s="40" t="s">
        <v>1821</v>
      </c>
      <c r="J277" s="46">
        <v>4599.8</v>
      </c>
      <c r="K277" s="3">
        <v>4</v>
      </c>
      <c r="L277" s="43">
        <v>0.05</v>
      </c>
      <c r="M277" s="48">
        <v>1360.16</v>
      </c>
      <c r="N277" s="48" t="str">
        <f>IF(Table3[[#This Row],[Profit]]&lt;0,"Loss","Profit")</f>
        <v>Profit</v>
      </c>
    </row>
    <row r="278" spans="1:14" ht="15.6" x14ac:dyDescent="0.3">
      <c r="A278" s="31" t="s">
        <v>319</v>
      </c>
      <c r="B278" s="33">
        <v>45481</v>
      </c>
      <c r="C278" s="33">
        <v>45484</v>
      </c>
      <c r="D278" s="54" t="s">
        <v>2257</v>
      </c>
      <c r="E278" s="38" t="s">
        <v>1514</v>
      </c>
      <c r="F278" s="40" t="s">
        <v>1518</v>
      </c>
      <c r="G278" s="40" t="s">
        <v>1520</v>
      </c>
      <c r="H278" s="40" t="s">
        <v>1525</v>
      </c>
      <c r="I278" s="40" t="s">
        <v>1830</v>
      </c>
      <c r="J278" s="46">
        <v>3442.31</v>
      </c>
      <c r="K278" s="3">
        <v>3</v>
      </c>
      <c r="L278" s="43">
        <v>0.05</v>
      </c>
      <c r="M278" s="48">
        <v>-179.33</v>
      </c>
      <c r="N278" s="48" t="str">
        <f>IF(Table3[[#This Row],[Profit]]&lt;0,"Loss","Profit")</f>
        <v>Loss</v>
      </c>
    </row>
    <row r="279" spans="1:14" ht="15.6" x14ac:dyDescent="0.3">
      <c r="A279" s="31" t="s">
        <v>585</v>
      </c>
      <c r="B279" s="33">
        <v>45476</v>
      </c>
      <c r="C279" s="33">
        <v>45486</v>
      </c>
      <c r="D279" s="54" t="s">
        <v>1339</v>
      </c>
      <c r="E279" s="38" t="s">
        <v>1514</v>
      </c>
      <c r="F279" s="40" t="s">
        <v>1518</v>
      </c>
      <c r="G279" s="40" t="s">
        <v>1521</v>
      </c>
      <c r="H279" s="40" t="s">
        <v>1526</v>
      </c>
      <c r="I279" s="40" t="s">
        <v>2084</v>
      </c>
      <c r="J279" s="46">
        <v>4316.12</v>
      </c>
      <c r="K279" s="3">
        <v>3</v>
      </c>
      <c r="L279" s="43">
        <v>0.2</v>
      </c>
      <c r="M279" s="48">
        <v>-239.26</v>
      </c>
      <c r="N279" s="48" t="str">
        <f>IF(Table3[[#This Row],[Profit]]&lt;0,"Loss","Profit")</f>
        <v>Loss</v>
      </c>
    </row>
    <row r="280" spans="1:14" ht="15.6" x14ac:dyDescent="0.3">
      <c r="A280" s="31" t="s">
        <v>172</v>
      </c>
      <c r="B280" s="33">
        <v>45482</v>
      </c>
      <c r="C280" s="33">
        <v>45487</v>
      </c>
      <c r="D280" s="54" t="s">
        <v>938</v>
      </c>
      <c r="E280" s="38" t="s">
        <v>1514</v>
      </c>
      <c r="F280" s="40" t="s">
        <v>1517</v>
      </c>
      <c r="G280" s="40" t="s">
        <v>1522</v>
      </c>
      <c r="H280" s="40" t="s">
        <v>1531</v>
      </c>
      <c r="I280" s="40" t="s">
        <v>1690</v>
      </c>
      <c r="J280" s="46">
        <v>1482.76</v>
      </c>
      <c r="K280" s="3">
        <v>2</v>
      </c>
      <c r="L280" s="43">
        <v>0</v>
      </c>
      <c r="M280" s="48">
        <v>109.07</v>
      </c>
      <c r="N280" s="48" t="str">
        <f>IF(Table3[[#This Row],[Profit]]&lt;0,"Loss","Profit")</f>
        <v>Profit</v>
      </c>
    </row>
    <row r="281" spans="1:14" ht="15.6" x14ac:dyDescent="0.3">
      <c r="A281" s="31" t="s">
        <v>246</v>
      </c>
      <c r="B281" s="33">
        <v>45479</v>
      </c>
      <c r="C281" s="33">
        <v>45489</v>
      </c>
      <c r="D281" s="54" t="s">
        <v>1010</v>
      </c>
      <c r="E281" s="38" t="s">
        <v>1515</v>
      </c>
      <c r="F281" s="40" t="s">
        <v>1518</v>
      </c>
      <c r="G281" s="40" t="s">
        <v>1522</v>
      </c>
      <c r="H281" s="40" t="s">
        <v>1529</v>
      </c>
      <c r="I281" s="40" t="s">
        <v>1762</v>
      </c>
      <c r="J281" s="46">
        <v>3709.63</v>
      </c>
      <c r="K281" s="3">
        <v>5</v>
      </c>
      <c r="L281" s="43">
        <v>0.2</v>
      </c>
      <c r="M281" s="48">
        <v>-55.62</v>
      </c>
      <c r="N281" s="48" t="str">
        <f>IF(Table3[[#This Row],[Profit]]&lt;0,"Loss","Profit")</f>
        <v>Loss</v>
      </c>
    </row>
    <row r="282" spans="1:14" ht="15.6" x14ac:dyDescent="0.3">
      <c r="A282" s="31" t="s">
        <v>78</v>
      </c>
      <c r="B282" s="33">
        <v>45482</v>
      </c>
      <c r="C282" s="33">
        <v>45490</v>
      </c>
      <c r="D282" s="54" t="s">
        <v>847</v>
      </c>
      <c r="E282" s="38" t="s">
        <v>1514</v>
      </c>
      <c r="F282" s="40" t="s">
        <v>1517</v>
      </c>
      <c r="G282" s="40" t="s">
        <v>1521</v>
      </c>
      <c r="H282" s="40" t="s">
        <v>1526</v>
      </c>
      <c r="I282" s="40" t="s">
        <v>1597</v>
      </c>
      <c r="J282" s="46">
        <v>193.67</v>
      </c>
      <c r="K282" s="3">
        <v>6</v>
      </c>
      <c r="L282" s="43">
        <v>0.2</v>
      </c>
      <c r="M282" s="48">
        <v>33.61</v>
      </c>
      <c r="N282" s="48" t="str">
        <f>IF(Table3[[#This Row],[Profit]]&lt;0,"Loss","Profit")</f>
        <v>Profit</v>
      </c>
    </row>
    <row r="283" spans="1:14" ht="15.6" x14ac:dyDescent="0.3">
      <c r="A283" s="31" t="s">
        <v>624</v>
      </c>
      <c r="B283" s="33">
        <v>45482</v>
      </c>
      <c r="C283" s="33">
        <v>45491</v>
      </c>
      <c r="D283" s="54" t="s">
        <v>1378</v>
      </c>
      <c r="E283" s="38" t="s">
        <v>1514</v>
      </c>
      <c r="F283" s="40" t="s">
        <v>1519</v>
      </c>
      <c r="G283" s="40" t="s">
        <v>1520</v>
      </c>
      <c r="H283" s="40" t="s">
        <v>1524</v>
      </c>
      <c r="I283" s="40" t="s">
        <v>2120</v>
      </c>
      <c r="J283" s="46">
        <v>3500.34</v>
      </c>
      <c r="K283" s="3">
        <v>4</v>
      </c>
      <c r="L283" s="43">
        <v>0.2</v>
      </c>
      <c r="M283" s="48">
        <v>-340.78</v>
      </c>
      <c r="N283" s="48" t="str">
        <f>IF(Table3[[#This Row],[Profit]]&lt;0,"Loss","Profit")</f>
        <v>Loss</v>
      </c>
    </row>
    <row r="284" spans="1:14" ht="15.6" x14ac:dyDescent="0.3">
      <c r="A284" s="31" t="s">
        <v>92</v>
      </c>
      <c r="B284" s="33">
        <v>45485</v>
      </c>
      <c r="C284" s="33">
        <v>45491</v>
      </c>
      <c r="D284" s="54" t="s">
        <v>861</v>
      </c>
      <c r="E284" s="38" t="s">
        <v>1515</v>
      </c>
      <c r="F284" s="40" t="s">
        <v>1519</v>
      </c>
      <c r="G284" s="40" t="s">
        <v>1521</v>
      </c>
      <c r="H284" s="40" t="s">
        <v>1530</v>
      </c>
      <c r="I284" s="40" t="s">
        <v>1611</v>
      </c>
      <c r="J284" s="46">
        <v>3999.27</v>
      </c>
      <c r="K284" s="3">
        <v>6</v>
      </c>
      <c r="L284" s="43">
        <v>0.1</v>
      </c>
      <c r="M284" s="48">
        <v>1136.5</v>
      </c>
      <c r="N284" s="48" t="str">
        <f>IF(Table3[[#This Row],[Profit]]&lt;0,"Loss","Profit")</f>
        <v>Profit</v>
      </c>
    </row>
    <row r="285" spans="1:14" ht="15.6" x14ac:dyDescent="0.3">
      <c r="A285" s="31" t="s">
        <v>307</v>
      </c>
      <c r="B285" s="33">
        <v>45491</v>
      </c>
      <c r="C285" s="33">
        <v>45492</v>
      </c>
      <c r="D285" s="54" t="s">
        <v>1069</v>
      </c>
      <c r="E285" s="38" t="s">
        <v>1515</v>
      </c>
      <c r="F285" s="40" t="s">
        <v>1519</v>
      </c>
      <c r="G285" s="40" t="s">
        <v>1522</v>
      </c>
      <c r="H285" s="40" t="s">
        <v>1527</v>
      </c>
      <c r="I285" s="40" t="s">
        <v>1820</v>
      </c>
      <c r="J285" s="46">
        <v>3529.08</v>
      </c>
      <c r="K285" s="3">
        <v>2</v>
      </c>
      <c r="L285" s="43">
        <v>0.15</v>
      </c>
      <c r="M285" s="48">
        <v>934.96</v>
      </c>
      <c r="N285" s="48" t="str">
        <f>IF(Table3[[#This Row],[Profit]]&lt;0,"Loss","Profit")</f>
        <v>Profit</v>
      </c>
    </row>
    <row r="286" spans="1:14" ht="15.6" x14ac:dyDescent="0.3">
      <c r="A286" s="31" t="s">
        <v>205</v>
      </c>
      <c r="B286" s="33">
        <v>45492</v>
      </c>
      <c r="C286" s="33">
        <v>45494</v>
      </c>
      <c r="D286" s="54" t="s">
        <v>970</v>
      </c>
      <c r="E286" s="38" t="s">
        <v>1515</v>
      </c>
      <c r="F286" s="40" t="s">
        <v>1516</v>
      </c>
      <c r="G286" s="40" t="s">
        <v>1520</v>
      </c>
      <c r="H286" s="40" t="s">
        <v>1524</v>
      </c>
      <c r="I286" s="40" t="s">
        <v>1722</v>
      </c>
      <c r="J286" s="46">
        <v>4769.3500000000004</v>
      </c>
      <c r="K286" s="3">
        <v>9</v>
      </c>
      <c r="L286" s="43">
        <v>0.2</v>
      </c>
      <c r="M286" s="48">
        <v>1109</v>
      </c>
      <c r="N286" s="48" t="str">
        <f>IF(Table3[[#This Row],[Profit]]&lt;0,"Loss","Profit")</f>
        <v>Profit</v>
      </c>
    </row>
    <row r="287" spans="1:14" ht="15.6" x14ac:dyDescent="0.3">
      <c r="A287" s="31" t="s">
        <v>164</v>
      </c>
      <c r="B287" s="33">
        <v>45497</v>
      </c>
      <c r="C287" s="33">
        <v>45499</v>
      </c>
      <c r="D287" s="54" t="s">
        <v>931</v>
      </c>
      <c r="E287" s="38" t="s">
        <v>1515</v>
      </c>
      <c r="F287" s="40" t="s">
        <v>1516</v>
      </c>
      <c r="G287" s="40" t="s">
        <v>1520</v>
      </c>
      <c r="H287" s="40" t="s">
        <v>1524</v>
      </c>
      <c r="I287" s="40" t="s">
        <v>1682</v>
      </c>
      <c r="J287" s="46">
        <v>3824.9</v>
      </c>
      <c r="K287" s="3">
        <v>10</v>
      </c>
      <c r="L287" s="43">
        <v>0.05</v>
      </c>
      <c r="M287" s="48">
        <v>933.17</v>
      </c>
      <c r="N287" s="48" t="str">
        <f>IF(Table3[[#This Row],[Profit]]&lt;0,"Loss","Profit")</f>
        <v>Profit</v>
      </c>
    </row>
    <row r="288" spans="1:14" ht="15.6" x14ac:dyDescent="0.3">
      <c r="A288" s="31" t="s">
        <v>251</v>
      </c>
      <c r="B288" s="33">
        <v>45497</v>
      </c>
      <c r="C288" s="33">
        <v>45501</v>
      </c>
      <c r="D288" s="54" t="s">
        <v>1015</v>
      </c>
      <c r="E288" s="38" t="s">
        <v>1515</v>
      </c>
      <c r="F288" s="40" t="s">
        <v>1516</v>
      </c>
      <c r="G288" s="40" t="s">
        <v>1522</v>
      </c>
      <c r="H288" s="40" t="s">
        <v>1529</v>
      </c>
      <c r="I288" s="40" t="s">
        <v>1767</v>
      </c>
      <c r="J288" s="46">
        <v>2081.37</v>
      </c>
      <c r="K288" s="3">
        <v>10</v>
      </c>
      <c r="L288" s="43">
        <v>0.15</v>
      </c>
      <c r="M288" s="48">
        <v>582.89</v>
      </c>
      <c r="N288" s="48" t="str">
        <f>IF(Table3[[#This Row],[Profit]]&lt;0,"Loss","Profit")</f>
        <v>Profit</v>
      </c>
    </row>
    <row r="289" spans="1:14" ht="15.6" x14ac:dyDescent="0.3">
      <c r="A289" s="31" t="s">
        <v>93</v>
      </c>
      <c r="B289" s="33">
        <v>45493</v>
      </c>
      <c r="C289" s="33">
        <v>45502</v>
      </c>
      <c r="D289" s="54" t="s">
        <v>862</v>
      </c>
      <c r="E289" s="38" t="s">
        <v>1514</v>
      </c>
      <c r="F289" s="40" t="s">
        <v>1517</v>
      </c>
      <c r="G289" s="40" t="s">
        <v>1520</v>
      </c>
      <c r="H289" s="40" t="s">
        <v>1523</v>
      </c>
      <c r="I289" s="40" t="s">
        <v>1612</v>
      </c>
      <c r="J289" s="46">
        <v>4742.91</v>
      </c>
      <c r="K289" s="3">
        <v>2</v>
      </c>
      <c r="L289" s="43">
        <v>0.05</v>
      </c>
      <c r="M289" s="48">
        <v>929.81</v>
      </c>
      <c r="N289" s="48" t="str">
        <f>IF(Table3[[#This Row],[Profit]]&lt;0,"Loss","Profit")</f>
        <v>Profit</v>
      </c>
    </row>
    <row r="290" spans="1:14" ht="15.6" x14ac:dyDescent="0.3">
      <c r="A290" s="31" t="s">
        <v>160</v>
      </c>
      <c r="B290" s="33">
        <v>45497</v>
      </c>
      <c r="C290" s="33">
        <v>45502</v>
      </c>
      <c r="D290" s="54" t="s">
        <v>927</v>
      </c>
      <c r="E290" s="38" t="s">
        <v>1513</v>
      </c>
      <c r="F290" s="40" t="s">
        <v>1516</v>
      </c>
      <c r="G290" s="40" t="s">
        <v>1521</v>
      </c>
      <c r="H290" s="40" t="s">
        <v>1526</v>
      </c>
      <c r="I290" s="40" t="s">
        <v>1678</v>
      </c>
      <c r="J290" s="46">
        <v>1902.79</v>
      </c>
      <c r="K290" s="3">
        <v>3</v>
      </c>
      <c r="L290" s="43">
        <v>0.2</v>
      </c>
      <c r="M290" s="48">
        <v>585.38</v>
      </c>
      <c r="N290" s="48" t="str">
        <f>IF(Table3[[#This Row],[Profit]]&lt;0,"Loss","Profit")</f>
        <v>Profit</v>
      </c>
    </row>
    <row r="291" spans="1:14" ht="15.6" x14ac:dyDescent="0.3">
      <c r="A291" s="31" t="s">
        <v>442</v>
      </c>
      <c r="B291" s="33">
        <v>45498</v>
      </c>
      <c r="C291" s="33">
        <v>45506</v>
      </c>
      <c r="D291" s="54" t="s">
        <v>1199</v>
      </c>
      <c r="E291" s="38" t="s">
        <v>1515</v>
      </c>
      <c r="F291" s="40" t="s">
        <v>1516</v>
      </c>
      <c r="G291" s="40" t="s">
        <v>1521</v>
      </c>
      <c r="H291" s="40" t="s">
        <v>1528</v>
      </c>
      <c r="I291" s="40" t="s">
        <v>1948</v>
      </c>
      <c r="J291" s="46">
        <v>3881.45</v>
      </c>
      <c r="K291" s="3">
        <v>6</v>
      </c>
      <c r="L291" s="43">
        <v>0.1</v>
      </c>
      <c r="M291" s="48">
        <v>779.55</v>
      </c>
      <c r="N291" s="48" t="str">
        <f>IF(Table3[[#This Row],[Profit]]&lt;0,"Loss","Profit")</f>
        <v>Profit</v>
      </c>
    </row>
    <row r="292" spans="1:14" ht="15.6" x14ac:dyDescent="0.3">
      <c r="A292" s="31" t="s">
        <v>465</v>
      </c>
      <c r="B292" s="33">
        <v>45499</v>
      </c>
      <c r="C292" s="33">
        <v>45506</v>
      </c>
      <c r="D292" s="54" t="s">
        <v>1222</v>
      </c>
      <c r="E292" s="38" t="s">
        <v>1515</v>
      </c>
      <c r="F292" s="40" t="s">
        <v>1517</v>
      </c>
      <c r="G292" s="40" t="s">
        <v>1520</v>
      </c>
      <c r="H292" s="40" t="s">
        <v>1524</v>
      </c>
      <c r="I292" s="40" t="s">
        <v>1969</v>
      </c>
      <c r="J292" s="46">
        <v>2046.8</v>
      </c>
      <c r="K292" s="3">
        <v>8</v>
      </c>
      <c r="L292" s="43">
        <v>0.15</v>
      </c>
      <c r="M292" s="48">
        <v>-404.1</v>
      </c>
      <c r="N292" s="48" t="str">
        <f>IF(Table3[[#This Row],[Profit]]&lt;0,"Loss","Profit")</f>
        <v>Loss</v>
      </c>
    </row>
    <row r="293" spans="1:14" ht="15.6" x14ac:dyDescent="0.3">
      <c r="A293" s="31" t="s">
        <v>705</v>
      </c>
      <c r="B293" s="33">
        <v>45506</v>
      </c>
      <c r="C293" s="33">
        <v>45508</v>
      </c>
      <c r="D293" s="54" t="s">
        <v>1457</v>
      </c>
      <c r="E293" s="38" t="s">
        <v>1515</v>
      </c>
      <c r="F293" s="40" t="s">
        <v>1516</v>
      </c>
      <c r="G293" s="40" t="s">
        <v>1522</v>
      </c>
      <c r="H293" s="40" t="s">
        <v>1527</v>
      </c>
      <c r="I293" s="40" t="s">
        <v>2194</v>
      </c>
      <c r="J293" s="46">
        <v>4329.74</v>
      </c>
      <c r="K293" s="3">
        <v>5</v>
      </c>
      <c r="L293" s="43">
        <v>0.2</v>
      </c>
      <c r="M293" s="48">
        <v>1176.83</v>
      </c>
      <c r="N293" s="48" t="str">
        <f>IF(Table3[[#This Row],[Profit]]&lt;0,"Loss","Profit")</f>
        <v>Profit</v>
      </c>
    </row>
    <row r="294" spans="1:14" ht="15.6" x14ac:dyDescent="0.3">
      <c r="A294" s="31" t="s">
        <v>750</v>
      </c>
      <c r="B294" s="33">
        <v>45506</v>
      </c>
      <c r="C294" s="33">
        <v>45508</v>
      </c>
      <c r="D294" s="54" t="s">
        <v>1501</v>
      </c>
      <c r="E294" s="38" t="s">
        <v>1514</v>
      </c>
      <c r="F294" s="40" t="s">
        <v>1517</v>
      </c>
      <c r="G294" s="40" t="s">
        <v>1520</v>
      </c>
      <c r="H294" s="40" t="s">
        <v>1524</v>
      </c>
      <c r="I294" s="40" t="s">
        <v>2235</v>
      </c>
      <c r="J294" s="46">
        <v>309.99</v>
      </c>
      <c r="K294" s="3">
        <v>8</v>
      </c>
      <c r="L294" s="43">
        <v>0.15</v>
      </c>
      <c r="M294" s="48">
        <v>19.2</v>
      </c>
      <c r="N294" s="48" t="str">
        <f>IF(Table3[[#This Row],[Profit]]&lt;0,"Loss","Profit")</f>
        <v>Profit</v>
      </c>
    </row>
    <row r="295" spans="1:14" ht="15.6" x14ac:dyDescent="0.3">
      <c r="A295" s="31" t="s">
        <v>419</v>
      </c>
      <c r="B295" s="33">
        <v>45504</v>
      </c>
      <c r="C295" s="33">
        <v>45509</v>
      </c>
      <c r="D295" s="54" t="s">
        <v>1176</v>
      </c>
      <c r="E295" s="38" t="s">
        <v>1513</v>
      </c>
      <c r="F295" s="40" t="s">
        <v>1516</v>
      </c>
      <c r="G295" s="40" t="s">
        <v>1521</v>
      </c>
      <c r="H295" s="40" t="s">
        <v>1530</v>
      </c>
      <c r="I295" s="40" t="s">
        <v>1927</v>
      </c>
      <c r="J295" s="46">
        <v>1087.94</v>
      </c>
      <c r="K295" s="3">
        <v>2</v>
      </c>
      <c r="L295" s="43">
        <v>0.1</v>
      </c>
      <c r="M295" s="48">
        <v>-64.010000000000005</v>
      </c>
      <c r="N295" s="48" t="str">
        <f>IF(Table3[[#This Row],[Profit]]&lt;0,"Loss","Profit")</f>
        <v>Loss</v>
      </c>
    </row>
    <row r="296" spans="1:14" ht="15.6" x14ac:dyDescent="0.3">
      <c r="A296" s="31" t="s">
        <v>336</v>
      </c>
      <c r="B296" s="33">
        <v>45507</v>
      </c>
      <c r="C296" s="33">
        <v>45509</v>
      </c>
      <c r="D296" s="54" t="s">
        <v>1096</v>
      </c>
      <c r="E296" s="38" t="s">
        <v>1513</v>
      </c>
      <c r="F296" s="40" t="s">
        <v>1517</v>
      </c>
      <c r="G296" s="40" t="s">
        <v>1521</v>
      </c>
      <c r="H296" s="40" t="s">
        <v>1528</v>
      </c>
      <c r="I296" s="40" t="s">
        <v>1847</v>
      </c>
      <c r="J296" s="46">
        <v>3401.84</v>
      </c>
      <c r="K296" s="3">
        <v>3</v>
      </c>
      <c r="L296" s="43">
        <v>0.2</v>
      </c>
      <c r="M296" s="48">
        <v>-224</v>
      </c>
      <c r="N296" s="48" t="str">
        <f>IF(Table3[[#This Row],[Profit]]&lt;0,"Loss","Profit")</f>
        <v>Loss</v>
      </c>
    </row>
    <row r="297" spans="1:14" ht="15.6" x14ac:dyDescent="0.3">
      <c r="A297" s="31" t="s">
        <v>274</v>
      </c>
      <c r="B297" s="33">
        <v>45501</v>
      </c>
      <c r="C297" s="33">
        <v>45510</v>
      </c>
      <c r="D297" s="54" t="s">
        <v>1037</v>
      </c>
      <c r="E297" s="38" t="s">
        <v>1513</v>
      </c>
      <c r="F297" s="40" t="s">
        <v>1518</v>
      </c>
      <c r="G297" s="40" t="s">
        <v>1522</v>
      </c>
      <c r="H297" s="40" t="s">
        <v>1529</v>
      </c>
      <c r="I297" s="40" t="s">
        <v>1627</v>
      </c>
      <c r="J297" s="46">
        <v>2237.11</v>
      </c>
      <c r="K297" s="3">
        <v>4</v>
      </c>
      <c r="L297" s="43">
        <v>0.2</v>
      </c>
      <c r="M297" s="48">
        <v>270.08999999999997</v>
      </c>
      <c r="N297" s="48" t="str">
        <f>IF(Table3[[#This Row],[Profit]]&lt;0,"Loss","Profit")</f>
        <v>Profit</v>
      </c>
    </row>
    <row r="298" spans="1:14" ht="15.6" x14ac:dyDescent="0.3">
      <c r="A298" s="31" t="s">
        <v>166</v>
      </c>
      <c r="B298" s="33">
        <v>45511</v>
      </c>
      <c r="C298" s="33">
        <v>45514</v>
      </c>
      <c r="D298" s="54" t="s">
        <v>933</v>
      </c>
      <c r="E298" s="38" t="s">
        <v>1515</v>
      </c>
      <c r="F298" s="40" t="s">
        <v>1516</v>
      </c>
      <c r="G298" s="40" t="s">
        <v>1522</v>
      </c>
      <c r="H298" s="40" t="s">
        <v>1531</v>
      </c>
      <c r="I298" s="40" t="s">
        <v>1684</v>
      </c>
      <c r="J298" s="46">
        <v>2853.29</v>
      </c>
      <c r="K298" s="3">
        <v>7</v>
      </c>
      <c r="L298" s="43">
        <v>0</v>
      </c>
      <c r="M298" s="48">
        <v>-348.01</v>
      </c>
      <c r="N298" s="48" t="str">
        <f>IF(Table3[[#This Row],[Profit]]&lt;0,"Loss","Profit")</f>
        <v>Loss</v>
      </c>
    </row>
    <row r="299" spans="1:14" ht="15.6" x14ac:dyDescent="0.3">
      <c r="A299" s="31" t="s">
        <v>402</v>
      </c>
      <c r="B299" s="33">
        <v>45513</v>
      </c>
      <c r="C299" s="33">
        <v>45516</v>
      </c>
      <c r="D299" s="54" t="s">
        <v>1160</v>
      </c>
      <c r="E299" s="38" t="s">
        <v>1514</v>
      </c>
      <c r="F299" s="40" t="s">
        <v>1518</v>
      </c>
      <c r="G299" s="40" t="s">
        <v>1521</v>
      </c>
      <c r="H299" s="40" t="s">
        <v>1526</v>
      </c>
      <c r="I299" s="40" t="s">
        <v>1911</v>
      </c>
      <c r="J299" s="46">
        <v>221.51</v>
      </c>
      <c r="K299" s="3">
        <v>10</v>
      </c>
      <c r="L299" s="43">
        <v>0.2</v>
      </c>
      <c r="M299" s="48">
        <v>-14.36</v>
      </c>
      <c r="N299" s="48" t="str">
        <f>IF(Table3[[#This Row],[Profit]]&lt;0,"Loss","Profit")</f>
        <v>Loss</v>
      </c>
    </row>
    <row r="300" spans="1:14" ht="15.6" x14ac:dyDescent="0.3">
      <c r="A300" s="31" t="s">
        <v>520</v>
      </c>
      <c r="B300" s="33">
        <v>45515</v>
      </c>
      <c r="C300" s="33">
        <v>45516</v>
      </c>
      <c r="D300" s="54" t="s">
        <v>1275</v>
      </c>
      <c r="E300" s="38" t="s">
        <v>1513</v>
      </c>
      <c r="F300" s="40" t="s">
        <v>1518</v>
      </c>
      <c r="G300" s="40" t="s">
        <v>1520</v>
      </c>
      <c r="H300" s="40" t="s">
        <v>1525</v>
      </c>
      <c r="I300" s="40" t="s">
        <v>2022</v>
      </c>
      <c r="J300" s="46">
        <v>3153.32</v>
      </c>
      <c r="K300" s="3">
        <v>4</v>
      </c>
      <c r="L300" s="43">
        <v>0.2</v>
      </c>
      <c r="M300" s="48">
        <v>461.12</v>
      </c>
      <c r="N300" s="48" t="str">
        <f>IF(Table3[[#This Row],[Profit]]&lt;0,"Loss","Profit")</f>
        <v>Profit</v>
      </c>
    </row>
    <row r="301" spans="1:14" ht="15.6" x14ac:dyDescent="0.3">
      <c r="A301" s="31" t="s">
        <v>618</v>
      </c>
      <c r="B301" s="33">
        <v>45512</v>
      </c>
      <c r="C301" s="33">
        <v>45517</v>
      </c>
      <c r="D301" s="54" t="s">
        <v>1372</v>
      </c>
      <c r="E301" s="38" t="s">
        <v>1513</v>
      </c>
      <c r="F301" s="40" t="s">
        <v>1517</v>
      </c>
      <c r="G301" s="40" t="s">
        <v>1521</v>
      </c>
      <c r="H301" s="40" t="s">
        <v>1526</v>
      </c>
      <c r="I301" s="40" t="s">
        <v>2114</v>
      </c>
      <c r="J301" s="46">
        <v>1033.68</v>
      </c>
      <c r="K301" s="3">
        <v>1</v>
      </c>
      <c r="L301" s="43">
        <v>0.2</v>
      </c>
      <c r="M301" s="48">
        <v>-82.92</v>
      </c>
      <c r="N301" s="48" t="str">
        <f>IF(Table3[[#This Row],[Profit]]&lt;0,"Loss","Profit")</f>
        <v>Loss</v>
      </c>
    </row>
    <row r="302" spans="1:14" ht="15.6" x14ac:dyDescent="0.3">
      <c r="A302" s="31" t="s">
        <v>363</v>
      </c>
      <c r="B302" s="33">
        <v>45516</v>
      </c>
      <c r="C302" s="33">
        <v>45518</v>
      </c>
      <c r="D302" s="54" t="s">
        <v>1122</v>
      </c>
      <c r="E302" s="38" t="s">
        <v>1513</v>
      </c>
      <c r="F302" s="40" t="s">
        <v>1518</v>
      </c>
      <c r="G302" s="40" t="s">
        <v>1520</v>
      </c>
      <c r="H302" s="40" t="s">
        <v>1523</v>
      </c>
      <c r="I302" s="40" t="s">
        <v>1874</v>
      </c>
      <c r="J302" s="46">
        <v>55.38</v>
      </c>
      <c r="K302" s="3">
        <v>8</v>
      </c>
      <c r="L302" s="43">
        <v>0</v>
      </c>
      <c r="M302" s="48">
        <v>-7.03</v>
      </c>
      <c r="N302" s="48" t="str">
        <f>IF(Table3[[#This Row],[Profit]]&lt;0,"Loss","Profit")</f>
        <v>Loss</v>
      </c>
    </row>
    <row r="303" spans="1:14" ht="15.6" x14ac:dyDescent="0.3">
      <c r="A303" s="31" t="s">
        <v>355</v>
      </c>
      <c r="B303" s="33">
        <v>45513</v>
      </c>
      <c r="C303" s="33">
        <v>45521</v>
      </c>
      <c r="D303" s="54" t="s">
        <v>1114</v>
      </c>
      <c r="E303" s="38" t="s">
        <v>1514</v>
      </c>
      <c r="F303" s="40" t="s">
        <v>1516</v>
      </c>
      <c r="G303" s="40" t="s">
        <v>1520</v>
      </c>
      <c r="H303" s="40" t="s">
        <v>1524</v>
      </c>
      <c r="I303" s="40" t="s">
        <v>1866</v>
      </c>
      <c r="J303" s="46">
        <v>753.75</v>
      </c>
      <c r="K303" s="3">
        <v>5</v>
      </c>
      <c r="L303" s="43">
        <v>0.2</v>
      </c>
      <c r="M303" s="48">
        <v>20.97</v>
      </c>
      <c r="N303" s="48" t="str">
        <f>IF(Table3[[#This Row],[Profit]]&lt;0,"Loss","Profit")</f>
        <v>Profit</v>
      </c>
    </row>
    <row r="304" spans="1:14" ht="15.6" x14ac:dyDescent="0.3">
      <c r="A304" s="31" t="s">
        <v>287</v>
      </c>
      <c r="B304" s="33">
        <v>45523</v>
      </c>
      <c r="C304" s="33">
        <v>45526</v>
      </c>
      <c r="D304" s="54" t="s">
        <v>1050</v>
      </c>
      <c r="E304" s="38" t="s">
        <v>1514</v>
      </c>
      <c r="F304" s="40" t="s">
        <v>1518</v>
      </c>
      <c r="G304" s="40" t="s">
        <v>1520</v>
      </c>
      <c r="H304" s="40" t="s">
        <v>1525</v>
      </c>
      <c r="I304" s="40" t="s">
        <v>1801</v>
      </c>
      <c r="J304" s="46">
        <v>3148.67</v>
      </c>
      <c r="K304" s="3">
        <v>7</v>
      </c>
      <c r="L304" s="43">
        <v>0.2</v>
      </c>
      <c r="M304" s="48">
        <v>228.57</v>
      </c>
      <c r="N304" s="48" t="str">
        <f>IF(Table3[[#This Row],[Profit]]&lt;0,"Loss","Profit")</f>
        <v>Profit</v>
      </c>
    </row>
    <row r="305" spans="1:14" ht="15.6" x14ac:dyDescent="0.3">
      <c r="A305" s="31" t="s">
        <v>400</v>
      </c>
      <c r="B305" s="33">
        <v>45521</v>
      </c>
      <c r="C305" s="33">
        <v>45527</v>
      </c>
      <c r="D305" s="54" t="s">
        <v>1158</v>
      </c>
      <c r="E305" s="38" t="s">
        <v>1515</v>
      </c>
      <c r="F305" s="40" t="s">
        <v>1518</v>
      </c>
      <c r="G305" s="40" t="s">
        <v>1522</v>
      </c>
      <c r="H305" s="40" t="s">
        <v>1531</v>
      </c>
      <c r="I305" s="40" t="s">
        <v>1909</v>
      </c>
      <c r="J305" s="46">
        <v>656.51</v>
      </c>
      <c r="K305" s="3">
        <v>8</v>
      </c>
      <c r="L305" s="43">
        <v>0</v>
      </c>
      <c r="M305" s="48">
        <v>-70.64</v>
      </c>
      <c r="N305" s="48" t="str">
        <f>IF(Table3[[#This Row],[Profit]]&lt;0,"Loss","Profit")</f>
        <v>Loss</v>
      </c>
    </row>
    <row r="306" spans="1:14" ht="15.6" x14ac:dyDescent="0.3">
      <c r="A306" s="31" t="s">
        <v>644</v>
      </c>
      <c r="B306" s="33">
        <v>45518</v>
      </c>
      <c r="C306" s="33">
        <v>45528</v>
      </c>
      <c r="D306" s="54" t="s">
        <v>1398</v>
      </c>
      <c r="E306" s="38" t="s">
        <v>1514</v>
      </c>
      <c r="F306" s="40" t="s">
        <v>1517</v>
      </c>
      <c r="G306" s="40" t="s">
        <v>1520</v>
      </c>
      <c r="H306" s="40" t="s">
        <v>1524</v>
      </c>
      <c r="I306" s="40" t="s">
        <v>2140</v>
      </c>
      <c r="J306" s="46">
        <v>4593.51</v>
      </c>
      <c r="K306" s="3">
        <v>2</v>
      </c>
      <c r="L306" s="43">
        <v>0.2</v>
      </c>
      <c r="M306" s="48">
        <v>-98.39</v>
      </c>
      <c r="N306" s="48" t="str">
        <f>IF(Table3[[#This Row],[Profit]]&lt;0,"Loss","Profit")</f>
        <v>Loss</v>
      </c>
    </row>
    <row r="307" spans="1:14" ht="15.6" x14ac:dyDescent="0.3">
      <c r="A307" s="31" t="s">
        <v>16</v>
      </c>
      <c r="B307" s="33">
        <v>45523</v>
      </c>
      <c r="C307" s="33">
        <v>45529</v>
      </c>
      <c r="D307" s="54" t="s">
        <v>785</v>
      </c>
      <c r="E307" s="38" t="s">
        <v>1514</v>
      </c>
      <c r="F307" s="40" t="s">
        <v>1516</v>
      </c>
      <c r="G307" s="40" t="s">
        <v>1520</v>
      </c>
      <c r="H307" s="40" t="s">
        <v>1524</v>
      </c>
      <c r="I307" s="40" t="s">
        <v>1535</v>
      </c>
      <c r="J307" s="46">
        <v>1425.46</v>
      </c>
      <c r="K307" s="3">
        <v>4</v>
      </c>
      <c r="L307" s="43">
        <v>0.1</v>
      </c>
      <c r="M307" s="48">
        <v>-204.96</v>
      </c>
      <c r="N307" s="48" t="str">
        <f>IF(Table3[[#This Row],[Profit]]&lt;0,"Loss","Profit")</f>
        <v>Loss</v>
      </c>
    </row>
    <row r="308" spans="1:14" ht="15.6" x14ac:dyDescent="0.3">
      <c r="A308" s="31" t="s">
        <v>157</v>
      </c>
      <c r="B308" s="33">
        <v>45524</v>
      </c>
      <c r="C308" s="33">
        <v>45529</v>
      </c>
      <c r="D308" s="54" t="s">
        <v>924</v>
      </c>
      <c r="E308" s="38" t="s">
        <v>1514</v>
      </c>
      <c r="F308" s="40" t="s">
        <v>1519</v>
      </c>
      <c r="G308" s="40" t="s">
        <v>1522</v>
      </c>
      <c r="H308" s="40" t="s">
        <v>1531</v>
      </c>
      <c r="I308" s="40" t="s">
        <v>1675</v>
      </c>
      <c r="J308" s="46">
        <v>3140.37</v>
      </c>
      <c r="K308" s="3">
        <v>10</v>
      </c>
      <c r="L308" s="43">
        <v>0.2</v>
      </c>
      <c r="M308" s="48">
        <v>601.96</v>
      </c>
      <c r="N308" s="48" t="str">
        <f>IF(Table3[[#This Row],[Profit]]&lt;0,"Loss","Profit")</f>
        <v>Profit</v>
      </c>
    </row>
    <row r="309" spans="1:14" ht="15.6" x14ac:dyDescent="0.3">
      <c r="A309" s="31" t="s">
        <v>23</v>
      </c>
      <c r="B309" s="33">
        <v>45524</v>
      </c>
      <c r="C309" s="33">
        <v>45530</v>
      </c>
      <c r="D309" s="54" t="s">
        <v>792</v>
      </c>
      <c r="E309" s="38" t="s">
        <v>1515</v>
      </c>
      <c r="F309" s="40" t="s">
        <v>1518</v>
      </c>
      <c r="G309" s="40" t="s">
        <v>1520</v>
      </c>
      <c r="H309" s="40" t="s">
        <v>1525</v>
      </c>
      <c r="I309" s="40" t="s">
        <v>1542</v>
      </c>
      <c r="J309" s="46">
        <v>1102.5</v>
      </c>
      <c r="K309" s="3">
        <v>8</v>
      </c>
      <c r="L309" s="43">
        <v>0.15</v>
      </c>
      <c r="M309" s="48">
        <v>315.95</v>
      </c>
      <c r="N309" s="48" t="str">
        <f>IF(Table3[[#This Row],[Profit]]&lt;0,"Loss","Profit")</f>
        <v>Profit</v>
      </c>
    </row>
    <row r="310" spans="1:14" ht="15.6" x14ac:dyDescent="0.3">
      <c r="A310" s="31" t="s">
        <v>25</v>
      </c>
      <c r="B310" s="33">
        <v>45524</v>
      </c>
      <c r="C310" s="33">
        <v>45530</v>
      </c>
      <c r="D310" s="54" t="s">
        <v>794</v>
      </c>
      <c r="E310" s="38" t="s">
        <v>1513</v>
      </c>
      <c r="F310" s="40" t="s">
        <v>1516</v>
      </c>
      <c r="G310" s="40" t="s">
        <v>1520</v>
      </c>
      <c r="H310" s="40" t="s">
        <v>1524</v>
      </c>
      <c r="I310" s="40" t="s">
        <v>1544</v>
      </c>
      <c r="J310" s="46">
        <v>1135.6400000000001</v>
      </c>
      <c r="K310" s="3">
        <v>3</v>
      </c>
      <c r="L310" s="43">
        <v>0.2</v>
      </c>
      <c r="M310" s="48">
        <v>81.12</v>
      </c>
      <c r="N310" s="48" t="str">
        <f>IF(Table3[[#This Row],[Profit]]&lt;0,"Loss","Profit")</f>
        <v>Profit</v>
      </c>
    </row>
    <row r="311" spans="1:14" ht="15.6" x14ac:dyDescent="0.3">
      <c r="A311" s="31" t="s">
        <v>108</v>
      </c>
      <c r="B311" s="33" t="s">
        <v>766</v>
      </c>
      <c r="C311" s="33">
        <v>45530</v>
      </c>
      <c r="D311" s="54" t="s">
        <v>877</v>
      </c>
      <c r="E311" s="38" t="s">
        <v>1513</v>
      </c>
      <c r="F311" s="40" t="s">
        <v>1516</v>
      </c>
      <c r="G311" s="40" t="s">
        <v>1521</v>
      </c>
      <c r="H311" s="40" t="s">
        <v>1530</v>
      </c>
      <c r="I311" s="40" t="s">
        <v>1626</v>
      </c>
      <c r="J311" s="46">
        <v>1162.81</v>
      </c>
      <c r="K311" s="3">
        <v>3</v>
      </c>
      <c r="L311" s="43">
        <v>0.1</v>
      </c>
      <c r="M311" s="48">
        <v>296.11</v>
      </c>
      <c r="N311" s="48" t="str">
        <f>IF(Table3[[#This Row],[Profit]]&lt;0,"Loss","Profit")</f>
        <v>Profit</v>
      </c>
    </row>
    <row r="312" spans="1:14" ht="15.6" x14ac:dyDescent="0.3">
      <c r="A312" s="31" t="s">
        <v>576</v>
      </c>
      <c r="B312" s="33">
        <v>45523</v>
      </c>
      <c r="C312" s="33">
        <v>45531</v>
      </c>
      <c r="D312" s="54" t="s">
        <v>1330</v>
      </c>
      <c r="E312" s="38" t="s">
        <v>1513</v>
      </c>
      <c r="F312" s="40" t="s">
        <v>1517</v>
      </c>
      <c r="G312" s="40" t="s">
        <v>1520</v>
      </c>
      <c r="H312" s="40" t="s">
        <v>1523</v>
      </c>
      <c r="I312" s="40" t="s">
        <v>2076</v>
      </c>
      <c r="J312" s="46">
        <v>625.53</v>
      </c>
      <c r="K312" s="3">
        <v>2</v>
      </c>
      <c r="L312" s="43">
        <v>0.15</v>
      </c>
      <c r="M312" s="48">
        <v>92.9</v>
      </c>
      <c r="N312" s="48" t="str">
        <f>IF(Table3[[#This Row],[Profit]]&lt;0,"Loss","Profit")</f>
        <v>Profit</v>
      </c>
    </row>
    <row r="313" spans="1:14" ht="15.6" x14ac:dyDescent="0.3">
      <c r="A313" s="31" t="s">
        <v>313</v>
      </c>
      <c r="B313" s="33">
        <v>45527</v>
      </c>
      <c r="C313" s="33">
        <v>45532</v>
      </c>
      <c r="D313" s="54" t="s">
        <v>1074</v>
      </c>
      <c r="E313" s="38" t="s">
        <v>1515</v>
      </c>
      <c r="F313" s="40" t="s">
        <v>1518</v>
      </c>
      <c r="G313" s="40" t="s">
        <v>1521</v>
      </c>
      <c r="H313" s="40" t="s">
        <v>1530</v>
      </c>
      <c r="I313" s="40" t="s">
        <v>1825</v>
      </c>
      <c r="J313" s="46">
        <v>3928.56</v>
      </c>
      <c r="K313" s="3">
        <v>8</v>
      </c>
      <c r="L313" s="43">
        <v>0.15</v>
      </c>
      <c r="M313" s="48">
        <v>-292.77</v>
      </c>
      <c r="N313" s="48" t="str">
        <f>IF(Table3[[#This Row],[Profit]]&lt;0,"Loss","Profit")</f>
        <v>Loss</v>
      </c>
    </row>
    <row r="314" spans="1:14" ht="15.6" x14ac:dyDescent="0.3">
      <c r="A314" s="31" t="s">
        <v>178</v>
      </c>
      <c r="B314" s="33">
        <v>45529</v>
      </c>
      <c r="C314" s="33">
        <v>45532</v>
      </c>
      <c r="D314" s="54" t="s">
        <v>944</v>
      </c>
      <c r="E314" s="38" t="s">
        <v>1515</v>
      </c>
      <c r="F314" s="40" t="s">
        <v>1517</v>
      </c>
      <c r="G314" s="40" t="s">
        <v>1521</v>
      </c>
      <c r="H314" s="40" t="s">
        <v>1526</v>
      </c>
      <c r="I314" s="40" t="s">
        <v>1585</v>
      </c>
      <c r="J314" s="46">
        <v>1219.53</v>
      </c>
      <c r="K314" s="3">
        <v>3</v>
      </c>
      <c r="L314" s="43">
        <v>0.1</v>
      </c>
      <c r="M314" s="48">
        <v>-111.59</v>
      </c>
      <c r="N314" s="48" t="str">
        <f>IF(Table3[[#This Row],[Profit]]&lt;0,"Loss","Profit")</f>
        <v>Loss</v>
      </c>
    </row>
    <row r="315" spans="1:14" ht="15.6" x14ac:dyDescent="0.3">
      <c r="A315" s="31" t="s">
        <v>633</v>
      </c>
      <c r="B315" s="33">
        <v>45526</v>
      </c>
      <c r="C315" s="33">
        <v>45533</v>
      </c>
      <c r="D315" s="54" t="s">
        <v>1387</v>
      </c>
      <c r="E315" s="38" t="s">
        <v>1513</v>
      </c>
      <c r="F315" s="40" t="s">
        <v>1516</v>
      </c>
      <c r="G315" s="40" t="s">
        <v>1520</v>
      </c>
      <c r="H315" s="40" t="s">
        <v>1525</v>
      </c>
      <c r="I315" s="40" t="s">
        <v>2129</v>
      </c>
      <c r="J315" s="46">
        <v>4119.03</v>
      </c>
      <c r="K315" s="3">
        <v>1</v>
      </c>
      <c r="L315" s="43">
        <v>0.2</v>
      </c>
      <c r="M315" s="48">
        <v>-221.61</v>
      </c>
      <c r="N315" s="48" t="str">
        <f>IF(Table3[[#This Row],[Profit]]&lt;0,"Loss","Profit")</f>
        <v>Loss</v>
      </c>
    </row>
    <row r="316" spans="1:14" ht="15.6" x14ac:dyDescent="0.3">
      <c r="A316" s="31" t="s">
        <v>364</v>
      </c>
      <c r="B316" s="33">
        <v>45529</v>
      </c>
      <c r="C316" s="33">
        <v>45535</v>
      </c>
      <c r="D316" s="54" t="s">
        <v>1123</v>
      </c>
      <c r="E316" s="38" t="s">
        <v>1513</v>
      </c>
      <c r="F316" s="40" t="s">
        <v>1517</v>
      </c>
      <c r="G316" s="40" t="s">
        <v>1522</v>
      </c>
      <c r="H316" s="40" t="s">
        <v>1531</v>
      </c>
      <c r="I316" s="40" t="s">
        <v>1875</v>
      </c>
      <c r="J316" s="46">
        <v>4094.69</v>
      </c>
      <c r="K316" s="3">
        <v>7</v>
      </c>
      <c r="L316" s="43">
        <v>0.2</v>
      </c>
      <c r="M316" s="48">
        <v>-521.27</v>
      </c>
      <c r="N316" s="48" t="str">
        <f>IF(Table3[[#This Row],[Profit]]&lt;0,"Loss","Profit")</f>
        <v>Loss</v>
      </c>
    </row>
    <row r="317" spans="1:14" ht="15.6" x14ac:dyDescent="0.3">
      <c r="A317" s="31" t="s">
        <v>240</v>
      </c>
      <c r="B317" s="33">
        <v>45534</v>
      </c>
      <c r="C317" s="33">
        <v>45535</v>
      </c>
      <c r="D317" s="54" t="s">
        <v>1004</v>
      </c>
      <c r="E317" s="38" t="s">
        <v>1515</v>
      </c>
      <c r="F317" s="40" t="s">
        <v>1519</v>
      </c>
      <c r="G317" s="40" t="s">
        <v>1521</v>
      </c>
      <c r="H317" s="40" t="s">
        <v>1528</v>
      </c>
      <c r="I317" s="40" t="s">
        <v>1756</v>
      </c>
      <c r="J317" s="46">
        <v>4243.5</v>
      </c>
      <c r="K317" s="3">
        <v>7</v>
      </c>
      <c r="L317" s="43">
        <v>0.05</v>
      </c>
      <c r="M317" s="48">
        <v>1210.8900000000001</v>
      </c>
      <c r="N317" s="48" t="str">
        <f>IF(Table3[[#This Row],[Profit]]&lt;0,"Loss","Profit")</f>
        <v>Profit</v>
      </c>
    </row>
    <row r="318" spans="1:14" ht="15.6" x14ac:dyDescent="0.3">
      <c r="A318" s="31" t="s">
        <v>328</v>
      </c>
      <c r="B318" s="33">
        <v>45529</v>
      </c>
      <c r="C318" s="33">
        <v>45537</v>
      </c>
      <c r="D318" s="54" t="s">
        <v>1088</v>
      </c>
      <c r="E318" s="38" t="s">
        <v>1515</v>
      </c>
      <c r="F318" s="40" t="s">
        <v>1518</v>
      </c>
      <c r="G318" s="40" t="s">
        <v>1521</v>
      </c>
      <c r="H318" s="40" t="s">
        <v>1528</v>
      </c>
      <c r="I318" s="40" t="s">
        <v>1839</v>
      </c>
      <c r="J318" s="46">
        <v>2932.11</v>
      </c>
      <c r="K318" s="3">
        <v>9</v>
      </c>
      <c r="L318" s="43">
        <v>0.2</v>
      </c>
      <c r="M318" s="48">
        <v>902.86</v>
      </c>
      <c r="N318" s="48" t="str">
        <f>IF(Table3[[#This Row],[Profit]]&lt;0,"Loss","Profit")</f>
        <v>Profit</v>
      </c>
    </row>
    <row r="319" spans="1:14" ht="15.6" x14ac:dyDescent="0.3">
      <c r="A319" s="31" t="s">
        <v>622</v>
      </c>
      <c r="B319" s="33">
        <v>45537</v>
      </c>
      <c r="C319" s="33">
        <v>45541</v>
      </c>
      <c r="D319" s="54" t="s">
        <v>1376</v>
      </c>
      <c r="E319" s="38" t="s">
        <v>1514</v>
      </c>
      <c r="F319" s="40" t="s">
        <v>1517</v>
      </c>
      <c r="G319" s="40" t="s">
        <v>1522</v>
      </c>
      <c r="H319" s="40" t="s">
        <v>1529</v>
      </c>
      <c r="I319" s="40" t="s">
        <v>2118</v>
      </c>
      <c r="J319" s="46">
        <v>1617.86</v>
      </c>
      <c r="K319" s="3">
        <v>9</v>
      </c>
      <c r="L319" s="43">
        <v>0.2</v>
      </c>
      <c r="M319" s="48">
        <v>349.75</v>
      </c>
      <c r="N319" s="48" t="str">
        <f>IF(Table3[[#This Row],[Profit]]&lt;0,"Loss","Profit")</f>
        <v>Profit</v>
      </c>
    </row>
    <row r="320" spans="1:14" ht="15.6" x14ac:dyDescent="0.3">
      <c r="A320" s="31" t="s">
        <v>231</v>
      </c>
      <c r="B320" s="33">
        <v>45541</v>
      </c>
      <c r="C320" s="33">
        <v>45542</v>
      </c>
      <c r="D320" s="54" t="s">
        <v>995</v>
      </c>
      <c r="E320" s="38" t="s">
        <v>1515</v>
      </c>
      <c r="F320" s="40" t="s">
        <v>1518</v>
      </c>
      <c r="G320" s="40" t="s">
        <v>1522</v>
      </c>
      <c r="H320" s="40" t="s">
        <v>1531</v>
      </c>
      <c r="I320" s="40" t="s">
        <v>1747</v>
      </c>
      <c r="J320" s="46">
        <v>4745.3100000000004</v>
      </c>
      <c r="K320" s="3">
        <v>10</v>
      </c>
      <c r="L320" s="43">
        <v>0.1</v>
      </c>
      <c r="M320" s="48">
        <v>750.34</v>
      </c>
      <c r="N320" s="48" t="str">
        <f>IF(Table3[[#This Row],[Profit]]&lt;0,"Loss","Profit")</f>
        <v>Profit</v>
      </c>
    </row>
    <row r="321" spans="1:14" ht="15.6" x14ac:dyDescent="0.3">
      <c r="A321" s="31" t="s">
        <v>697</v>
      </c>
      <c r="B321" s="33">
        <v>45534</v>
      </c>
      <c r="C321" s="33">
        <v>45544</v>
      </c>
      <c r="D321" s="54" t="s">
        <v>1449</v>
      </c>
      <c r="E321" s="38" t="s">
        <v>1513</v>
      </c>
      <c r="F321" s="40" t="s">
        <v>1518</v>
      </c>
      <c r="G321" s="40" t="s">
        <v>1521</v>
      </c>
      <c r="H321" s="40" t="s">
        <v>1530</v>
      </c>
      <c r="I321" s="40" t="s">
        <v>2186</v>
      </c>
      <c r="J321" s="46">
        <v>1201.97</v>
      </c>
      <c r="K321" s="3">
        <v>5</v>
      </c>
      <c r="L321" s="43">
        <v>0.05</v>
      </c>
      <c r="M321" s="48">
        <v>-239.35</v>
      </c>
      <c r="N321" s="48" t="str">
        <f>IF(Table3[[#This Row],[Profit]]&lt;0,"Loss","Profit")</f>
        <v>Loss</v>
      </c>
    </row>
    <row r="322" spans="1:14" ht="15.6" x14ac:dyDescent="0.3">
      <c r="A322" s="31" t="s">
        <v>213</v>
      </c>
      <c r="B322" s="33">
        <v>45539</v>
      </c>
      <c r="C322" s="33">
        <v>45546</v>
      </c>
      <c r="D322" s="54" t="s">
        <v>978</v>
      </c>
      <c r="E322" s="38" t="s">
        <v>1514</v>
      </c>
      <c r="F322" s="40" t="s">
        <v>1516</v>
      </c>
      <c r="G322" s="40" t="s">
        <v>1522</v>
      </c>
      <c r="H322" s="40" t="s">
        <v>1527</v>
      </c>
      <c r="I322" s="40" t="s">
        <v>1730</v>
      </c>
      <c r="J322" s="46">
        <v>440.69</v>
      </c>
      <c r="K322" s="3">
        <v>10</v>
      </c>
      <c r="L322" s="43">
        <v>0.05</v>
      </c>
      <c r="M322" s="48">
        <v>44.07</v>
      </c>
      <c r="N322" s="48" t="str">
        <f>IF(Table3[[#This Row],[Profit]]&lt;0,"Loss","Profit")</f>
        <v>Profit</v>
      </c>
    </row>
    <row r="323" spans="1:14" ht="15.6" x14ac:dyDescent="0.3">
      <c r="A323" s="31" t="s">
        <v>320</v>
      </c>
      <c r="B323" s="33">
        <v>45543</v>
      </c>
      <c r="C323" s="33">
        <v>45546</v>
      </c>
      <c r="D323" s="54" t="s">
        <v>1080</v>
      </c>
      <c r="E323" s="38" t="s">
        <v>1513</v>
      </c>
      <c r="F323" s="40" t="s">
        <v>1519</v>
      </c>
      <c r="G323" s="40" t="s">
        <v>1522</v>
      </c>
      <c r="H323" s="40" t="s">
        <v>1531</v>
      </c>
      <c r="I323" s="40" t="s">
        <v>1831</v>
      </c>
      <c r="J323" s="46">
        <v>2201.65</v>
      </c>
      <c r="K323" s="3">
        <v>7</v>
      </c>
      <c r="L323" s="43">
        <v>0.1</v>
      </c>
      <c r="M323" s="48">
        <v>146.03</v>
      </c>
      <c r="N323" s="48" t="str">
        <f>IF(Table3[[#This Row],[Profit]]&lt;0,"Loss","Profit")</f>
        <v>Profit</v>
      </c>
    </row>
    <row r="324" spans="1:14" ht="15.6" x14ac:dyDescent="0.3">
      <c r="A324" s="31" t="s">
        <v>598</v>
      </c>
      <c r="B324" s="33">
        <v>45545</v>
      </c>
      <c r="C324" s="33">
        <v>45548</v>
      </c>
      <c r="D324" s="54" t="s">
        <v>1352</v>
      </c>
      <c r="E324" s="38" t="s">
        <v>1514</v>
      </c>
      <c r="F324" s="40" t="s">
        <v>1516</v>
      </c>
      <c r="G324" s="40" t="s">
        <v>1521</v>
      </c>
      <c r="H324" s="40" t="s">
        <v>1530</v>
      </c>
      <c r="I324" s="40" t="s">
        <v>2096</v>
      </c>
      <c r="J324" s="46">
        <v>4278.3500000000004</v>
      </c>
      <c r="K324" s="3">
        <v>3</v>
      </c>
      <c r="L324" s="43">
        <v>0.2</v>
      </c>
      <c r="M324" s="48">
        <v>-303.57</v>
      </c>
      <c r="N324" s="48" t="str">
        <f>IF(Table3[[#This Row],[Profit]]&lt;0,"Loss","Profit")</f>
        <v>Loss</v>
      </c>
    </row>
    <row r="325" spans="1:14" ht="15.6" x14ac:dyDescent="0.3">
      <c r="A325" s="31" t="s">
        <v>57</v>
      </c>
      <c r="B325" s="33">
        <v>45549</v>
      </c>
      <c r="C325" s="33">
        <v>45551</v>
      </c>
      <c r="D325" s="54" t="s">
        <v>826</v>
      </c>
      <c r="E325" s="38" t="s">
        <v>1514</v>
      </c>
      <c r="F325" s="40" t="s">
        <v>1519</v>
      </c>
      <c r="G325" s="40" t="s">
        <v>1522</v>
      </c>
      <c r="H325" s="40" t="s">
        <v>1527</v>
      </c>
      <c r="I325" s="40" t="s">
        <v>1576</v>
      </c>
      <c r="J325" s="46">
        <v>1943.58</v>
      </c>
      <c r="K325" s="3">
        <v>1</v>
      </c>
      <c r="L325" s="43">
        <v>0.15</v>
      </c>
      <c r="M325" s="48">
        <v>-150.94</v>
      </c>
      <c r="N325" s="48" t="str">
        <f>IF(Table3[[#This Row],[Profit]]&lt;0,"Loss","Profit")</f>
        <v>Loss</v>
      </c>
    </row>
    <row r="326" spans="1:14" ht="15.6" x14ac:dyDescent="0.3">
      <c r="A326" s="31" t="s">
        <v>698</v>
      </c>
      <c r="B326" s="33">
        <v>45548</v>
      </c>
      <c r="C326" s="33">
        <v>45552</v>
      </c>
      <c r="D326" s="54" t="s">
        <v>1450</v>
      </c>
      <c r="E326" s="38" t="s">
        <v>1514</v>
      </c>
      <c r="F326" s="40" t="s">
        <v>1518</v>
      </c>
      <c r="G326" s="40" t="s">
        <v>1520</v>
      </c>
      <c r="H326" s="40" t="s">
        <v>1523</v>
      </c>
      <c r="I326" s="40" t="s">
        <v>2187</v>
      </c>
      <c r="J326" s="46">
        <v>4007.84</v>
      </c>
      <c r="K326" s="3">
        <v>7</v>
      </c>
      <c r="L326" s="43">
        <v>0.15</v>
      </c>
      <c r="M326" s="48">
        <v>-701.29</v>
      </c>
      <c r="N326" s="48" t="str">
        <f>IF(Table3[[#This Row],[Profit]]&lt;0,"Loss","Profit")</f>
        <v>Loss</v>
      </c>
    </row>
    <row r="327" spans="1:14" ht="15.6" x14ac:dyDescent="0.3">
      <c r="A327" s="31" t="s">
        <v>385</v>
      </c>
      <c r="B327" s="33">
        <v>45549</v>
      </c>
      <c r="C327" s="33">
        <v>45555</v>
      </c>
      <c r="D327" s="54" t="s">
        <v>1143</v>
      </c>
      <c r="E327" s="38" t="s">
        <v>1514</v>
      </c>
      <c r="F327" s="40" t="s">
        <v>1519</v>
      </c>
      <c r="G327" s="40" t="s">
        <v>1521</v>
      </c>
      <c r="H327" s="40" t="s">
        <v>1526</v>
      </c>
      <c r="I327" s="40" t="s">
        <v>1895</v>
      </c>
      <c r="J327" s="46">
        <v>477.61</v>
      </c>
      <c r="K327" s="3">
        <v>8</v>
      </c>
      <c r="L327" s="43">
        <v>0</v>
      </c>
      <c r="M327" s="48">
        <v>1.39</v>
      </c>
      <c r="N327" s="48" t="str">
        <f>IF(Table3[[#This Row],[Profit]]&lt;0,"Loss","Profit")</f>
        <v>Profit</v>
      </c>
    </row>
    <row r="328" spans="1:14" ht="15.6" x14ac:dyDescent="0.3">
      <c r="A328" s="31" t="s">
        <v>628</v>
      </c>
      <c r="B328" s="33">
        <v>45551</v>
      </c>
      <c r="C328" s="33">
        <v>45558</v>
      </c>
      <c r="D328" s="54" t="s">
        <v>1382</v>
      </c>
      <c r="E328" s="38" t="s">
        <v>1514</v>
      </c>
      <c r="F328" s="40" t="s">
        <v>1519</v>
      </c>
      <c r="G328" s="40" t="s">
        <v>1520</v>
      </c>
      <c r="H328" s="40" t="s">
        <v>1525</v>
      </c>
      <c r="I328" s="40" t="s">
        <v>2124</v>
      </c>
      <c r="J328" s="46">
        <v>989.85</v>
      </c>
      <c r="K328" s="3">
        <v>8</v>
      </c>
      <c r="L328" s="43">
        <v>0.2</v>
      </c>
      <c r="M328" s="48">
        <v>-114.06</v>
      </c>
      <c r="N328" s="48" t="str">
        <f>IF(Table3[[#This Row],[Profit]]&lt;0,"Loss","Profit")</f>
        <v>Loss</v>
      </c>
    </row>
    <row r="329" spans="1:14" ht="15.6" x14ac:dyDescent="0.3">
      <c r="A329" s="31" t="s">
        <v>397</v>
      </c>
      <c r="B329" s="33">
        <v>45551</v>
      </c>
      <c r="C329" s="33">
        <v>45560</v>
      </c>
      <c r="D329" s="54" t="s">
        <v>1155</v>
      </c>
      <c r="E329" s="38" t="s">
        <v>1513</v>
      </c>
      <c r="F329" s="40" t="s">
        <v>1516</v>
      </c>
      <c r="G329" s="40" t="s">
        <v>1520</v>
      </c>
      <c r="H329" s="40" t="s">
        <v>1525</v>
      </c>
      <c r="I329" s="40" t="s">
        <v>1906</v>
      </c>
      <c r="J329" s="46">
        <v>1286.77</v>
      </c>
      <c r="K329" s="3">
        <v>8</v>
      </c>
      <c r="L329" s="43">
        <v>0</v>
      </c>
      <c r="M329" s="48">
        <v>311.58</v>
      </c>
      <c r="N329" s="48" t="str">
        <f>IF(Table3[[#This Row],[Profit]]&lt;0,"Loss","Profit")</f>
        <v>Profit</v>
      </c>
    </row>
    <row r="330" spans="1:14" ht="15.6" x14ac:dyDescent="0.3">
      <c r="A330" s="31" t="s">
        <v>91</v>
      </c>
      <c r="B330" s="33">
        <v>45551</v>
      </c>
      <c r="C330" s="33">
        <v>45561</v>
      </c>
      <c r="D330" s="54" t="s">
        <v>860</v>
      </c>
      <c r="E330" s="38" t="s">
        <v>1514</v>
      </c>
      <c r="F330" s="40" t="s">
        <v>1517</v>
      </c>
      <c r="G330" s="40" t="s">
        <v>1521</v>
      </c>
      <c r="H330" s="40" t="s">
        <v>1528</v>
      </c>
      <c r="I330" s="40" t="s">
        <v>1610</v>
      </c>
      <c r="J330" s="46">
        <v>3357.53</v>
      </c>
      <c r="K330" s="3">
        <v>6</v>
      </c>
      <c r="L330" s="43">
        <v>0</v>
      </c>
      <c r="M330" s="48">
        <v>241.3</v>
      </c>
      <c r="N330" s="48" t="str">
        <f>IF(Table3[[#This Row],[Profit]]&lt;0,"Loss","Profit")</f>
        <v>Profit</v>
      </c>
    </row>
    <row r="331" spans="1:14" ht="15.6" x14ac:dyDescent="0.3">
      <c r="A331" s="31" t="s">
        <v>118</v>
      </c>
      <c r="B331" s="33">
        <v>45551</v>
      </c>
      <c r="C331" s="33">
        <v>45561</v>
      </c>
      <c r="D331" s="54" t="s">
        <v>2282</v>
      </c>
      <c r="E331" s="38" t="s">
        <v>1515</v>
      </c>
      <c r="F331" s="40" t="s">
        <v>1518</v>
      </c>
      <c r="G331" s="40" t="s">
        <v>1522</v>
      </c>
      <c r="H331" s="40" t="s">
        <v>1527</v>
      </c>
      <c r="I331" s="40" t="s">
        <v>1636</v>
      </c>
      <c r="J331" s="46">
        <v>4006.6</v>
      </c>
      <c r="K331" s="3">
        <v>3</v>
      </c>
      <c r="L331" s="43">
        <v>0.1</v>
      </c>
      <c r="M331" s="48">
        <v>412.53</v>
      </c>
      <c r="N331" s="48" t="str">
        <f>IF(Table3[[#This Row],[Profit]]&lt;0,"Loss","Profit")</f>
        <v>Profit</v>
      </c>
    </row>
    <row r="332" spans="1:14" ht="15.6" x14ac:dyDescent="0.3">
      <c r="A332" s="31" t="s">
        <v>175</v>
      </c>
      <c r="B332" s="33">
        <v>45555</v>
      </c>
      <c r="C332" s="33">
        <v>45562</v>
      </c>
      <c r="D332" s="54" t="s">
        <v>941</v>
      </c>
      <c r="E332" s="38" t="s">
        <v>1513</v>
      </c>
      <c r="F332" s="40" t="s">
        <v>1518</v>
      </c>
      <c r="G332" s="40" t="s">
        <v>1520</v>
      </c>
      <c r="H332" s="40" t="s">
        <v>1524</v>
      </c>
      <c r="I332" s="40" t="s">
        <v>1693</v>
      </c>
      <c r="J332" s="46">
        <v>1483.1</v>
      </c>
      <c r="K332" s="3">
        <v>7</v>
      </c>
      <c r="L332" s="43">
        <v>0</v>
      </c>
      <c r="M332" s="48">
        <v>491.51</v>
      </c>
      <c r="N332" s="48" t="str">
        <f>IF(Table3[[#This Row],[Profit]]&lt;0,"Loss","Profit")</f>
        <v>Profit</v>
      </c>
    </row>
    <row r="333" spans="1:14" ht="15.6" x14ac:dyDescent="0.3">
      <c r="A333" s="31" t="s">
        <v>280</v>
      </c>
      <c r="B333" s="33">
        <v>45555</v>
      </c>
      <c r="C333" s="33">
        <v>45562</v>
      </c>
      <c r="D333" s="54" t="s">
        <v>1043</v>
      </c>
      <c r="E333" s="38" t="s">
        <v>1514</v>
      </c>
      <c r="F333" s="40" t="s">
        <v>1518</v>
      </c>
      <c r="G333" s="40" t="s">
        <v>1522</v>
      </c>
      <c r="H333" s="40" t="s">
        <v>1527</v>
      </c>
      <c r="I333" s="40" t="s">
        <v>1795</v>
      </c>
      <c r="J333" s="46">
        <v>2667.77</v>
      </c>
      <c r="K333" s="3">
        <v>4</v>
      </c>
      <c r="L333" s="43">
        <v>0</v>
      </c>
      <c r="M333" s="48">
        <v>575.97</v>
      </c>
      <c r="N333" s="48" t="str">
        <f>IF(Table3[[#This Row],[Profit]]&lt;0,"Loss","Profit")</f>
        <v>Profit</v>
      </c>
    </row>
    <row r="334" spans="1:14" ht="15.6" x14ac:dyDescent="0.3">
      <c r="A334" s="31" t="s">
        <v>745</v>
      </c>
      <c r="B334" s="33">
        <v>45560</v>
      </c>
      <c r="C334" s="33">
        <v>45562</v>
      </c>
      <c r="D334" s="54" t="s">
        <v>1497</v>
      </c>
      <c r="E334" s="38" t="s">
        <v>1515</v>
      </c>
      <c r="F334" s="40" t="s">
        <v>1519</v>
      </c>
      <c r="G334" s="40" t="s">
        <v>1521</v>
      </c>
      <c r="H334" s="40" t="s">
        <v>1526</v>
      </c>
      <c r="I334" s="40" t="s">
        <v>2230</v>
      </c>
      <c r="J334" s="46">
        <v>677.77</v>
      </c>
      <c r="K334" s="3">
        <v>2</v>
      </c>
      <c r="L334" s="43">
        <v>0.1</v>
      </c>
      <c r="M334" s="48">
        <v>-41.6</v>
      </c>
      <c r="N334" s="48" t="str">
        <f>IF(Table3[[#This Row],[Profit]]&lt;0,"Loss","Profit")</f>
        <v>Loss</v>
      </c>
    </row>
    <row r="335" spans="1:14" ht="15.6" x14ac:dyDescent="0.3">
      <c r="A335" s="31" t="s">
        <v>403</v>
      </c>
      <c r="B335" s="33">
        <v>45557</v>
      </c>
      <c r="C335" s="33">
        <v>45565</v>
      </c>
      <c r="D335" s="54" t="s">
        <v>1161</v>
      </c>
      <c r="E335" s="38" t="s">
        <v>1513</v>
      </c>
      <c r="F335" s="40" t="s">
        <v>1517</v>
      </c>
      <c r="G335" s="40" t="s">
        <v>1521</v>
      </c>
      <c r="H335" s="40" t="s">
        <v>1528</v>
      </c>
      <c r="I335" s="40" t="s">
        <v>1912</v>
      </c>
      <c r="J335" s="46">
        <v>351.85</v>
      </c>
      <c r="K335" s="3">
        <v>5</v>
      </c>
      <c r="L335" s="43">
        <v>0.15</v>
      </c>
      <c r="M335" s="48">
        <v>-43.81</v>
      </c>
      <c r="N335" s="48" t="str">
        <f>IF(Table3[[#This Row],[Profit]]&lt;0,"Loss","Profit")</f>
        <v>Loss</v>
      </c>
    </row>
    <row r="336" spans="1:14" ht="15.6" x14ac:dyDescent="0.3">
      <c r="A336" s="31" t="s">
        <v>664</v>
      </c>
      <c r="B336" s="33">
        <v>45560</v>
      </c>
      <c r="C336" s="33">
        <v>45565</v>
      </c>
      <c r="D336" s="54" t="s">
        <v>1417</v>
      </c>
      <c r="E336" s="38" t="s">
        <v>1513</v>
      </c>
      <c r="F336" s="40" t="s">
        <v>1519</v>
      </c>
      <c r="G336" s="40" t="s">
        <v>1522</v>
      </c>
      <c r="H336" s="40" t="s">
        <v>1527</v>
      </c>
      <c r="I336" s="40" t="s">
        <v>2116</v>
      </c>
      <c r="J336" s="46">
        <v>4068.87</v>
      </c>
      <c r="K336" s="3">
        <v>5</v>
      </c>
      <c r="L336" s="43">
        <v>0.15</v>
      </c>
      <c r="M336" s="48">
        <v>1178.8399999999999</v>
      </c>
      <c r="N336" s="48" t="str">
        <f>IF(Table3[[#This Row],[Profit]]&lt;0,"Loss","Profit")</f>
        <v>Profit</v>
      </c>
    </row>
    <row r="337" spans="1:14" ht="15.6" x14ac:dyDescent="0.3">
      <c r="A337" s="31" t="s">
        <v>393</v>
      </c>
      <c r="B337" s="33">
        <v>45562</v>
      </c>
      <c r="C337" s="33">
        <v>45565</v>
      </c>
      <c r="D337" s="54" t="s">
        <v>1151</v>
      </c>
      <c r="E337" s="38" t="s">
        <v>1513</v>
      </c>
      <c r="F337" s="40" t="s">
        <v>1519</v>
      </c>
      <c r="G337" s="40" t="s">
        <v>1520</v>
      </c>
      <c r="H337" s="40" t="s">
        <v>1523</v>
      </c>
      <c r="I337" s="40" t="s">
        <v>1903</v>
      </c>
      <c r="J337" s="46">
        <v>573.01</v>
      </c>
      <c r="K337" s="3">
        <v>8</v>
      </c>
      <c r="L337" s="43">
        <v>0.15</v>
      </c>
      <c r="M337" s="48">
        <v>-15.63</v>
      </c>
      <c r="N337" s="48" t="str">
        <f>IF(Table3[[#This Row],[Profit]]&lt;0,"Loss","Profit")</f>
        <v>Loss</v>
      </c>
    </row>
    <row r="338" spans="1:14" ht="15.6" x14ac:dyDescent="0.3">
      <c r="A338" s="31" t="s">
        <v>259</v>
      </c>
      <c r="B338" s="33">
        <v>45557</v>
      </c>
      <c r="C338" s="33">
        <v>45566</v>
      </c>
      <c r="D338" s="54" t="s">
        <v>1023</v>
      </c>
      <c r="E338" s="38" t="s">
        <v>1514</v>
      </c>
      <c r="F338" s="40" t="s">
        <v>1518</v>
      </c>
      <c r="G338" s="40" t="s">
        <v>1522</v>
      </c>
      <c r="H338" s="40" t="s">
        <v>1531</v>
      </c>
      <c r="I338" s="40" t="s">
        <v>1775</v>
      </c>
      <c r="J338" s="46">
        <v>1167.07</v>
      </c>
      <c r="K338" s="3">
        <v>4</v>
      </c>
      <c r="L338" s="43">
        <v>0</v>
      </c>
      <c r="M338" s="48">
        <v>-169.1</v>
      </c>
      <c r="N338" s="48" t="str">
        <f>IF(Table3[[#This Row],[Profit]]&lt;0,"Loss","Profit")</f>
        <v>Loss</v>
      </c>
    </row>
    <row r="339" spans="1:14" ht="15.6" x14ac:dyDescent="0.3">
      <c r="A339" s="31" t="s">
        <v>268</v>
      </c>
      <c r="B339" s="33">
        <v>45561</v>
      </c>
      <c r="C339" s="33">
        <v>45566</v>
      </c>
      <c r="D339" s="54" t="s">
        <v>1031</v>
      </c>
      <c r="E339" s="38" t="s">
        <v>1514</v>
      </c>
      <c r="F339" s="40" t="s">
        <v>1517</v>
      </c>
      <c r="G339" s="40" t="s">
        <v>1521</v>
      </c>
      <c r="H339" s="40" t="s">
        <v>1526</v>
      </c>
      <c r="I339" s="40" t="s">
        <v>1784</v>
      </c>
      <c r="J339" s="46">
        <v>2933.18</v>
      </c>
      <c r="K339" s="3">
        <v>10</v>
      </c>
      <c r="L339" s="43">
        <v>0</v>
      </c>
      <c r="M339" s="48">
        <v>-164.69</v>
      </c>
      <c r="N339" s="48" t="str">
        <f>IF(Table3[[#This Row],[Profit]]&lt;0,"Loss","Profit")</f>
        <v>Loss</v>
      </c>
    </row>
    <row r="340" spans="1:14" ht="15.6" x14ac:dyDescent="0.3">
      <c r="A340" s="31" t="s">
        <v>37</v>
      </c>
      <c r="B340" s="33">
        <v>45564</v>
      </c>
      <c r="C340" s="33">
        <v>45566</v>
      </c>
      <c r="D340" s="54" t="s">
        <v>806</v>
      </c>
      <c r="E340" s="38" t="s">
        <v>1515</v>
      </c>
      <c r="F340" s="40" t="s">
        <v>1516</v>
      </c>
      <c r="G340" s="40" t="s">
        <v>1522</v>
      </c>
      <c r="H340" s="40" t="s">
        <v>1531</v>
      </c>
      <c r="I340" s="40" t="s">
        <v>1556</v>
      </c>
      <c r="J340" s="46">
        <v>3311.96</v>
      </c>
      <c r="K340" s="3">
        <v>6</v>
      </c>
      <c r="L340" s="43">
        <v>0.15</v>
      </c>
      <c r="M340" s="48">
        <v>86.46</v>
      </c>
      <c r="N340" s="48" t="str">
        <f>IF(Table3[[#This Row],[Profit]]&lt;0,"Loss","Profit")</f>
        <v>Profit</v>
      </c>
    </row>
    <row r="341" spans="1:14" ht="15.6" x14ac:dyDescent="0.3">
      <c r="A341" s="31" t="s">
        <v>756</v>
      </c>
      <c r="B341" s="33">
        <v>45566</v>
      </c>
      <c r="C341" s="33">
        <v>45572</v>
      </c>
      <c r="D341" s="54" t="s">
        <v>1507</v>
      </c>
      <c r="E341" s="38" t="s">
        <v>1513</v>
      </c>
      <c r="F341" s="40" t="s">
        <v>1516</v>
      </c>
      <c r="G341" s="40" t="s">
        <v>1520</v>
      </c>
      <c r="H341" s="40" t="s">
        <v>1524</v>
      </c>
      <c r="I341" s="40" t="s">
        <v>2240</v>
      </c>
      <c r="J341" s="46">
        <v>1136.1099999999999</v>
      </c>
      <c r="K341" s="3">
        <v>5</v>
      </c>
      <c r="L341" s="43">
        <v>0.1</v>
      </c>
      <c r="M341" s="48">
        <v>-106.57</v>
      </c>
      <c r="N341" s="48" t="str">
        <f>IF(Table3[[#This Row],[Profit]]&lt;0,"Loss","Profit")</f>
        <v>Loss</v>
      </c>
    </row>
    <row r="342" spans="1:14" ht="15.6" x14ac:dyDescent="0.3">
      <c r="A342" s="31" t="s">
        <v>243</v>
      </c>
      <c r="B342" s="33">
        <v>45566</v>
      </c>
      <c r="C342" s="33">
        <v>45573</v>
      </c>
      <c r="D342" s="54" t="s">
        <v>1007</v>
      </c>
      <c r="E342" s="38" t="s">
        <v>1513</v>
      </c>
      <c r="F342" s="40" t="s">
        <v>1517</v>
      </c>
      <c r="G342" s="40" t="s">
        <v>1522</v>
      </c>
      <c r="H342" s="40" t="s">
        <v>1531</v>
      </c>
      <c r="I342" s="40" t="s">
        <v>1759</v>
      </c>
      <c r="J342" s="46">
        <v>1897.33</v>
      </c>
      <c r="K342" s="3">
        <v>6</v>
      </c>
      <c r="L342" s="43">
        <v>0.2</v>
      </c>
      <c r="M342" s="48">
        <v>600.36</v>
      </c>
      <c r="N342" s="48" t="str">
        <f>IF(Table3[[#This Row],[Profit]]&lt;0,"Loss","Profit")</f>
        <v>Profit</v>
      </c>
    </row>
    <row r="343" spans="1:14" ht="15.6" x14ac:dyDescent="0.3">
      <c r="A343" s="31" t="s">
        <v>125</v>
      </c>
      <c r="B343" s="33">
        <v>45567</v>
      </c>
      <c r="C343" s="33">
        <v>45574</v>
      </c>
      <c r="D343" s="54" t="s">
        <v>893</v>
      </c>
      <c r="E343" s="38" t="s">
        <v>1513</v>
      </c>
      <c r="F343" s="40" t="s">
        <v>1519</v>
      </c>
      <c r="G343" s="40" t="s">
        <v>1520</v>
      </c>
      <c r="H343" s="40" t="s">
        <v>1524</v>
      </c>
      <c r="I343" s="40" t="s">
        <v>1643</v>
      </c>
      <c r="J343" s="46">
        <v>4942.6499999999996</v>
      </c>
      <c r="K343" s="3">
        <v>3</v>
      </c>
      <c r="L343" s="43">
        <v>0.15</v>
      </c>
      <c r="M343" s="48">
        <v>1634.3</v>
      </c>
      <c r="N343" s="48" t="str">
        <f>IF(Table3[[#This Row],[Profit]]&lt;0,"Loss","Profit")</f>
        <v>Profit</v>
      </c>
    </row>
    <row r="344" spans="1:14" ht="15.6" x14ac:dyDescent="0.3">
      <c r="A344" s="31" t="s">
        <v>596</v>
      </c>
      <c r="B344" s="33">
        <v>45571</v>
      </c>
      <c r="C344" s="33">
        <v>45574</v>
      </c>
      <c r="D344" s="54" t="s">
        <v>1350</v>
      </c>
      <c r="E344" s="38" t="s">
        <v>1515</v>
      </c>
      <c r="F344" s="40" t="s">
        <v>1519</v>
      </c>
      <c r="G344" s="40" t="s">
        <v>1522</v>
      </c>
      <c r="H344" s="40" t="s">
        <v>1531</v>
      </c>
      <c r="I344" s="40" t="s">
        <v>2094</v>
      </c>
      <c r="J344" s="46">
        <v>1750.95</v>
      </c>
      <c r="K344" s="3">
        <v>6</v>
      </c>
      <c r="L344" s="43">
        <v>0.1</v>
      </c>
      <c r="M344" s="48">
        <v>278.68</v>
      </c>
      <c r="N344" s="48" t="str">
        <f>IF(Table3[[#This Row],[Profit]]&lt;0,"Loss","Profit")</f>
        <v>Profit</v>
      </c>
    </row>
    <row r="345" spans="1:14" ht="15.6" x14ac:dyDescent="0.3">
      <c r="A345" s="31" t="s">
        <v>575</v>
      </c>
      <c r="B345" s="33">
        <v>45568</v>
      </c>
      <c r="C345" s="33">
        <v>45575</v>
      </c>
      <c r="D345" s="54" t="s">
        <v>1329</v>
      </c>
      <c r="E345" s="38" t="s">
        <v>1514</v>
      </c>
      <c r="F345" s="40" t="s">
        <v>1518</v>
      </c>
      <c r="G345" s="40" t="s">
        <v>1520</v>
      </c>
      <c r="H345" s="40" t="s">
        <v>1524</v>
      </c>
      <c r="I345" s="40" t="s">
        <v>2075</v>
      </c>
      <c r="J345" s="46">
        <v>2837.68</v>
      </c>
      <c r="K345" s="3">
        <v>4</v>
      </c>
      <c r="L345" s="43">
        <v>0.1</v>
      </c>
      <c r="M345" s="48">
        <v>932.69</v>
      </c>
      <c r="N345" s="48" t="str">
        <f>IF(Table3[[#This Row],[Profit]]&lt;0,"Loss","Profit")</f>
        <v>Profit</v>
      </c>
    </row>
    <row r="346" spans="1:14" ht="15.6" x14ac:dyDescent="0.3">
      <c r="A346" s="31" t="s">
        <v>470</v>
      </c>
      <c r="B346" s="33">
        <v>45573</v>
      </c>
      <c r="C346" s="33">
        <v>45577</v>
      </c>
      <c r="D346" s="54" t="s">
        <v>1227</v>
      </c>
      <c r="E346" s="38" t="s">
        <v>1515</v>
      </c>
      <c r="F346" s="40" t="s">
        <v>1517</v>
      </c>
      <c r="G346" s="40" t="s">
        <v>1522</v>
      </c>
      <c r="H346" s="40" t="s">
        <v>1531</v>
      </c>
      <c r="I346" s="40" t="s">
        <v>1974</v>
      </c>
      <c r="J346" s="46">
        <v>3649.49</v>
      </c>
      <c r="K346" s="3">
        <v>3</v>
      </c>
      <c r="L346" s="43">
        <v>0.05</v>
      </c>
      <c r="M346" s="48">
        <v>743.55</v>
      </c>
      <c r="N346" s="48" t="str">
        <f>IF(Table3[[#This Row],[Profit]]&lt;0,"Loss","Profit")</f>
        <v>Profit</v>
      </c>
    </row>
    <row r="347" spans="1:14" ht="15.6" x14ac:dyDescent="0.3">
      <c r="A347" s="31" t="s">
        <v>24</v>
      </c>
      <c r="B347" s="33">
        <v>45574</v>
      </c>
      <c r="C347" s="33">
        <v>45577</v>
      </c>
      <c r="D347" s="54" t="s">
        <v>793</v>
      </c>
      <c r="E347" s="38" t="s">
        <v>1515</v>
      </c>
      <c r="F347" s="40" t="s">
        <v>1518</v>
      </c>
      <c r="G347" s="40" t="s">
        <v>1522</v>
      </c>
      <c r="H347" s="40" t="s">
        <v>1529</v>
      </c>
      <c r="I347" s="40" t="s">
        <v>1543</v>
      </c>
      <c r="J347" s="46">
        <v>1270.81</v>
      </c>
      <c r="K347" s="3">
        <v>9</v>
      </c>
      <c r="L347" s="43">
        <v>0.2</v>
      </c>
      <c r="M347" s="48">
        <v>-70.52</v>
      </c>
      <c r="N347" s="48" t="str">
        <f>IF(Table3[[#This Row],[Profit]]&lt;0,"Loss","Profit")</f>
        <v>Loss</v>
      </c>
    </row>
    <row r="348" spans="1:14" ht="15.6" x14ac:dyDescent="0.3">
      <c r="A348" s="31" t="s">
        <v>761</v>
      </c>
      <c r="B348" s="33">
        <v>45570</v>
      </c>
      <c r="C348" s="33">
        <v>45578</v>
      </c>
      <c r="D348" s="54" t="s">
        <v>2272</v>
      </c>
      <c r="E348" s="38" t="s">
        <v>1515</v>
      </c>
      <c r="F348" s="40" t="s">
        <v>1518</v>
      </c>
      <c r="G348" s="40" t="s">
        <v>1521</v>
      </c>
      <c r="H348" s="40" t="s">
        <v>1530</v>
      </c>
      <c r="I348" s="40" t="s">
        <v>2245</v>
      </c>
      <c r="J348" s="46">
        <v>393.52</v>
      </c>
      <c r="K348" s="3">
        <v>4</v>
      </c>
      <c r="L348" s="43">
        <v>0.2</v>
      </c>
      <c r="M348" s="48">
        <v>6.28</v>
      </c>
      <c r="N348" s="48" t="str">
        <f>IF(Table3[[#This Row],[Profit]]&lt;0,"Loss","Profit")</f>
        <v>Profit</v>
      </c>
    </row>
    <row r="349" spans="1:14" ht="15.6" x14ac:dyDescent="0.3">
      <c r="A349" s="31" t="s">
        <v>499</v>
      </c>
      <c r="B349" s="33">
        <v>45569</v>
      </c>
      <c r="C349" s="33">
        <v>45579</v>
      </c>
      <c r="D349" s="54" t="s">
        <v>1255</v>
      </c>
      <c r="E349" s="38" t="s">
        <v>1513</v>
      </c>
      <c r="F349" s="40" t="s">
        <v>1517</v>
      </c>
      <c r="G349" s="40" t="s">
        <v>1520</v>
      </c>
      <c r="H349" s="40" t="s">
        <v>1524</v>
      </c>
      <c r="I349" s="40" t="s">
        <v>2002</v>
      </c>
      <c r="J349" s="46">
        <v>2440.5100000000002</v>
      </c>
      <c r="K349" s="3">
        <v>9</v>
      </c>
      <c r="L349" s="43">
        <v>0.05</v>
      </c>
      <c r="M349" s="48">
        <v>440.51</v>
      </c>
      <c r="N349" s="48" t="str">
        <f>IF(Table3[[#This Row],[Profit]]&lt;0,"Loss","Profit")</f>
        <v>Profit</v>
      </c>
    </row>
    <row r="350" spans="1:14" ht="15.6" x14ac:dyDescent="0.3">
      <c r="A350" s="31" t="s">
        <v>254</v>
      </c>
      <c r="B350" s="33">
        <v>45575</v>
      </c>
      <c r="C350" s="33">
        <v>45579</v>
      </c>
      <c r="D350" s="54" t="s">
        <v>1018</v>
      </c>
      <c r="E350" s="38" t="s">
        <v>1514</v>
      </c>
      <c r="F350" s="40" t="s">
        <v>1519</v>
      </c>
      <c r="G350" s="40" t="s">
        <v>1520</v>
      </c>
      <c r="H350" s="40" t="s">
        <v>1524</v>
      </c>
      <c r="I350" s="40" t="s">
        <v>1770</v>
      </c>
      <c r="J350" s="46">
        <v>4788.82</v>
      </c>
      <c r="K350" s="3">
        <v>5</v>
      </c>
      <c r="L350" s="43">
        <v>0.2</v>
      </c>
      <c r="M350" s="48">
        <v>-171.56</v>
      </c>
      <c r="N350" s="48" t="str">
        <f>IF(Table3[[#This Row],[Profit]]&lt;0,"Loss","Profit")</f>
        <v>Loss</v>
      </c>
    </row>
    <row r="351" spans="1:14" ht="15.6" x14ac:dyDescent="0.3">
      <c r="A351" s="31" t="s">
        <v>541</v>
      </c>
      <c r="B351" s="33">
        <v>45579</v>
      </c>
      <c r="C351" s="33">
        <v>45582</v>
      </c>
      <c r="D351" s="54" t="s">
        <v>2257</v>
      </c>
      <c r="E351" s="38" t="s">
        <v>1513</v>
      </c>
      <c r="F351" s="40" t="s">
        <v>1518</v>
      </c>
      <c r="G351" s="40" t="s">
        <v>1521</v>
      </c>
      <c r="H351" s="40" t="s">
        <v>1530</v>
      </c>
      <c r="I351" s="40" t="s">
        <v>2041</v>
      </c>
      <c r="J351" s="46">
        <v>2853.47</v>
      </c>
      <c r="K351" s="3">
        <v>10</v>
      </c>
      <c r="L351" s="43">
        <v>0.2</v>
      </c>
      <c r="M351" s="48">
        <v>798.14</v>
      </c>
      <c r="N351" s="48" t="str">
        <f>IF(Table3[[#This Row],[Profit]]&lt;0,"Loss","Profit")</f>
        <v>Profit</v>
      </c>
    </row>
    <row r="352" spans="1:14" ht="15.6" x14ac:dyDescent="0.3">
      <c r="A352" s="31" t="s">
        <v>557</v>
      </c>
      <c r="B352" s="33">
        <v>45573</v>
      </c>
      <c r="C352" s="33">
        <v>45583</v>
      </c>
      <c r="D352" s="54" t="s">
        <v>1311</v>
      </c>
      <c r="E352" s="38" t="s">
        <v>1515</v>
      </c>
      <c r="F352" s="40" t="s">
        <v>1518</v>
      </c>
      <c r="G352" s="40" t="s">
        <v>1520</v>
      </c>
      <c r="H352" s="40" t="s">
        <v>1523</v>
      </c>
      <c r="I352" s="40" t="s">
        <v>2057</v>
      </c>
      <c r="J352" s="46">
        <v>2719.47</v>
      </c>
      <c r="K352" s="3">
        <v>1</v>
      </c>
      <c r="L352" s="43">
        <v>0.2</v>
      </c>
      <c r="M352" s="48">
        <v>427.17</v>
      </c>
      <c r="N352" s="48" t="str">
        <f>IF(Table3[[#This Row],[Profit]]&lt;0,"Loss","Profit")</f>
        <v>Profit</v>
      </c>
    </row>
    <row r="353" spans="1:14" ht="15.6" x14ac:dyDescent="0.3">
      <c r="A353" s="31" t="s">
        <v>306</v>
      </c>
      <c r="B353" s="33" t="s">
        <v>770</v>
      </c>
      <c r="C353" s="33">
        <v>45587</v>
      </c>
      <c r="D353" s="54" t="s">
        <v>1068</v>
      </c>
      <c r="E353" s="38" t="s">
        <v>1514</v>
      </c>
      <c r="F353" s="40" t="s">
        <v>1518</v>
      </c>
      <c r="G353" s="40" t="s">
        <v>1521</v>
      </c>
      <c r="H353" s="40" t="s">
        <v>1528</v>
      </c>
      <c r="I353" s="40" t="s">
        <v>1819</v>
      </c>
      <c r="J353" s="46">
        <v>3285.99</v>
      </c>
      <c r="K353" s="3">
        <v>1</v>
      </c>
      <c r="L353" s="43">
        <v>0</v>
      </c>
      <c r="M353" s="48">
        <v>75.260000000000005</v>
      </c>
      <c r="N353" s="48" t="str">
        <f>IF(Table3[[#This Row],[Profit]]&lt;0,"Loss","Profit")</f>
        <v>Profit</v>
      </c>
    </row>
    <row r="354" spans="1:14" ht="15.6" x14ac:dyDescent="0.3">
      <c r="A354" s="31" t="s">
        <v>190</v>
      </c>
      <c r="B354" s="33">
        <v>45582</v>
      </c>
      <c r="C354" s="33">
        <v>45589</v>
      </c>
      <c r="D354" s="54" t="s">
        <v>858</v>
      </c>
      <c r="E354" s="38" t="s">
        <v>1513</v>
      </c>
      <c r="F354" s="40" t="s">
        <v>1519</v>
      </c>
      <c r="G354" s="40" t="s">
        <v>1520</v>
      </c>
      <c r="H354" s="40" t="s">
        <v>1525</v>
      </c>
      <c r="I354" s="40" t="s">
        <v>1707</v>
      </c>
      <c r="J354" s="46">
        <v>2567.02</v>
      </c>
      <c r="K354" s="3">
        <v>1</v>
      </c>
      <c r="L354" s="43">
        <v>0.1</v>
      </c>
      <c r="M354" s="48">
        <v>-77.33</v>
      </c>
      <c r="N354" s="48" t="str">
        <f>IF(Table3[[#This Row],[Profit]]&lt;0,"Loss","Profit")</f>
        <v>Loss</v>
      </c>
    </row>
    <row r="355" spans="1:14" ht="15.6" x14ac:dyDescent="0.3">
      <c r="A355" s="31" t="s">
        <v>156</v>
      </c>
      <c r="B355" s="33">
        <v>45583</v>
      </c>
      <c r="C355" s="33">
        <v>45591</v>
      </c>
      <c r="D355" s="54" t="s">
        <v>923</v>
      </c>
      <c r="E355" s="38" t="s">
        <v>1514</v>
      </c>
      <c r="F355" s="40" t="s">
        <v>1517</v>
      </c>
      <c r="G355" s="40" t="s">
        <v>1520</v>
      </c>
      <c r="H355" s="40" t="s">
        <v>1523</v>
      </c>
      <c r="I355" s="40" t="s">
        <v>1674</v>
      </c>
      <c r="J355" s="46">
        <v>3576.39</v>
      </c>
      <c r="K355" s="3">
        <v>8</v>
      </c>
      <c r="L355" s="43">
        <v>0</v>
      </c>
      <c r="M355" s="48">
        <v>1053.5899999999999</v>
      </c>
      <c r="N355" s="48" t="str">
        <f>IF(Table3[[#This Row],[Profit]]&lt;0,"Loss","Profit")</f>
        <v>Profit</v>
      </c>
    </row>
    <row r="356" spans="1:14" ht="15.6" x14ac:dyDescent="0.3">
      <c r="A356" s="31" t="s">
        <v>425</v>
      </c>
      <c r="B356" s="33">
        <v>45588</v>
      </c>
      <c r="C356" s="33">
        <v>45592</v>
      </c>
      <c r="D356" s="54" t="s">
        <v>1182</v>
      </c>
      <c r="E356" s="38" t="s">
        <v>1515</v>
      </c>
      <c r="F356" s="40" t="s">
        <v>1519</v>
      </c>
      <c r="G356" s="40" t="s">
        <v>1522</v>
      </c>
      <c r="H356" s="40" t="s">
        <v>1529</v>
      </c>
      <c r="I356" s="40" t="s">
        <v>1932</v>
      </c>
      <c r="J356" s="46">
        <v>4873.2700000000004</v>
      </c>
      <c r="K356" s="3">
        <v>7</v>
      </c>
      <c r="L356" s="43">
        <v>0.2</v>
      </c>
      <c r="M356" s="48">
        <v>510.53</v>
      </c>
      <c r="N356" s="48" t="str">
        <f>IF(Table3[[#This Row],[Profit]]&lt;0,"Loss","Profit")</f>
        <v>Profit</v>
      </c>
    </row>
    <row r="357" spans="1:14" ht="15.6" x14ac:dyDescent="0.3">
      <c r="A357" s="31" t="s">
        <v>380</v>
      </c>
      <c r="B357" s="33">
        <v>45586</v>
      </c>
      <c r="C357" s="33">
        <v>45595</v>
      </c>
      <c r="D357" s="54" t="s">
        <v>1138</v>
      </c>
      <c r="E357" s="38" t="s">
        <v>1513</v>
      </c>
      <c r="F357" s="40" t="s">
        <v>1519</v>
      </c>
      <c r="G357" s="40" t="s">
        <v>1521</v>
      </c>
      <c r="H357" s="40" t="s">
        <v>1526</v>
      </c>
      <c r="I357" s="40" t="s">
        <v>1890</v>
      </c>
      <c r="J357" s="46">
        <v>1832.61</v>
      </c>
      <c r="K357" s="3">
        <v>8</v>
      </c>
      <c r="L357" s="43">
        <v>0.2</v>
      </c>
      <c r="M357" s="48">
        <v>-198.32</v>
      </c>
      <c r="N357" s="48" t="str">
        <f>IF(Table3[[#This Row],[Profit]]&lt;0,"Loss","Profit")</f>
        <v>Loss</v>
      </c>
    </row>
    <row r="358" spans="1:14" ht="15.6" x14ac:dyDescent="0.3">
      <c r="A358" s="31" t="s">
        <v>204</v>
      </c>
      <c r="B358" s="33">
        <v>45596</v>
      </c>
      <c r="C358" s="33">
        <v>45597</v>
      </c>
      <c r="D358" s="54" t="s">
        <v>969</v>
      </c>
      <c r="E358" s="38" t="s">
        <v>1515</v>
      </c>
      <c r="F358" s="40" t="s">
        <v>1516</v>
      </c>
      <c r="G358" s="40" t="s">
        <v>1521</v>
      </c>
      <c r="H358" s="40" t="s">
        <v>1526</v>
      </c>
      <c r="I358" s="40" t="s">
        <v>1721</v>
      </c>
      <c r="J358" s="46">
        <v>3093.31</v>
      </c>
      <c r="K358" s="3">
        <v>4</v>
      </c>
      <c r="L358" s="43">
        <v>0.2</v>
      </c>
      <c r="M358" s="48">
        <v>90.05</v>
      </c>
      <c r="N358" s="48" t="str">
        <f>IF(Table3[[#This Row],[Profit]]&lt;0,"Loss","Profit")</f>
        <v>Profit</v>
      </c>
    </row>
    <row r="359" spans="1:14" ht="15.6" x14ac:dyDescent="0.3">
      <c r="A359" s="31" t="s">
        <v>559</v>
      </c>
      <c r="B359" s="33">
        <v>45595</v>
      </c>
      <c r="C359" s="33">
        <v>45600</v>
      </c>
      <c r="D359" s="54" t="s">
        <v>1313</v>
      </c>
      <c r="E359" s="38" t="s">
        <v>1515</v>
      </c>
      <c r="F359" s="40" t="s">
        <v>1518</v>
      </c>
      <c r="G359" s="40" t="s">
        <v>1521</v>
      </c>
      <c r="H359" s="40" t="s">
        <v>1530</v>
      </c>
      <c r="I359" s="40" t="s">
        <v>2059</v>
      </c>
      <c r="J359" s="46">
        <v>2411.85</v>
      </c>
      <c r="K359" s="3">
        <v>4</v>
      </c>
      <c r="L359" s="43">
        <v>0</v>
      </c>
      <c r="M359" s="48">
        <v>-106.61</v>
      </c>
      <c r="N359" s="48" t="str">
        <f>IF(Table3[[#This Row],[Profit]]&lt;0,"Loss","Profit")</f>
        <v>Loss</v>
      </c>
    </row>
    <row r="360" spans="1:14" ht="15.6" x14ac:dyDescent="0.3">
      <c r="A360" s="31" t="s">
        <v>296</v>
      </c>
      <c r="B360" s="33">
        <v>45596</v>
      </c>
      <c r="C360" s="33">
        <v>45602</v>
      </c>
      <c r="D360" s="54" t="s">
        <v>2273</v>
      </c>
      <c r="E360" s="38" t="s">
        <v>1515</v>
      </c>
      <c r="F360" s="40" t="s">
        <v>1517</v>
      </c>
      <c r="G360" s="40" t="s">
        <v>1520</v>
      </c>
      <c r="H360" s="40" t="s">
        <v>1524</v>
      </c>
      <c r="I360" s="40" t="s">
        <v>1698</v>
      </c>
      <c r="J360" s="46">
        <v>4575.9399999999996</v>
      </c>
      <c r="K360" s="3">
        <v>6</v>
      </c>
      <c r="L360" s="43">
        <v>0.1</v>
      </c>
      <c r="M360" s="48">
        <v>126.58</v>
      </c>
      <c r="N360" s="48" t="str">
        <f>IF(Table3[[#This Row],[Profit]]&lt;0,"Loss","Profit")</f>
        <v>Profit</v>
      </c>
    </row>
    <row r="361" spans="1:14" ht="15.6" x14ac:dyDescent="0.3">
      <c r="A361" s="31" t="s">
        <v>350</v>
      </c>
      <c r="B361" s="33">
        <v>45597</v>
      </c>
      <c r="C361" s="33">
        <v>45605</v>
      </c>
      <c r="D361" s="54" t="s">
        <v>1109</v>
      </c>
      <c r="E361" s="38" t="s">
        <v>1513</v>
      </c>
      <c r="F361" s="40" t="s">
        <v>1517</v>
      </c>
      <c r="G361" s="40" t="s">
        <v>1521</v>
      </c>
      <c r="H361" s="40" t="s">
        <v>1530</v>
      </c>
      <c r="I361" s="40" t="s">
        <v>1861</v>
      </c>
      <c r="J361" s="46">
        <v>1350.94</v>
      </c>
      <c r="K361" s="3">
        <v>2</v>
      </c>
      <c r="L361" s="43">
        <v>0.15</v>
      </c>
      <c r="M361" s="48">
        <v>372.74</v>
      </c>
      <c r="N361" s="48" t="str">
        <f>IF(Table3[[#This Row],[Profit]]&lt;0,"Loss","Profit")</f>
        <v>Profit</v>
      </c>
    </row>
    <row r="362" spans="1:14" ht="15.6" x14ac:dyDescent="0.3">
      <c r="A362" s="31" t="s">
        <v>382</v>
      </c>
      <c r="B362" s="33">
        <v>45599</v>
      </c>
      <c r="C362" s="33">
        <v>45605</v>
      </c>
      <c r="D362" s="54" t="s">
        <v>1140</v>
      </c>
      <c r="E362" s="38" t="s">
        <v>1513</v>
      </c>
      <c r="F362" s="40" t="s">
        <v>1518</v>
      </c>
      <c r="G362" s="40" t="s">
        <v>1522</v>
      </c>
      <c r="H362" s="40" t="s">
        <v>1529</v>
      </c>
      <c r="I362" s="40" t="s">
        <v>1892</v>
      </c>
      <c r="J362" s="46">
        <v>1945.75</v>
      </c>
      <c r="K362" s="3">
        <v>3</v>
      </c>
      <c r="L362" s="43">
        <v>0.05</v>
      </c>
      <c r="M362" s="48">
        <v>607.34</v>
      </c>
      <c r="N362" s="48" t="str">
        <f>IF(Table3[[#This Row],[Profit]]&lt;0,"Loss","Profit")</f>
        <v>Profit</v>
      </c>
    </row>
    <row r="363" spans="1:14" ht="15.6" x14ac:dyDescent="0.3">
      <c r="A363" s="31" t="s">
        <v>142</v>
      </c>
      <c r="B363" s="33">
        <v>45601</v>
      </c>
      <c r="C363" s="33">
        <v>45608</v>
      </c>
      <c r="D363" s="54" t="s">
        <v>910</v>
      </c>
      <c r="E363" s="38" t="s">
        <v>1514</v>
      </c>
      <c r="F363" s="40" t="s">
        <v>1516</v>
      </c>
      <c r="G363" s="40" t="s">
        <v>1522</v>
      </c>
      <c r="H363" s="40" t="s">
        <v>1527</v>
      </c>
      <c r="I363" s="40" t="s">
        <v>1660</v>
      </c>
      <c r="J363" s="46">
        <v>4837.99</v>
      </c>
      <c r="K363" s="3">
        <v>9</v>
      </c>
      <c r="L363" s="43">
        <v>0.1</v>
      </c>
      <c r="M363" s="48">
        <v>-727.31</v>
      </c>
      <c r="N363" s="48" t="str">
        <f>IF(Table3[[#This Row],[Profit]]&lt;0,"Loss","Profit")</f>
        <v>Loss</v>
      </c>
    </row>
    <row r="364" spans="1:14" ht="15.6" x14ac:dyDescent="0.3">
      <c r="A364" s="31" t="s">
        <v>445</v>
      </c>
      <c r="B364" s="33">
        <v>45604</v>
      </c>
      <c r="C364" s="33">
        <v>45608</v>
      </c>
      <c r="D364" s="54" t="s">
        <v>1202</v>
      </c>
      <c r="E364" s="38" t="s">
        <v>1514</v>
      </c>
      <c r="F364" s="40" t="s">
        <v>1517</v>
      </c>
      <c r="G364" s="40" t="s">
        <v>1522</v>
      </c>
      <c r="H364" s="40" t="s">
        <v>1531</v>
      </c>
      <c r="I364" s="40" t="s">
        <v>1951</v>
      </c>
      <c r="J364" s="46">
        <v>4193.03</v>
      </c>
      <c r="K364" s="3">
        <v>4</v>
      </c>
      <c r="L364" s="43">
        <v>0</v>
      </c>
      <c r="M364" s="48">
        <v>214.04</v>
      </c>
      <c r="N364" s="48" t="str">
        <f>IF(Table3[[#This Row],[Profit]]&lt;0,"Loss","Profit")</f>
        <v>Profit</v>
      </c>
    </row>
    <row r="365" spans="1:14" ht="15.6" x14ac:dyDescent="0.3">
      <c r="A365" s="31" t="s">
        <v>591</v>
      </c>
      <c r="B365" s="33">
        <v>45604</v>
      </c>
      <c r="C365" s="33">
        <v>45609</v>
      </c>
      <c r="D365" s="54" t="s">
        <v>1345</v>
      </c>
      <c r="E365" s="38" t="s">
        <v>1514</v>
      </c>
      <c r="F365" s="40" t="s">
        <v>1519</v>
      </c>
      <c r="G365" s="40" t="s">
        <v>1522</v>
      </c>
      <c r="H365" s="40" t="s">
        <v>1531</v>
      </c>
      <c r="I365" s="40" t="s">
        <v>2090</v>
      </c>
      <c r="J365" s="46">
        <v>2408.87</v>
      </c>
      <c r="K365" s="3">
        <v>2</v>
      </c>
      <c r="L365" s="43">
        <v>0.15</v>
      </c>
      <c r="M365" s="48">
        <v>504.72</v>
      </c>
      <c r="N365" s="48" t="str">
        <f>IF(Table3[[#This Row],[Profit]]&lt;0,"Loss","Profit")</f>
        <v>Profit</v>
      </c>
    </row>
    <row r="366" spans="1:14" ht="15.6" x14ac:dyDescent="0.3">
      <c r="A366" s="31" t="s">
        <v>265</v>
      </c>
      <c r="B366" s="33">
        <v>45608</v>
      </c>
      <c r="C366" s="33">
        <v>45609</v>
      </c>
      <c r="D366" s="54" t="s">
        <v>1028</v>
      </c>
      <c r="E366" s="38" t="s">
        <v>1513</v>
      </c>
      <c r="F366" s="40" t="s">
        <v>1517</v>
      </c>
      <c r="G366" s="40" t="s">
        <v>1520</v>
      </c>
      <c r="H366" s="40" t="s">
        <v>1523</v>
      </c>
      <c r="I366" s="40" t="s">
        <v>1781</v>
      </c>
      <c r="J366" s="46">
        <v>3696.26</v>
      </c>
      <c r="K366" s="3">
        <v>5</v>
      </c>
      <c r="L366" s="43">
        <v>0.2</v>
      </c>
      <c r="M366" s="48">
        <v>631.77</v>
      </c>
      <c r="N366" s="48" t="str">
        <f>IF(Table3[[#This Row],[Profit]]&lt;0,"Loss","Profit")</f>
        <v>Profit</v>
      </c>
    </row>
    <row r="367" spans="1:14" ht="15.6" x14ac:dyDescent="0.3">
      <c r="A367" s="31" t="s">
        <v>733</v>
      </c>
      <c r="B367" s="33">
        <v>45606</v>
      </c>
      <c r="C367" s="33">
        <v>45613</v>
      </c>
      <c r="D367" s="54" t="s">
        <v>1485</v>
      </c>
      <c r="E367" s="38" t="s">
        <v>1515</v>
      </c>
      <c r="F367" s="40" t="s">
        <v>1518</v>
      </c>
      <c r="G367" s="40" t="s">
        <v>1521</v>
      </c>
      <c r="H367" s="40" t="s">
        <v>1526</v>
      </c>
      <c r="I367" s="40" t="s">
        <v>2219</v>
      </c>
      <c r="J367" s="46">
        <v>2748.34</v>
      </c>
      <c r="K367" s="3">
        <v>3</v>
      </c>
      <c r="L367" s="43">
        <v>0.15</v>
      </c>
      <c r="M367" s="48">
        <v>-339.45</v>
      </c>
      <c r="N367" s="48" t="str">
        <f>IF(Table3[[#This Row],[Profit]]&lt;0,"Loss","Profit")</f>
        <v>Loss</v>
      </c>
    </row>
    <row r="368" spans="1:14" ht="15.6" x14ac:dyDescent="0.3">
      <c r="A368" s="31" t="s">
        <v>392</v>
      </c>
      <c r="B368" s="33">
        <v>45608</v>
      </c>
      <c r="C368" s="33">
        <v>45614</v>
      </c>
      <c r="D368" s="54" t="s">
        <v>1150</v>
      </c>
      <c r="E368" s="38" t="s">
        <v>1513</v>
      </c>
      <c r="F368" s="40" t="s">
        <v>1517</v>
      </c>
      <c r="G368" s="40" t="s">
        <v>1520</v>
      </c>
      <c r="H368" s="40" t="s">
        <v>1525</v>
      </c>
      <c r="I368" s="40" t="s">
        <v>1902</v>
      </c>
      <c r="J368" s="46">
        <v>1624.39</v>
      </c>
      <c r="K368" s="3">
        <v>5</v>
      </c>
      <c r="L368" s="43">
        <v>0.05</v>
      </c>
      <c r="M368" s="48">
        <v>-258.14999999999998</v>
      </c>
      <c r="N368" s="48" t="str">
        <f>IF(Table3[[#This Row],[Profit]]&lt;0,"Loss","Profit")</f>
        <v>Loss</v>
      </c>
    </row>
    <row r="369" spans="1:14" ht="15.6" x14ac:dyDescent="0.3">
      <c r="A369" s="31" t="s">
        <v>715</v>
      </c>
      <c r="B369" s="33">
        <v>45614</v>
      </c>
      <c r="C369" s="33">
        <v>45619</v>
      </c>
      <c r="D369" s="54" t="s">
        <v>1467</v>
      </c>
      <c r="E369" s="38" t="s">
        <v>1513</v>
      </c>
      <c r="F369" s="40" t="s">
        <v>1516</v>
      </c>
      <c r="G369" s="40" t="s">
        <v>1522</v>
      </c>
      <c r="H369" s="40" t="s">
        <v>1531</v>
      </c>
      <c r="I369" s="40" t="s">
        <v>2158</v>
      </c>
      <c r="J369" s="46">
        <v>3085.65</v>
      </c>
      <c r="K369" s="3">
        <v>6</v>
      </c>
      <c r="L369" s="43">
        <v>0.2</v>
      </c>
      <c r="M369" s="48">
        <v>135.79</v>
      </c>
      <c r="N369" s="48" t="str">
        <f>IF(Table3[[#This Row],[Profit]]&lt;0,"Loss","Profit")</f>
        <v>Profit</v>
      </c>
    </row>
    <row r="370" spans="1:14" ht="15.6" x14ac:dyDescent="0.3">
      <c r="A370" s="31" t="s">
        <v>560</v>
      </c>
      <c r="B370" s="33">
        <v>45622</v>
      </c>
      <c r="C370" s="33">
        <v>45623</v>
      </c>
      <c r="D370" s="54" t="s">
        <v>1314</v>
      </c>
      <c r="E370" s="38" t="s">
        <v>1515</v>
      </c>
      <c r="F370" s="40" t="s">
        <v>1516</v>
      </c>
      <c r="G370" s="40" t="s">
        <v>1521</v>
      </c>
      <c r="H370" s="40" t="s">
        <v>1530</v>
      </c>
      <c r="I370" s="40" t="s">
        <v>2060</v>
      </c>
      <c r="J370" s="46">
        <v>3560.29</v>
      </c>
      <c r="K370" s="3">
        <v>1</v>
      </c>
      <c r="L370" s="43">
        <v>0.2</v>
      </c>
      <c r="M370" s="48">
        <v>311.16000000000003</v>
      </c>
      <c r="N370" s="48" t="str">
        <f>IF(Table3[[#This Row],[Profit]]&lt;0,"Loss","Profit")</f>
        <v>Profit</v>
      </c>
    </row>
    <row r="371" spans="1:14" ht="15.6" x14ac:dyDescent="0.3">
      <c r="A371" s="31" t="s">
        <v>90</v>
      </c>
      <c r="B371" s="33">
        <v>45614</v>
      </c>
      <c r="C371" s="33">
        <v>45624</v>
      </c>
      <c r="D371" s="54" t="s">
        <v>859</v>
      </c>
      <c r="E371" s="38" t="s">
        <v>1514</v>
      </c>
      <c r="F371" s="40" t="s">
        <v>1517</v>
      </c>
      <c r="G371" s="40" t="s">
        <v>1521</v>
      </c>
      <c r="H371" s="40" t="s">
        <v>1526</v>
      </c>
      <c r="I371" s="40" t="s">
        <v>1609</v>
      </c>
      <c r="J371" s="46">
        <v>1378.56</v>
      </c>
      <c r="K371" s="3">
        <v>4</v>
      </c>
      <c r="L371" s="43">
        <v>0</v>
      </c>
      <c r="M371" s="48">
        <v>-64.23</v>
      </c>
      <c r="N371" s="48" t="str">
        <f>IF(Table3[[#This Row],[Profit]]&lt;0,"Loss","Profit")</f>
        <v>Loss</v>
      </c>
    </row>
    <row r="372" spans="1:14" ht="15.6" x14ac:dyDescent="0.3">
      <c r="A372" s="31" t="s">
        <v>581</v>
      </c>
      <c r="B372" s="33">
        <v>45617</v>
      </c>
      <c r="C372" s="33">
        <v>45625</v>
      </c>
      <c r="D372" s="54" t="s">
        <v>1335</v>
      </c>
      <c r="E372" s="38" t="s">
        <v>1514</v>
      </c>
      <c r="F372" s="40" t="s">
        <v>1519</v>
      </c>
      <c r="G372" s="40" t="s">
        <v>1520</v>
      </c>
      <c r="H372" s="40" t="s">
        <v>1525</v>
      </c>
      <c r="I372" s="40" t="s">
        <v>2081</v>
      </c>
      <c r="J372" s="46">
        <v>3088.44</v>
      </c>
      <c r="K372" s="3">
        <v>9</v>
      </c>
      <c r="L372" s="43">
        <v>0</v>
      </c>
      <c r="M372" s="48">
        <v>822.78</v>
      </c>
      <c r="N372" s="48" t="str">
        <f>IF(Table3[[#This Row],[Profit]]&lt;0,"Loss","Profit")</f>
        <v>Profit</v>
      </c>
    </row>
    <row r="373" spans="1:14" ht="15.6" x14ac:dyDescent="0.3">
      <c r="A373" s="31" t="s">
        <v>330</v>
      </c>
      <c r="B373" s="33">
        <v>45619</v>
      </c>
      <c r="C373" s="33">
        <v>45625</v>
      </c>
      <c r="D373" s="54" t="s">
        <v>1090</v>
      </c>
      <c r="E373" s="38" t="s">
        <v>1515</v>
      </c>
      <c r="F373" s="40" t="s">
        <v>1518</v>
      </c>
      <c r="G373" s="40" t="s">
        <v>1522</v>
      </c>
      <c r="H373" s="40" t="s">
        <v>1527</v>
      </c>
      <c r="I373" s="40" t="s">
        <v>1841</v>
      </c>
      <c r="J373" s="46">
        <v>873.38</v>
      </c>
      <c r="K373" s="3">
        <v>10</v>
      </c>
      <c r="L373" s="43">
        <v>0</v>
      </c>
      <c r="M373" s="48">
        <v>95.87</v>
      </c>
      <c r="N373" s="48" t="str">
        <f>IF(Table3[[#This Row],[Profit]]&lt;0,"Loss","Profit")</f>
        <v>Profit</v>
      </c>
    </row>
    <row r="374" spans="1:14" ht="15.6" x14ac:dyDescent="0.3">
      <c r="A374" s="31" t="s">
        <v>114</v>
      </c>
      <c r="B374" s="33">
        <v>45625</v>
      </c>
      <c r="C374" s="33">
        <v>45627</v>
      </c>
      <c r="D374" s="54" t="s">
        <v>882</v>
      </c>
      <c r="E374" s="38" t="s">
        <v>1514</v>
      </c>
      <c r="F374" s="40" t="s">
        <v>1518</v>
      </c>
      <c r="G374" s="40" t="s">
        <v>1521</v>
      </c>
      <c r="H374" s="40" t="s">
        <v>1528</v>
      </c>
      <c r="I374" s="40" t="s">
        <v>1632</v>
      </c>
      <c r="J374" s="46">
        <v>4295.78</v>
      </c>
      <c r="K374" s="3">
        <v>6</v>
      </c>
      <c r="L374" s="43">
        <v>0.15</v>
      </c>
      <c r="M374" s="48">
        <v>779.77</v>
      </c>
      <c r="N374" s="48" t="str">
        <f>IF(Table3[[#This Row],[Profit]]&lt;0,"Loss","Profit")</f>
        <v>Profit</v>
      </c>
    </row>
    <row r="375" spans="1:14" ht="15.6" x14ac:dyDescent="0.3">
      <c r="A375" s="31" t="s">
        <v>252</v>
      </c>
      <c r="B375" s="33">
        <v>45620</v>
      </c>
      <c r="C375" s="33">
        <v>45629</v>
      </c>
      <c r="D375" s="54" t="s">
        <v>1016</v>
      </c>
      <c r="E375" s="38" t="s">
        <v>1514</v>
      </c>
      <c r="F375" s="40" t="s">
        <v>1519</v>
      </c>
      <c r="G375" s="40" t="s">
        <v>1520</v>
      </c>
      <c r="H375" s="40" t="s">
        <v>1523</v>
      </c>
      <c r="I375" s="40" t="s">
        <v>1768</v>
      </c>
      <c r="J375" s="46">
        <v>1076.3399999999999</v>
      </c>
      <c r="K375" s="3">
        <v>6</v>
      </c>
      <c r="L375" s="43">
        <v>0.2</v>
      </c>
      <c r="M375" s="48">
        <v>67.92</v>
      </c>
      <c r="N375" s="48" t="str">
        <f>IF(Table3[[#This Row],[Profit]]&lt;0,"Loss","Profit")</f>
        <v>Profit</v>
      </c>
    </row>
    <row r="376" spans="1:14" ht="15.6" x14ac:dyDescent="0.3">
      <c r="A376" s="31" t="s">
        <v>162</v>
      </c>
      <c r="B376" s="33">
        <v>45622</v>
      </c>
      <c r="C376" s="33">
        <v>45629</v>
      </c>
      <c r="D376" s="54" t="s">
        <v>929</v>
      </c>
      <c r="E376" s="38" t="s">
        <v>1514</v>
      </c>
      <c r="F376" s="40" t="s">
        <v>1519</v>
      </c>
      <c r="G376" s="40" t="s">
        <v>1520</v>
      </c>
      <c r="H376" s="40" t="s">
        <v>1523</v>
      </c>
      <c r="I376" s="40" t="s">
        <v>1680</v>
      </c>
      <c r="J376" s="46">
        <v>1800.31</v>
      </c>
      <c r="K376" s="3">
        <v>7</v>
      </c>
      <c r="L376" s="43">
        <v>0.2</v>
      </c>
      <c r="M376" s="48">
        <v>-309.12</v>
      </c>
      <c r="N376" s="48" t="str">
        <f>IF(Table3[[#This Row],[Profit]]&lt;0,"Loss","Profit")</f>
        <v>Loss</v>
      </c>
    </row>
    <row r="377" spans="1:14" ht="15.6" x14ac:dyDescent="0.3">
      <c r="A377" s="31" t="s">
        <v>337</v>
      </c>
      <c r="B377" s="33">
        <v>45623</v>
      </c>
      <c r="C377" s="33">
        <v>45630</v>
      </c>
      <c r="D377" s="54" t="s">
        <v>1097</v>
      </c>
      <c r="E377" s="38" t="s">
        <v>1513</v>
      </c>
      <c r="F377" s="40" t="s">
        <v>1518</v>
      </c>
      <c r="G377" s="40" t="s">
        <v>1521</v>
      </c>
      <c r="H377" s="40" t="s">
        <v>1528</v>
      </c>
      <c r="I377" s="40" t="s">
        <v>1848</v>
      </c>
      <c r="J377" s="46">
        <v>4794.3900000000003</v>
      </c>
      <c r="K377" s="3">
        <v>4</v>
      </c>
      <c r="L377" s="43">
        <v>0.15</v>
      </c>
      <c r="M377" s="48">
        <v>701.75</v>
      </c>
      <c r="N377" s="48" t="str">
        <f>IF(Table3[[#This Row],[Profit]]&lt;0,"Loss","Profit")</f>
        <v>Profit</v>
      </c>
    </row>
    <row r="378" spans="1:14" ht="15.6" x14ac:dyDescent="0.3">
      <c r="A378" s="31" t="s">
        <v>224</v>
      </c>
      <c r="B378" s="33">
        <v>45629</v>
      </c>
      <c r="C378" s="33">
        <v>45630</v>
      </c>
      <c r="D378" s="54" t="s">
        <v>2257</v>
      </c>
      <c r="E378" s="38" t="s">
        <v>1515</v>
      </c>
      <c r="F378" s="40" t="s">
        <v>1517</v>
      </c>
      <c r="G378" s="40" t="s">
        <v>1522</v>
      </c>
      <c r="H378" s="40" t="s">
        <v>1529</v>
      </c>
      <c r="I378" s="40" t="s">
        <v>1740</v>
      </c>
      <c r="J378" s="46">
        <v>1836.44</v>
      </c>
      <c r="K378" s="3">
        <v>10</v>
      </c>
      <c r="L378" s="43">
        <v>0.1</v>
      </c>
      <c r="M378" s="48">
        <v>104.81</v>
      </c>
      <c r="N378" s="48" t="str">
        <f>IF(Table3[[#This Row],[Profit]]&lt;0,"Loss","Profit")</f>
        <v>Profit</v>
      </c>
    </row>
    <row r="379" spans="1:14" ht="15.6" x14ac:dyDescent="0.3">
      <c r="A379" s="31" t="s">
        <v>740</v>
      </c>
      <c r="B379" s="33">
        <v>45630</v>
      </c>
      <c r="C379" s="33">
        <v>45632</v>
      </c>
      <c r="D379" s="54" t="s">
        <v>2274</v>
      </c>
      <c r="E379" s="38" t="s">
        <v>1515</v>
      </c>
      <c r="F379" s="40" t="s">
        <v>1516</v>
      </c>
      <c r="G379" s="40" t="s">
        <v>1521</v>
      </c>
      <c r="H379" s="40" t="s">
        <v>1528</v>
      </c>
      <c r="I379" s="40" t="s">
        <v>2225</v>
      </c>
      <c r="J379" s="46">
        <v>2640.62</v>
      </c>
      <c r="K379" s="3">
        <v>10</v>
      </c>
      <c r="L379" s="43">
        <v>0</v>
      </c>
      <c r="M379" s="48">
        <v>-171.96</v>
      </c>
      <c r="N379" s="48" t="str">
        <f>IF(Table3[[#This Row],[Profit]]&lt;0,"Loss","Profit")</f>
        <v>Loss</v>
      </c>
    </row>
    <row r="380" spans="1:14" ht="15.6" x14ac:dyDescent="0.3">
      <c r="A380" s="31" t="s">
        <v>537</v>
      </c>
      <c r="B380" s="33">
        <v>45633</v>
      </c>
      <c r="C380" s="33">
        <v>45635</v>
      </c>
      <c r="D380" s="54" t="s">
        <v>1292</v>
      </c>
      <c r="E380" s="38" t="s">
        <v>1515</v>
      </c>
      <c r="F380" s="40" t="s">
        <v>1518</v>
      </c>
      <c r="G380" s="40" t="s">
        <v>1521</v>
      </c>
      <c r="H380" s="40" t="s">
        <v>1528</v>
      </c>
      <c r="I380" s="40" t="s">
        <v>2037</v>
      </c>
      <c r="J380" s="46">
        <v>3650.76</v>
      </c>
      <c r="K380" s="3">
        <v>1</v>
      </c>
      <c r="L380" s="43">
        <v>0.2</v>
      </c>
      <c r="M380" s="48">
        <v>538.1</v>
      </c>
      <c r="N380" s="48" t="str">
        <f>IF(Table3[[#This Row],[Profit]]&lt;0,"Loss","Profit")</f>
        <v>Profit</v>
      </c>
    </row>
    <row r="381" spans="1:14" ht="15.6" x14ac:dyDescent="0.3">
      <c r="A381" s="31" t="s">
        <v>684</v>
      </c>
      <c r="B381" s="33">
        <v>45629</v>
      </c>
      <c r="C381" s="33">
        <v>45636</v>
      </c>
      <c r="D381" s="54" t="s">
        <v>1437</v>
      </c>
      <c r="E381" s="38" t="s">
        <v>1515</v>
      </c>
      <c r="F381" s="40" t="s">
        <v>1517</v>
      </c>
      <c r="G381" s="40" t="s">
        <v>1521</v>
      </c>
      <c r="H381" s="40" t="s">
        <v>1528</v>
      </c>
      <c r="I381" s="40" t="s">
        <v>2175</v>
      </c>
      <c r="J381" s="46">
        <v>267.33999999999997</v>
      </c>
      <c r="K381" s="3">
        <v>3</v>
      </c>
      <c r="L381" s="43">
        <v>0.1</v>
      </c>
      <c r="M381" s="48">
        <v>29.68</v>
      </c>
      <c r="N381" s="48" t="str">
        <f>IF(Table3[[#This Row],[Profit]]&lt;0,"Loss","Profit")</f>
        <v>Profit</v>
      </c>
    </row>
    <row r="382" spans="1:14" ht="15.6" x14ac:dyDescent="0.3">
      <c r="A382" s="31" t="s">
        <v>304</v>
      </c>
      <c r="B382" s="33">
        <v>45634</v>
      </c>
      <c r="C382" s="33">
        <v>45636</v>
      </c>
      <c r="D382" s="54" t="s">
        <v>1066</v>
      </c>
      <c r="E382" s="38" t="s">
        <v>1514</v>
      </c>
      <c r="F382" s="40" t="s">
        <v>1519</v>
      </c>
      <c r="G382" s="40" t="s">
        <v>1522</v>
      </c>
      <c r="H382" s="40" t="s">
        <v>1531</v>
      </c>
      <c r="I382" s="40" t="s">
        <v>1817</v>
      </c>
      <c r="J382" s="46">
        <v>2645.71</v>
      </c>
      <c r="K382" s="3">
        <v>4</v>
      </c>
      <c r="L382" s="43">
        <v>0.05</v>
      </c>
      <c r="M382" s="48">
        <v>372.73</v>
      </c>
      <c r="N382" s="48" t="str">
        <f>IF(Table3[[#This Row],[Profit]]&lt;0,"Loss","Profit")</f>
        <v>Profit</v>
      </c>
    </row>
    <row r="383" spans="1:14" ht="15.6" x14ac:dyDescent="0.3">
      <c r="A383" s="31" t="s">
        <v>488</v>
      </c>
      <c r="B383" s="33">
        <v>45627</v>
      </c>
      <c r="C383" s="33">
        <v>45637</v>
      </c>
      <c r="D383" s="54" t="s">
        <v>1244</v>
      </c>
      <c r="E383" s="38" t="s">
        <v>1514</v>
      </c>
      <c r="F383" s="40" t="s">
        <v>1517</v>
      </c>
      <c r="G383" s="40" t="s">
        <v>1522</v>
      </c>
      <c r="H383" s="40" t="s">
        <v>1527</v>
      </c>
      <c r="I383" s="40" t="s">
        <v>1991</v>
      </c>
      <c r="J383" s="46">
        <v>320.10000000000002</v>
      </c>
      <c r="K383" s="3">
        <v>3</v>
      </c>
      <c r="L383" s="43">
        <v>0.2</v>
      </c>
      <c r="M383" s="48">
        <v>85.42</v>
      </c>
      <c r="N383" s="48" t="str">
        <f>IF(Table3[[#This Row],[Profit]]&lt;0,"Loss","Profit")</f>
        <v>Profit</v>
      </c>
    </row>
    <row r="384" spans="1:14" ht="15.6" x14ac:dyDescent="0.3">
      <c r="A384" s="31" t="s">
        <v>309</v>
      </c>
      <c r="B384" s="33">
        <v>45636</v>
      </c>
      <c r="C384" s="33">
        <v>45638</v>
      </c>
      <c r="D384" s="54" t="s">
        <v>1071</v>
      </c>
      <c r="E384" s="38" t="s">
        <v>1513</v>
      </c>
      <c r="F384" s="40" t="s">
        <v>1517</v>
      </c>
      <c r="G384" s="40" t="s">
        <v>1521</v>
      </c>
      <c r="H384" s="40" t="s">
        <v>1530</v>
      </c>
      <c r="I384" s="40" t="s">
        <v>1822</v>
      </c>
      <c r="J384" s="46">
        <v>3437.92</v>
      </c>
      <c r="K384" s="3">
        <v>5</v>
      </c>
      <c r="L384" s="43">
        <v>0.2</v>
      </c>
      <c r="M384" s="48">
        <v>377.93</v>
      </c>
      <c r="N384" s="48" t="str">
        <f>IF(Table3[[#This Row],[Profit]]&lt;0,"Loss","Profit")</f>
        <v>Profit</v>
      </c>
    </row>
    <row r="385" spans="1:14" ht="15.6" x14ac:dyDescent="0.3">
      <c r="A385" s="31" t="s">
        <v>650</v>
      </c>
      <c r="B385" s="33">
        <v>45641</v>
      </c>
      <c r="C385" s="33">
        <v>45643</v>
      </c>
      <c r="D385" s="54" t="s">
        <v>1397</v>
      </c>
      <c r="E385" s="38" t="s">
        <v>1513</v>
      </c>
      <c r="F385" s="40" t="s">
        <v>1518</v>
      </c>
      <c r="G385" s="40" t="s">
        <v>1522</v>
      </c>
      <c r="H385" s="40" t="s">
        <v>1529</v>
      </c>
      <c r="I385" s="40" t="s">
        <v>2146</v>
      </c>
      <c r="J385" s="46">
        <v>2405.48</v>
      </c>
      <c r="K385" s="3">
        <v>1</v>
      </c>
      <c r="L385" s="43">
        <v>0.2</v>
      </c>
      <c r="M385" s="48">
        <v>47.04</v>
      </c>
      <c r="N385" s="48" t="str">
        <f>IF(Table3[[#This Row],[Profit]]&lt;0,"Loss","Profit")</f>
        <v>Profit</v>
      </c>
    </row>
    <row r="386" spans="1:14" ht="15.6" x14ac:dyDescent="0.3">
      <c r="A386" s="31" t="s">
        <v>115</v>
      </c>
      <c r="B386" s="33">
        <v>45636</v>
      </c>
      <c r="C386" s="33">
        <v>45644</v>
      </c>
      <c r="D386" s="54" t="s">
        <v>883</v>
      </c>
      <c r="E386" s="38" t="s">
        <v>1514</v>
      </c>
      <c r="F386" s="40" t="s">
        <v>1516</v>
      </c>
      <c r="G386" s="40" t="s">
        <v>1520</v>
      </c>
      <c r="H386" s="40" t="s">
        <v>1523</v>
      </c>
      <c r="I386" s="40" t="s">
        <v>1633</v>
      </c>
      <c r="J386" s="46">
        <v>485.9</v>
      </c>
      <c r="K386" s="3">
        <v>5</v>
      </c>
      <c r="L386" s="43">
        <v>0.1</v>
      </c>
      <c r="M386" s="48">
        <v>-66.2</v>
      </c>
      <c r="N386" s="48" t="str">
        <f>IF(Table3[[#This Row],[Profit]]&lt;0,"Loss","Profit")</f>
        <v>Loss</v>
      </c>
    </row>
    <row r="387" spans="1:14" ht="15.6" x14ac:dyDescent="0.3">
      <c r="A387" s="31" t="s">
        <v>322</v>
      </c>
      <c r="B387" s="33">
        <v>45635</v>
      </c>
      <c r="C387" s="33">
        <v>45645</v>
      </c>
      <c r="D387" s="54" t="s">
        <v>1082</v>
      </c>
      <c r="E387" s="38" t="s">
        <v>1515</v>
      </c>
      <c r="F387" s="40" t="s">
        <v>1518</v>
      </c>
      <c r="G387" s="40" t="s">
        <v>1521</v>
      </c>
      <c r="H387" s="40" t="s">
        <v>1526</v>
      </c>
      <c r="I387" s="40" t="s">
        <v>1833</v>
      </c>
      <c r="J387" s="46">
        <v>1930.46</v>
      </c>
      <c r="K387" s="3">
        <v>6</v>
      </c>
      <c r="L387" s="43">
        <v>0.15</v>
      </c>
      <c r="M387" s="48">
        <v>-30.68</v>
      </c>
      <c r="N387" s="48" t="str">
        <f>IF(Table3[[#This Row],[Profit]]&lt;0,"Loss","Profit")</f>
        <v>Loss</v>
      </c>
    </row>
    <row r="388" spans="1:14" ht="15.6" x14ac:dyDescent="0.3">
      <c r="A388" s="31" t="s">
        <v>701</v>
      </c>
      <c r="B388" s="33">
        <v>45638</v>
      </c>
      <c r="C388" s="33">
        <v>45646</v>
      </c>
      <c r="D388" s="54" t="s">
        <v>1453</v>
      </c>
      <c r="E388" s="38" t="s">
        <v>1513</v>
      </c>
      <c r="F388" s="40" t="s">
        <v>1518</v>
      </c>
      <c r="G388" s="40" t="s">
        <v>1521</v>
      </c>
      <c r="H388" s="40" t="s">
        <v>1526</v>
      </c>
      <c r="I388" s="40" t="s">
        <v>2190</v>
      </c>
      <c r="J388" s="46">
        <v>4585.01</v>
      </c>
      <c r="K388" s="3">
        <v>1</v>
      </c>
      <c r="L388" s="43">
        <v>0.2</v>
      </c>
      <c r="M388" s="48">
        <v>-574.66</v>
      </c>
      <c r="N388" s="48" t="str">
        <f>IF(Table3[[#This Row],[Profit]]&lt;0,"Loss","Profit")</f>
        <v>Loss</v>
      </c>
    </row>
    <row r="389" spans="1:14" ht="15.6" x14ac:dyDescent="0.3">
      <c r="A389" s="31" t="s">
        <v>201</v>
      </c>
      <c r="B389" s="33">
        <v>45644</v>
      </c>
      <c r="C389" s="33">
        <v>45649</v>
      </c>
      <c r="D389" s="54" t="s">
        <v>966</v>
      </c>
      <c r="E389" s="38" t="s">
        <v>1515</v>
      </c>
      <c r="F389" s="40" t="s">
        <v>1518</v>
      </c>
      <c r="G389" s="40" t="s">
        <v>1522</v>
      </c>
      <c r="H389" s="40" t="s">
        <v>1531</v>
      </c>
      <c r="I389" s="40" t="s">
        <v>1718</v>
      </c>
      <c r="J389" s="46">
        <v>1117.49</v>
      </c>
      <c r="K389" s="3">
        <v>3</v>
      </c>
      <c r="L389" s="43">
        <v>0.2</v>
      </c>
      <c r="M389" s="48">
        <v>354.38</v>
      </c>
      <c r="N389" s="48" t="str">
        <f>IF(Table3[[#This Row],[Profit]]&lt;0,"Loss","Profit")</f>
        <v>Profit</v>
      </c>
    </row>
    <row r="390" spans="1:14" ht="15.6" x14ac:dyDescent="0.3">
      <c r="A390" s="31" t="s">
        <v>38</v>
      </c>
      <c r="B390" s="33">
        <v>45647</v>
      </c>
      <c r="C390" s="33">
        <v>45649</v>
      </c>
      <c r="D390" s="54" t="s">
        <v>807</v>
      </c>
      <c r="E390" s="38" t="s">
        <v>1513</v>
      </c>
      <c r="F390" s="40" t="s">
        <v>1518</v>
      </c>
      <c r="G390" s="40" t="s">
        <v>1520</v>
      </c>
      <c r="H390" s="40" t="s">
        <v>1525</v>
      </c>
      <c r="I390" s="40" t="s">
        <v>1557</v>
      </c>
      <c r="J390" s="46">
        <v>350.03</v>
      </c>
      <c r="K390" s="3">
        <v>6</v>
      </c>
      <c r="L390" s="43">
        <v>0</v>
      </c>
      <c r="M390" s="48">
        <v>-22.14</v>
      </c>
      <c r="N390" s="48" t="str">
        <f>IF(Table3[[#This Row],[Profit]]&lt;0,"Loss","Profit")</f>
        <v>Loss</v>
      </c>
    </row>
    <row r="391" spans="1:14" ht="15.6" x14ac:dyDescent="0.3">
      <c r="A391" s="31" t="s">
        <v>648</v>
      </c>
      <c r="B391" s="33">
        <v>45647</v>
      </c>
      <c r="C391" s="33">
        <v>45650</v>
      </c>
      <c r="D391" s="54" t="s">
        <v>1402</v>
      </c>
      <c r="E391" s="38" t="s">
        <v>1515</v>
      </c>
      <c r="F391" s="40" t="s">
        <v>1518</v>
      </c>
      <c r="G391" s="40" t="s">
        <v>1520</v>
      </c>
      <c r="H391" s="40" t="s">
        <v>1525</v>
      </c>
      <c r="I391" s="40" t="s">
        <v>2144</v>
      </c>
      <c r="J391" s="46">
        <v>1667.82</v>
      </c>
      <c r="K391" s="3">
        <v>4</v>
      </c>
      <c r="L391" s="43">
        <v>0.05</v>
      </c>
      <c r="M391" s="48">
        <v>-287.22000000000003</v>
      </c>
      <c r="N391" s="48" t="str">
        <f>IF(Table3[[#This Row],[Profit]]&lt;0,"Loss","Profit")</f>
        <v>Loss</v>
      </c>
    </row>
    <row r="392" spans="1:14" ht="15.6" x14ac:dyDescent="0.3">
      <c r="A392" s="31" t="s">
        <v>478</v>
      </c>
      <c r="B392" s="33">
        <v>45644</v>
      </c>
      <c r="C392" s="33">
        <v>45653</v>
      </c>
      <c r="D392" s="54" t="s">
        <v>1235</v>
      </c>
      <c r="E392" s="38" t="s">
        <v>1514</v>
      </c>
      <c r="F392" s="40" t="s">
        <v>1519</v>
      </c>
      <c r="G392" s="40" t="s">
        <v>1522</v>
      </c>
      <c r="H392" s="40" t="s">
        <v>1531</v>
      </c>
      <c r="I392" s="40" t="s">
        <v>1981</v>
      </c>
      <c r="J392" s="46">
        <v>421.49</v>
      </c>
      <c r="K392" s="3">
        <v>2</v>
      </c>
      <c r="L392" s="43">
        <v>0.1</v>
      </c>
      <c r="M392" s="48">
        <v>65.069999999999993</v>
      </c>
      <c r="N392" s="48" t="str">
        <f>IF(Table3[[#This Row],[Profit]]&lt;0,"Loss","Profit")</f>
        <v>Profit</v>
      </c>
    </row>
    <row r="393" spans="1:14" ht="15.6" x14ac:dyDescent="0.3">
      <c r="A393" s="31" t="s">
        <v>657</v>
      </c>
      <c r="B393" s="33">
        <v>45644</v>
      </c>
      <c r="C393" s="33">
        <v>45653</v>
      </c>
      <c r="D393" s="54" t="s">
        <v>1410</v>
      </c>
      <c r="E393" s="38" t="s">
        <v>1515</v>
      </c>
      <c r="F393" s="40" t="s">
        <v>1518</v>
      </c>
      <c r="G393" s="40" t="s">
        <v>1522</v>
      </c>
      <c r="H393" s="40" t="s">
        <v>1527</v>
      </c>
      <c r="I393" s="40" t="s">
        <v>1838</v>
      </c>
      <c r="J393" s="46">
        <v>1098.78</v>
      </c>
      <c r="K393" s="3">
        <v>9</v>
      </c>
      <c r="L393" s="43">
        <v>0.2</v>
      </c>
      <c r="M393" s="48">
        <v>233.71</v>
      </c>
      <c r="N393" s="48" t="str">
        <f>IF(Table3[[#This Row],[Profit]]&lt;0,"Loss","Profit")</f>
        <v>Profit</v>
      </c>
    </row>
    <row r="394" spans="1:14" ht="15.6" x14ac:dyDescent="0.3">
      <c r="A394" s="31" t="s">
        <v>480</v>
      </c>
      <c r="B394" s="33">
        <v>45652</v>
      </c>
      <c r="C394" s="33">
        <v>45654</v>
      </c>
      <c r="D394" s="54" t="s">
        <v>1237</v>
      </c>
      <c r="E394" s="38" t="s">
        <v>1515</v>
      </c>
      <c r="F394" s="40" t="s">
        <v>1517</v>
      </c>
      <c r="G394" s="40" t="s">
        <v>1521</v>
      </c>
      <c r="H394" s="40" t="s">
        <v>1528</v>
      </c>
      <c r="I394" s="40" t="s">
        <v>1983</v>
      </c>
      <c r="J394" s="46">
        <v>520.24</v>
      </c>
      <c r="K394" s="3">
        <v>1</v>
      </c>
      <c r="L394" s="43">
        <v>0</v>
      </c>
      <c r="M394" s="48">
        <v>139.74</v>
      </c>
      <c r="N394" s="48" t="str">
        <f>IF(Table3[[#This Row],[Profit]]&lt;0,"Loss","Profit")</f>
        <v>Profit</v>
      </c>
    </row>
    <row r="395" spans="1:14" ht="15.6" x14ac:dyDescent="0.3">
      <c r="A395" s="31" t="s">
        <v>704</v>
      </c>
      <c r="B395" s="33">
        <v>45650</v>
      </c>
      <c r="C395" s="33">
        <v>45655</v>
      </c>
      <c r="D395" s="54" t="s">
        <v>1456</v>
      </c>
      <c r="E395" s="38" t="s">
        <v>1513</v>
      </c>
      <c r="F395" s="40" t="s">
        <v>1518</v>
      </c>
      <c r="G395" s="40" t="s">
        <v>1522</v>
      </c>
      <c r="H395" s="40" t="s">
        <v>1531</v>
      </c>
      <c r="I395" s="40" t="s">
        <v>2193</v>
      </c>
      <c r="J395" s="46">
        <v>4211.66</v>
      </c>
      <c r="K395" s="3">
        <v>6</v>
      </c>
      <c r="L395" s="43">
        <v>0.15</v>
      </c>
      <c r="M395" s="48">
        <v>608.92999999999995</v>
      </c>
      <c r="N395" s="48" t="str">
        <f>IF(Table3[[#This Row],[Profit]]&lt;0,"Loss","Profit")</f>
        <v>Profit</v>
      </c>
    </row>
    <row r="396" spans="1:14" ht="15.6" x14ac:dyDescent="0.3">
      <c r="A396" s="31" t="s">
        <v>383</v>
      </c>
      <c r="B396" s="33">
        <v>45652</v>
      </c>
      <c r="C396" s="33">
        <v>45656</v>
      </c>
      <c r="D396" s="54" t="s">
        <v>1141</v>
      </c>
      <c r="E396" s="38" t="s">
        <v>1515</v>
      </c>
      <c r="F396" s="40" t="s">
        <v>1519</v>
      </c>
      <c r="G396" s="40" t="s">
        <v>1522</v>
      </c>
      <c r="H396" s="40" t="s">
        <v>1529</v>
      </c>
      <c r="I396" s="40" t="s">
        <v>1893</v>
      </c>
      <c r="J396" s="46">
        <v>2110.4699999999998</v>
      </c>
      <c r="K396" s="3">
        <v>6</v>
      </c>
      <c r="L396" s="43">
        <v>0.1</v>
      </c>
      <c r="M396" s="48">
        <v>536.69000000000005</v>
      </c>
      <c r="N396" s="48" t="str">
        <f>IF(Table3[[#This Row],[Profit]]&lt;0,"Loss","Profit")</f>
        <v>Profit</v>
      </c>
    </row>
    <row r="397" spans="1:14" ht="15.6" x14ac:dyDescent="0.3">
      <c r="A397" s="31" t="s">
        <v>593</v>
      </c>
      <c r="B397" s="33">
        <v>45660</v>
      </c>
      <c r="C397" s="33">
        <v>45664</v>
      </c>
      <c r="D397" s="54" t="s">
        <v>1347</v>
      </c>
      <c r="E397" s="38" t="s">
        <v>1514</v>
      </c>
      <c r="F397" s="40" t="s">
        <v>1519</v>
      </c>
      <c r="G397" s="40" t="s">
        <v>1520</v>
      </c>
      <c r="H397" s="40" t="s">
        <v>1525</v>
      </c>
      <c r="I397" s="40" t="s">
        <v>2091</v>
      </c>
      <c r="J397" s="46">
        <v>2905.43</v>
      </c>
      <c r="K397" s="3">
        <v>9</v>
      </c>
      <c r="L397" s="43">
        <v>0.05</v>
      </c>
      <c r="M397" s="48">
        <v>983.94</v>
      </c>
      <c r="N397" s="48" t="str">
        <f>IF(Table3[[#This Row],[Profit]]&lt;0,"Loss","Profit")</f>
        <v>Profit</v>
      </c>
    </row>
    <row r="398" spans="1:14" ht="15.6" x14ac:dyDescent="0.3">
      <c r="A398" s="31" t="s">
        <v>32</v>
      </c>
      <c r="B398" s="33">
        <v>45662</v>
      </c>
      <c r="C398" s="33">
        <v>45665</v>
      </c>
      <c r="D398" s="54" t="s">
        <v>801</v>
      </c>
      <c r="E398" s="38" t="s">
        <v>1515</v>
      </c>
      <c r="F398" s="40" t="s">
        <v>1518</v>
      </c>
      <c r="G398" s="40" t="s">
        <v>1522</v>
      </c>
      <c r="H398" s="40" t="s">
        <v>1527</v>
      </c>
      <c r="I398" s="40" t="s">
        <v>1551</v>
      </c>
      <c r="J398" s="46">
        <v>685.54</v>
      </c>
      <c r="K398" s="3">
        <v>8</v>
      </c>
      <c r="L398" s="43">
        <v>0.2</v>
      </c>
      <c r="M398" s="48">
        <v>-74.849999999999994</v>
      </c>
      <c r="N398" s="48" t="str">
        <f>IF(Table3[[#This Row],[Profit]]&lt;0,"Loss","Profit")</f>
        <v>Loss</v>
      </c>
    </row>
    <row r="399" spans="1:14" ht="15.6" x14ac:dyDescent="0.3">
      <c r="A399" s="31" t="s">
        <v>595</v>
      </c>
      <c r="B399" s="33">
        <v>45662</v>
      </c>
      <c r="C399" s="33">
        <v>45665</v>
      </c>
      <c r="D399" s="54" t="s">
        <v>1349</v>
      </c>
      <c r="E399" s="38" t="s">
        <v>1515</v>
      </c>
      <c r="F399" s="40" t="s">
        <v>1518</v>
      </c>
      <c r="G399" s="40" t="s">
        <v>1520</v>
      </c>
      <c r="H399" s="40" t="s">
        <v>1523</v>
      </c>
      <c r="I399" s="40" t="s">
        <v>2093</v>
      </c>
      <c r="J399" s="46">
        <v>3220.87</v>
      </c>
      <c r="K399" s="3">
        <v>6</v>
      </c>
      <c r="L399" s="43">
        <v>0.15</v>
      </c>
      <c r="M399" s="48">
        <v>474.11</v>
      </c>
      <c r="N399" s="48" t="str">
        <f>IF(Table3[[#This Row],[Profit]]&lt;0,"Loss","Profit")</f>
        <v>Profit</v>
      </c>
    </row>
    <row r="400" spans="1:14" ht="15.6" x14ac:dyDescent="0.3">
      <c r="A400" s="31" t="s">
        <v>191</v>
      </c>
      <c r="B400" s="33">
        <v>45663</v>
      </c>
      <c r="C400" s="33">
        <v>45667</v>
      </c>
      <c r="D400" s="54" t="s">
        <v>956</v>
      </c>
      <c r="E400" s="38" t="s">
        <v>1513</v>
      </c>
      <c r="F400" s="40" t="s">
        <v>1516</v>
      </c>
      <c r="G400" s="40" t="s">
        <v>1521</v>
      </c>
      <c r="H400" s="40" t="s">
        <v>1530</v>
      </c>
      <c r="I400" s="40" t="s">
        <v>1708</v>
      </c>
      <c r="J400" s="46">
        <v>4999.88</v>
      </c>
      <c r="K400" s="3">
        <v>3</v>
      </c>
      <c r="L400" s="43">
        <v>0</v>
      </c>
      <c r="M400" s="48">
        <v>-186.57</v>
      </c>
      <c r="N400" s="48" t="str">
        <f>IF(Table3[[#This Row],[Profit]]&lt;0,"Loss","Profit")</f>
        <v>Loss</v>
      </c>
    </row>
    <row r="401" spans="1:14" ht="15.6" x14ac:dyDescent="0.3">
      <c r="A401" s="31" t="s">
        <v>134</v>
      </c>
      <c r="B401" s="33">
        <v>45662</v>
      </c>
      <c r="C401" s="33">
        <v>45668</v>
      </c>
      <c r="D401" s="54" t="s">
        <v>902</v>
      </c>
      <c r="E401" s="38" t="s">
        <v>1515</v>
      </c>
      <c r="F401" s="40" t="s">
        <v>1519</v>
      </c>
      <c r="G401" s="40" t="s">
        <v>1522</v>
      </c>
      <c r="H401" s="40" t="s">
        <v>1529</v>
      </c>
      <c r="I401" s="40" t="s">
        <v>1652</v>
      </c>
      <c r="J401" s="46">
        <v>4938.88</v>
      </c>
      <c r="K401" s="3">
        <v>5</v>
      </c>
      <c r="L401" s="43">
        <v>0.2</v>
      </c>
      <c r="M401" s="48">
        <v>1625.46</v>
      </c>
      <c r="N401" s="48" t="str">
        <f>IF(Table3[[#This Row],[Profit]]&lt;0,"Loss","Profit")</f>
        <v>Profit</v>
      </c>
    </row>
    <row r="402" spans="1:14" ht="15.6" x14ac:dyDescent="0.3">
      <c r="A402" s="31" t="s">
        <v>353</v>
      </c>
      <c r="B402" s="33">
        <v>45663</v>
      </c>
      <c r="C402" s="33">
        <v>45668</v>
      </c>
      <c r="D402" s="54" t="s">
        <v>1112</v>
      </c>
      <c r="E402" s="38" t="s">
        <v>1513</v>
      </c>
      <c r="F402" s="40" t="s">
        <v>1518</v>
      </c>
      <c r="G402" s="40" t="s">
        <v>1520</v>
      </c>
      <c r="H402" s="40" t="s">
        <v>1524</v>
      </c>
      <c r="I402" s="40" t="s">
        <v>1864</v>
      </c>
      <c r="J402" s="46">
        <v>2885.04</v>
      </c>
      <c r="K402" s="3">
        <v>9</v>
      </c>
      <c r="L402" s="43">
        <v>0.2</v>
      </c>
      <c r="M402" s="48">
        <v>716.5</v>
      </c>
      <c r="N402" s="48" t="str">
        <f>IF(Table3[[#This Row],[Profit]]&lt;0,"Loss","Profit")</f>
        <v>Profit</v>
      </c>
    </row>
    <row r="403" spans="1:14" ht="15.6" x14ac:dyDescent="0.3">
      <c r="A403" s="31" t="s">
        <v>662</v>
      </c>
      <c r="B403" s="33">
        <v>45660</v>
      </c>
      <c r="C403" s="33">
        <v>45669</v>
      </c>
      <c r="D403" s="54" t="s">
        <v>1415</v>
      </c>
      <c r="E403" s="38" t="s">
        <v>1513</v>
      </c>
      <c r="F403" s="40" t="s">
        <v>1519</v>
      </c>
      <c r="G403" s="40" t="s">
        <v>1522</v>
      </c>
      <c r="H403" s="40" t="s">
        <v>1531</v>
      </c>
      <c r="I403" s="40" t="s">
        <v>2156</v>
      </c>
      <c r="J403" s="46">
        <v>4835.62</v>
      </c>
      <c r="K403" s="3">
        <v>9</v>
      </c>
      <c r="L403" s="43">
        <v>0.2</v>
      </c>
      <c r="M403" s="48">
        <v>-909.97</v>
      </c>
      <c r="N403" s="48" t="str">
        <f>IF(Table3[[#This Row],[Profit]]&lt;0,"Loss","Profit")</f>
        <v>Loss</v>
      </c>
    </row>
    <row r="404" spans="1:14" ht="15.6" x14ac:dyDescent="0.3">
      <c r="A404" s="31" t="s">
        <v>683</v>
      </c>
      <c r="B404" s="33">
        <v>45664</v>
      </c>
      <c r="C404" s="33">
        <v>45670</v>
      </c>
      <c r="D404" s="54" t="s">
        <v>1436</v>
      </c>
      <c r="E404" s="38" t="s">
        <v>1515</v>
      </c>
      <c r="F404" s="40" t="s">
        <v>1517</v>
      </c>
      <c r="G404" s="40" t="s">
        <v>1520</v>
      </c>
      <c r="H404" s="40" t="s">
        <v>1524</v>
      </c>
      <c r="I404" s="40" t="s">
        <v>2174</v>
      </c>
      <c r="J404" s="46">
        <v>472.27</v>
      </c>
      <c r="K404" s="3">
        <v>7</v>
      </c>
      <c r="L404" s="43">
        <v>0.2</v>
      </c>
      <c r="M404" s="48">
        <v>111.02</v>
      </c>
      <c r="N404" s="48" t="str">
        <f>IF(Table3[[#This Row],[Profit]]&lt;0,"Loss","Profit")</f>
        <v>Profit</v>
      </c>
    </row>
    <row r="405" spans="1:14" ht="15.6" x14ac:dyDescent="0.3">
      <c r="A405" s="31" t="s">
        <v>699</v>
      </c>
      <c r="B405" s="33">
        <v>45666</v>
      </c>
      <c r="C405" s="33">
        <v>45670</v>
      </c>
      <c r="D405" s="54" t="s">
        <v>1451</v>
      </c>
      <c r="E405" s="38" t="s">
        <v>1515</v>
      </c>
      <c r="F405" s="40" t="s">
        <v>1518</v>
      </c>
      <c r="G405" s="40" t="s">
        <v>1522</v>
      </c>
      <c r="H405" s="40" t="s">
        <v>1527</v>
      </c>
      <c r="I405" s="40" t="s">
        <v>2188</v>
      </c>
      <c r="J405" s="46">
        <v>3465.58</v>
      </c>
      <c r="K405" s="3">
        <v>5</v>
      </c>
      <c r="L405" s="43">
        <v>0</v>
      </c>
      <c r="M405" s="48">
        <v>-106.48</v>
      </c>
      <c r="N405" s="48" t="str">
        <f>IF(Table3[[#This Row],[Profit]]&lt;0,"Loss","Profit")</f>
        <v>Loss</v>
      </c>
    </row>
    <row r="406" spans="1:14" ht="15.6" x14ac:dyDescent="0.3">
      <c r="A406" s="31" t="s">
        <v>658</v>
      </c>
      <c r="B406" s="33" t="s">
        <v>780</v>
      </c>
      <c r="C406" s="33">
        <v>45670</v>
      </c>
      <c r="D406" s="54" t="s">
        <v>1411</v>
      </c>
      <c r="E406" s="38" t="s">
        <v>1515</v>
      </c>
      <c r="F406" s="40" t="s">
        <v>1516</v>
      </c>
      <c r="G406" s="40" t="s">
        <v>1520</v>
      </c>
      <c r="H406" s="40" t="s">
        <v>1525</v>
      </c>
      <c r="I406" s="40" t="s">
        <v>2152</v>
      </c>
      <c r="J406" s="46">
        <v>3490.6</v>
      </c>
      <c r="K406" s="3">
        <v>1</v>
      </c>
      <c r="L406" s="43">
        <v>0.15</v>
      </c>
      <c r="M406" s="48">
        <v>421.15</v>
      </c>
      <c r="N406" s="48" t="str">
        <f>IF(Table3[[#This Row],[Profit]]&lt;0,"Loss","Profit")</f>
        <v>Profit</v>
      </c>
    </row>
    <row r="407" spans="1:14" ht="15.6" x14ac:dyDescent="0.3">
      <c r="A407" s="31" t="s">
        <v>237</v>
      </c>
      <c r="B407" s="33">
        <v>45665</v>
      </c>
      <c r="C407" s="33">
        <v>45675</v>
      </c>
      <c r="D407" s="54" t="s">
        <v>1001</v>
      </c>
      <c r="E407" s="38" t="s">
        <v>1515</v>
      </c>
      <c r="F407" s="40" t="s">
        <v>1518</v>
      </c>
      <c r="G407" s="40" t="s">
        <v>1522</v>
      </c>
      <c r="H407" s="40" t="s">
        <v>1529</v>
      </c>
      <c r="I407" s="40" t="s">
        <v>1753</v>
      </c>
      <c r="J407" s="46">
        <v>3619.59</v>
      </c>
      <c r="K407" s="3">
        <v>4</v>
      </c>
      <c r="L407" s="43">
        <v>0.05</v>
      </c>
      <c r="M407" s="48">
        <v>268.02</v>
      </c>
      <c r="N407" s="48" t="str">
        <f>IF(Table3[[#This Row],[Profit]]&lt;0,"Loss","Profit")</f>
        <v>Profit</v>
      </c>
    </row>
    <row r="408" spans="1:14" ht="15.6" x14ac:dyDescent="0.3">
      <c r="A408" s="31" t="s">
        <v>550</v>
      </c>
      <c r="B408" s="33">
        <v>45673</v>
      </c>
      <c r="C408" s="33">
        <v>45676</v>
      </c>
      <c r="D408" s="54" t="s">
        <v>1304</v>
      </c>
      <c r="E408" s="38" t="s">
        <v>1513</v>
      </c>
      <c r="F408" s="40" t="s">
        <v>1517</v>
      </c>
      <c r="G408" s="40" t="s">
        <v>1522</v>
      </c>
      <c r="H408" s="40" t="s">
        <v>1531</v>
      </c>
      <c r="I408" s="40" t="s">
        <v>2050</v>
      </c>
      <c r="J408" s="46">
        <v>2888.76</v>
      </c>
      <c r="K408" s="3">
        <v>3</v>
      </c>
      <c r="L408" s="43">
        <v>0.05</v>
      </c>
      <c r="M408" s="48">
        <v>422.47</v>
      </c>
      <c r="N408" s="48" t="str">
        <f>IF(Table3[[#This Row],[Profit]]&lt;0,"Loss","Profit")</f>
        <v>Profit</v>
      </c>
    </row>
    <row r="409" spans="1:14" ht="15.6" x14ac:dyDescent="0.3">
      <c r="A409" s="31" t="s">
        <v>722</v>
      </c>
      <c r="B409" s="33">
        <v>45670</v>
      </c>
      <c r="C409" s="33">
        <v>45677</v>
      </c>
      <c r="D409" s="54" t="s">
        <v>1474</v>
      </c>
      <c r="E409" s="38" t="s">
        <v>1513</v>
      </c>
      <c r="F409" s="40" t="s">
        <v>1519</v>
      </c>
      <c r="G409" s="40" t="s">
        <v>1520</v>
      </c>
      <c r="H409" s="40" t="s">
        <v>1523</v>
      </c>
      <c r="I409" s="40" t="s">
        <v>2209</v>
      </c>
      <c r="J409" s="46">
        <v>4096.8900000000003</v>
      </c>
      <c r="K409" s="3">
        <v>2</v>
      </c>
      <c r="L409" s="43">
        <v>0.1</v>
      </c>
      <c r="M409" s="48">
        <v>433.79</v>
      </c>
      <c r="N409" s="48" t="str">
        <f>IF(Table3[[#This Row],[Profit]]&lt;0,"Loss","Profit")</f>
        <v>Profit</v>
      </c>
    </row>
    <row r="410" spans="1:14" ht="15.6" x14ac:dyDescent="0.3">
      <c r="A410" s="31" t="s">
        <v>731</v>
      </c>
      <c r="B410" s="33">
        <v>45676</v>
      </c>
      <c r="C410" s="33">
        <v>45677</v>
      </c>
      <c r="D410" s="54" t="s">
        <v>1483</v>
      </c>
      <c r="E410" s="38" t="s">
        <v>1515</v>
      </c>
      <c r="F410" s="40" t="s">
        <v>1519</v>
      </c>
      <c r="G410" s="40" t="s">
        <v>1522</v>
      </c>
      <c r="H410" s="40" t="s">
        <v>1529</v>
      </c>
      <c r="I410" s="40" t="s">
        <v>2217</v>
      </c>
      <c r="J410" s="46">
        <v>1877.65</v>
      </c>
      <c r="K410" s="3">
        <v>9</v>
      </c>
      <c r="L410" s="43">
        <v>0</v>
      </c>
      <c r="M410" s="48">
        <v>-374.66</v>
      </c>
      <c r="N410" s="48" t="str">
        <f>IF(Table3[[#This Row],[Profit]]&lt;0,"Loss","Profit")</f>
        <v>Loss</v>
      </c>
    </row>
    <row r="411" spans="1:14" ht="15.6" x14ac:dyDescent="0.3">
      <c r="A411" s="31" t="s">
        <v>30</v>
      </c>
      <c r="B411" s="33">
        <v>45669</v>
      </c>
      <c r="C411" s="33">
        <v>45678</v>
      </c>
      <c r="D411" s="54" t="s">
        <v>799</v>
      </c>
      <c r="E411" s="38" t="s">
        <v>1514</v>
      </c>
      <c r="F411" s="40" t="s">
        <v>1516</v>
      </c>
      <c r="G411" s="40" t="s">
        <v>1521</v>
      </c>
      <c r="H411" s="40" t="s">
        <v>1530</v>
      </c>
      <c r="I411" s="40" t="s">
        <v>1549</v>
      </c>
      <c r="J411" s="46">
        <v>4769.82</v>
      </c>
      <c r="K411" s="3">
        <v>9</v>
      </c>
      <c r="L411" s="43">
        <v>0</v>
      </c>
      <c r="M411" s="48">
        <v>617.30999999999995</v>
      </c>
      <c r="N411" s="48" t="str">
        <f>IF(Table3[[#This Row],[Profit]]&lt;0,"Loss","Profit")</f>
        <v>Profit</v>
      </c>
    </row>
    <row r="412" spans="1:14" ht="15.6" x14ac:dyDescent="0.3">
      <c r="A412" s="31" t="s">
        <v>218</v>
      </c>
      <c r="B412" s="33">
        <v>45671</v>
      </c>
      <c r="C412" s="33">
        <v>45679</v>
      </c>
      <c r="D412" s="54" t="s">
        <v>983</v>
      </c>
      <c r="E412" s="38" t="s">
        <v>1515</v>
      </c>
      <c r="F412" s="40" t="s">
        <v>1517</v>
      </c>
      <c r="G412" s="40" t="s">
        <v>1520</v>
      </c>
      <c r="H412" s="40" t="s">
        <v>1523</v>
      </c>
      <c r="I412" s="40" t="s">
        <v>1734</v>
      </c>
      <c r="J412" s="46">
        <v>4746.68</v>
      </c>
      <c r="K412" s="3">
        <v>6</v>
      </c>
      <c r="L412" s="43">
        <v>0.15</v>
      </c>
      <c r="M412" s="48">
        <v>1042.83</v>
      </c>
      <c r="N412" s="48" t="str">
        <f>IF(Table3[[#This Row],[Profit]]&lt;0,"Loss","Profit")</f>
        <v>Profit</v>
      </c>
    </row>
    <row r="413" spans="1:14" ht="15.6" x14ac:dyDescent="0.3">
      <c r="A413" s="31" t="s">
        <v>343</v>
      </c>
      <c r="B413" s="33">
        <v>45677</v>
      </c>
      <c r="C413" s="33">
        <v>45680</v>
      </c>
      <c r="D413" s="54" t="s">
        <v>2275</v>
      </c>
      <c r="E413" s="38" t="s">
        <v>1515</v>
      </c>
      <c r="F413" s="40" t="s">
        <v>1517</v>
      </c>
      <c r="G413" s="40" t="s">
        <v>1521</v>
      </c>
      <c r="H413" s="40" t="s">
        <v>1528</v>
      </c>
      <c r="I413" s="40" t="s">
        <v>1854</v>
      </c>
      <c r="J413" s="46">
        <v>2895.29</v>
      </c>
      <c r="K413" s="3">
        <v>7</v>
      </c>
      <c r="L413" s="43">
        <v>0.05</v>
      </c>
      <c r="M413" s="48">
        <v>195.92</v>
      </c>
      <c r="N413" s="48" t="str">
        <f>IF(Table3[[#This Row],[Profit]]&lt;0,"Loss","Profit")</f>
        <v>Profit</v>
      </c>
    </row>
    <row r="414" spans="1:14" ht="15.6" x14ac:dyDescent="0.3">
      <c r="A414" s="31" t="s">
        <v>601</v>
      </c>
      <c r="B414" s="33">
        <v>45676</v>
      </c>
      <c r="C414" s="33">
        <v>45681</v>
      </c>
      <c r="D414" s="54" t="s">
        <v>1355</v>
      </c>
      <c r="E414" s="38" t="s">
        <v>1513</v>
      </c>
      <c r="F414" s="40" t="s">
        <v>1516</v>
      </c>
      <c r="G414" s="40" t="s">
        <v>1522</v>
      </c>
      <c r="H414" s="40" t="s">
        <v>1531</v>
      </c>
      <c r="I414" s="40" t="s">
        <v>2099</v>
      </c>
      <c r="J414" s="46">
        <v>2243.64</v>
      </c>
      <c r="K414" s="3">
        <v>3</v>
      </c>
      <c r="L414" s="43">
        <v>0.05</v>
      </c>
      <c r="M414" s="48">
        <v>201.27</v>
      </c>
      <c r="N414" s="48" t="str">
        <f>IF(Table3[[#This Row],[Profit]]&lt;0,"Loss","Profit")</f>
        <v>Profit</v>
      </c>
    </row>
    <row r="415" spans="1:14" ht="15.6" x14ac:dyDescent="0.3">
      <c r="A415" s="31" t="s">
        <v>96</v>
      </c>
      <c r="B415" s="33">
        <v>45676</v>
      </c>
      <c r="C415" s="33">
        <v>45684</v>
      </c>
      <c r="D415" s="54" t="s">
        <v>865</v>
      </c>
      <c r="E415" s="38" t="s">
        <v>1513</v>
      </c>
      <c r="F415" s="40" t="s">
        <v>1519</v>
      </c>
      <c r="G415" s="40" t="s">
        <v>1521</v>
      </c>
      <c r="H415" s="40" t="s">
        <v>1528</v>
      </c>
      <c r="I415" s="40" t="s">
        <v>1615</v>
      </c>
      <c r="J415" s="46">
        <v>1391.04</v>
      </c>
      <c r="K415" s="3">
        <v>5</v>
      </c>
      <c r="L415" s="43">
        <v>0.05</v>
      </c>
      <c r="M415" s="48">
        <v>-185.9</v>
      </c>
      <c r="N415" s="48" t="str">
        <f>IF(Table3[[#This Row],[Profit]]&lt;0,"Loss","Profit")</f>
        <v>Loss</v>
      </c>
    </row>
    <row r="416" spans="1:14" ht="15.6" x14ac:dyDescent="0.3">
      <c r="A416" s="31" t="s">
        <v>119</v>
      </c>
      <c r="B416" s="33">
        <v>45683</v>
      </c>
      <c r="C416" s="33">
        <v>45685</v>
      </c>
      <c r="D416" s="54" t="s">
        <v>887</v>
      </c>
      <c r="E416" s="38" t="s">
        <v>1514</v>
      </c>
      <c r="F416" s="40" t="s">
        <v>1519</v>
      </c>
      <c r="G416" s="40" t="s">
        <v>1522</v>
      </c>
      <c r="H416" s="40" t="s">
        <v>1531</v>
      </c>
      <c r="I416" s="40" t="s">
        <v>1637</v>
      </c>
      <c r="J416" s="46">
        <v>2334.17</v>
      </c>
      <c r="K416" s="3">
        <v>2</v>
      </c>
      <c r="L416" s="43">
        <v>0.2</v>
      </c>
      <c r="M416" s="48">
        <v>601.47</v>
      </c>
      <c r="N416" s="48" t="str">
        <f>IF(Table3[[#This Row],[Profit]]&lt;0,"Loss","Profit")</f>
        <v>Profit</v>
      </c>
    </row>
    <row r="417" spans="1:14" ht="15.6" x14ac:dyDescent="0.3">
      <c r="A417" s="31" t="s">
        <v>455</v>
      </c>
      <c r="B417" s="33">
        <v>45686</v>
      </c>
      <c r="C417" s="33">
        <v>45689</v>
      </c>
      <c r="D417" s="54" t="s">
        <v>1212</v>
      </c>
      <c r="E417" s="38" t="s">
        <v>1514</v>
      </c>
      <c r="F417" s="40" t="s">
        <v>1518</v>
      </c>
      <c r="G417" s="40" t="s">
        <v>1520</v>
      </c>
      <c r="H417" s="40" t="s">
        <v>1524</v>
      </c>
      <c r="I417" s="40" t="s">
        <v>1960</v>
      </c>
      <c r="J417" s="46">
        <v>3620.35</v>
      </c>
      <c r="K417" s="3">
        <v>8</v>
      </c>
      <c r="L417" s="43">
        <v>0.1</v>
      </c>
      <c r="M417" s="48">
        <v>-207.5</v>
      </c>
      <c r="N417" s="48" t="str">
        <f>IF(Table3[[#This Row],[Profit]]&lt;0,"Loss","Profit")</f>
        <v>Loss</v>
      </c>
    </row>
    <row r="418" spans="1:14" ht="15.6" x14ac:dyDescent="0.3">
      <c r="A418" s="31" t="s">
        <v>627</v>
      </c>
      <c r="B418" s="33">
        <v>45689</v>
      </c>
      <c r="C418" s="33">
        <v>45690</v>
      </c>
      <c r="D418" s="54" t="s">
        <v>1381</v>
      </c>
      <c r="E418" s="38" t="s">
        <v>1515</v>
      </c>
      <c r="F418" s="40" t="s">
        <v>1516</v>
      </c>
      <c r="G418" s="40" t="s">
        <v>1520</v>
      </c>
      <c r="H418" s="40" t="s">
        <v>1523</v>
      </c>
      <c r="I418" s="40" t="s">
        <v>2123</v>
      </c>
      <c r="J418" s="46">
        <v>3117.69</v>
      </c>
      <c r="K418" s="3">
        <v>6</v>
      </c>
      <c r="L418" s="43">
        <v>0.2</v>
      </c>
      <c r="M418" s="48">
        <v>-214.08</v>
      </c>
      <c r="N418" s="48" t="str">
        <f>IF(Table3[[#This Row],[Profit]]&lt;0,"Loss","Profit")</f>
        <v>Loss</v>
      </c>
    </row>
    <row r="419" spans="1:14" ht="15.6" x14ac:dyDescent="0.3">
      <c r="A419" s="31" t="s">
        <v>40</v>
      </c>
      <c r="B419" s="33">
        <v>45683</v>
      </c>
      <c r="C419" s="33">
        <v>45692</v>
      </c>
      <c r="D419" s="54" t="s">
        <v>809</v>
      </c>
      <c r="E419" s="38" t="s">
        <v>1514</v>
      </c>
      <c r="F419" s="40" t="s">
        <v>1518</v>
      </c>
      <c r="G419" s="40" t="s">
        <v>1522</v>
      </c>
      <c r="H419" s="40" t="s">
        <v>1527</v>
      </c>
      <c r="I419" s="40" t="s">
        <v>1559</v>
      </c>
      <c r="J419" s="46">
        <v>4188.34</v>
      </c>
      <c r="K419" s="3">
        <v>2</v>
      </c>
      <c r="L419" s="43">
        <v>0.05</v>
      </c>
      <c r="M419" s="48">
        <v>-454.56</v>
      </c>
      <c r="N419" s="48" t="str">
        <f>IF(Table3[[#This Row],[Profit]]&lt;0,"Loss","Profit")</f>
        <v>Loss</v>
      </c>
    </row>
    <row r="420" spans="1:14" ht="15.6" x14ac:dyDescent="0.3">
      <c r="A420" s="31" t="s">
        <v>431</v>
      </c>
      <c r="B420" s="33">
        <v>45691</v>
      </c>
      <c r="C420" s="33">
        <v>45692</v>
      </c>
      <c r="D420" s="54" t="s">
        <v>1188</v>
      </c>
      <c r="E420" s="38" t="s">
        <v>1515</v>
      </c>
      <c r="F420" s="40" t="s">
        <v>1518</v>
      </c>
      <c r="G420" s="40" t="s">
        <v>1521</v>
      </c>
      <c r="H420" s="40" t="s">
        <v>1528</v>
      </c>
      <c r="I420" s="40" t="s">
        <v>1937</v>
      </c>
      <c r="J420" s="46">
        <v>798.1</v>
      </c>
      <c r="K420" s="3">
        <v>2</v>
      </c>
      <c r="L420" s="43">
        <v>0</v>
      </c>
      <c r="M420" s="48">
        <v>133.66</v>
      </c>
      <c r="N420" s="48" t="str">
        <f>IF(Table3[[#This Row],[Profit]]&lt;0,"Loss","Profit")</f>
        <v>Profit</v>
      </c>
    </row>
    <row r="421" spans="1:14" ht="15.6" x14ac:dyDescent="0.3">
      <c r="A421" s="31" t="s">
        <v>623</v>
      </c>
      <c r="B421" s="33">
        <v>45686</v>
      </c>
      <c r="C421" s="33">
        <v>45693</v>
      </c>
      <c r="D421" s="54" t="s">
        <v>1377</v>
      </c>
      <c r="E421" s="38" t="s">
        <v>1514</v>
      </c>
      <c r="F421" s="40" t="s">
        <v>1518</v>
      </c>
      <c r="G421" s="40" t="s">
        <v>1522</v>
      </c>
      <c r="H421" s="40" t="s">
        <v>1527</v>
      </c>
      <c r="I421" s="40" t="s">
        <v>2119</v>
      </c>
      <c r="J421" s="46">
        <v>1822.93</v>
      </c>
      <c r="K421" s="3">
        <v>3</v>
      </c>
      <c r="L421" s="43">
        <v>0.1</v>
      </c>
      <c r="M421" s="48">
        <v>536.41999999999996</v>
      </c>
      <c r="N421" s="48" t="str">
        <f>IF(Table3[[#This Row],[Profit]]&lt;0,"Loss","Profit")</f>
        <v>Profit</v>
      </c>
    </row>
    <row r="422" spans="1:14" ht="15.6" x14ac:dyDescent="0.3">
      <c r="A422" s="31" t="s">
        <v>73</v>
      </c>
      <c r="B422" s="33">
        <v>45691</v>
      </c>
      <c r="C422" s="33">
        <v>45695</v>
      </c>
      <c r="D422" s="54" t="s">
        <v>842</v>
      </c>
      <c r="E422" s="38" t="s">
        <v>1514</v>
      </c>
      <c r="F422" s="40" t="s">
        <v>1519</v>
      </c>
      <c r="G422" s="40" t="s">
        <v>1520</v>
      </c>
      <c r="H422" s="40" t="s">
        <v>1524</v>
      </c>
      <c r="I422" s="40" t="s">
        <v>1592</v>
      </c>
      <c r="J422" s="46">
        <v>1409.26</v>
      </c>
      <c r="K422" s="3">
        <v>2</v>
      </c>
      <c r="L422" s="43">
        <v>0.2</v>
      </c>
      <c r="M422" s="48">
        <v>-60.39</v>
      </c>
      <c r="N422" s="48" t="str">
        <f>IF(Table3[[#This Row],[Profit]]&lt;0,"Loss","Profit")</f>
        <v>Loss</v>
      </c>
    </row>
    <row r="423" spans="1:14" ht="15.6" x14ac:dyDescent="0.3">
      <c r="A423" s="31" t="s">
        <v>747</v>
      </c>
      <c r="B423" s="33">
        <v>45690</v>
      </c>
      <c r="C423" s="33">
        <v>45696</v>
      </c>
      <c r="D423" s="54" t="s">
        <v>1499</v>
      </c>
      <c r="E423" s="38" t="s">
        <v>1513</v>
      </c>
      <c r="F423" s="40" t="s">
        <v>1516</v>
      </c>
      <c r="G423" s="40" t="s">
        <v>1520</v>
      </c>
      <c r="H423" s="40" t="s">
        <v>1524</v>
      </c>
      <c r="I423" s="40" t="s">
        <v>2232</v>
      </c>
      <c r="J423" s="46">
        <v>4048.81</v>
      </c>
      <c r="K423" s="3">
        <v>5</v>
      </c>
      <c r="L423" s="43">
        <v>0.2</v>
      </c>
      <c r="M423" s="48">
        <v>-283.79000000000002</v>
      </c>
      <c r="N423" s="48" t="str">
        <f>IF(Table3[[#This Row],[Profit]]&lt;0,"Loss","Profit")</f>
        <v>Loss</v>
      </c>
    </row>
    <row r="424" spans="1:14" ht="15.6" x14ac:dyDescent="0.3">
      <c r="A424" s="31" t="s">
        <v>124</v>
      </c>
      <c r="B424" s="33">
        <v>45692</v>
      </c>
      <c r="C424" s="33">
        <v>45696</v>
      </c>
      <c r="D424" s="54" t="s">
        <v>892</v>
      </c>
      <c r="E424" s="38" t="s">
        <v>1515</v>
      </c>
      <c r="F424" s="40" t="s">
        <v>1518</v>
      </c>
      <c r="G424" s="40" t="s">
        <v>1521</v>
      </c>
      <c r="H424" s="40" t="s">
        <v>1530</v>
      </c>
      <c r="I424" s="40" t="s">
        <v>1642</v>
      </c>
      <c r="J424" s="46">
        <v>2880.4</v>
      </c>
      <c r="K424" s="3">
        <v>4</v>
      </c>
      <c r="L424" s="43">
        <v>0.15</v>
      </c>
      <c r="M424" s="48">
        <v>-506.93</v>
      </c>
      <c r="N424" s="48" t="str">
        <f>IF(Table3[[#This Row],[Profit]]&lt;0,"Loss","Profit")</f>
        <v>Loss</v>
      </c>
    </row>
    <row r="425" spans="1:14" ht="15.6" x14ac:dyDescent="0.3">
      <c r="A425" s="31" t="s">
        <v>462</v>
      </c>
      <c r="B425" s="33">
        <v>45692</v>
      </c>
      <c r="C425" s="33">
        <v>45698</v>
      </c>
      <c r="D425" s="54" t="s">
        <v>1219</v>
      </c>
      <c r="E425" s="38" t="s">
        <v>1515</v>
      </c>
      <c r="F425" s="40" t="s">
        <v>1517</v>
      </c>
      <c r="G425" s="40" t="s">
        <v>1522</v>
      </c>
      <c r="H425" s="40" t="s">
        <v>1531</v>
      </c>
      <c r="I425" s="40" t="s">
        <v>1966</v>
      </c>
      <c r="J425" s="46">
        <v>2075.5</v>
      </c>
      <c r="K425" s="3">
        <v>10</v>
      </c>
      <c r="L425" s="43">
        <v>0.15</v>
      </c>
      <c r="M425" s="48">
        <v>-251.61</v>
      </c>
      <c r="N425" s="48" t="str">
        <f>IF(Table3[[#This Row],[Profit]]&lt;0,"Loss","Profit")</f>
        <v>Loss</v>
      </c>
    </row>
    <row r="426" spans="1:14" ht="15.6" x14ac:dyDescent="0.3">
      <c r="A426" s="31" t="s">
        <v>464</v>
      </c>
      <c r="B426" s="33">
        <v>45696</v>
      </c>
      <c r="C426" s="33">
        <v>45699</v>
      </c>
      <c r="D426" s="54" t="s">
        <v>2286</v>
      </c>
      <c r="E426" s="38" t="s">
        <v>1513</v>
      </c>
      <c r="F426" s="40" t="s">
        <v>1517</v>
      </c>
      <c r="G426" s="40" t="s">
        <v>1521</v>
      </c>
      <c r="H426" s="40" t="s">
        <v>1530</v>
      </c>
      <c r="I426" s="40" t="s">
        <v>1968</v>
      </c>
      <c r="J426" s="46">
        <v>2902.58</v>
      </c>
      <c r="K426" s="3">
        <v>3</v>
      </c>
      <c r="L426" s="43">
        <v>0.15</v>
      </c>
      <c r="M426" s="48">
        <v>673.01</v>
      </c>
      <c r="N426" s="48" t="str">
        <f>IF(Table3[[#This Row],[Profit]]&lt;0,"Loss","Profit")</f>
        <v>Profit</v>
      </c>
    </row>
    <row r="427" spans="1:14" ht="15.6" x14ac:dyDescent="0.3">
      <c r="A427" s="31" t="s">
        <v>587</v>
      </c>
      <c r="B427" s="33">
        <v>45692</v>
      </c>
      <c r="C427" s="33">
        <v>45700</v>
      </c>
      <c r="D427" s="54" t="s">
        <v>1341</v>
      </c>
      <c r="E427" s="38" t="s">
        <v>1513</v>
      </c>
      <c r="F427" s="40" t="s">
        <v>1519</v>
      </c>
      <c r="G427" s="40" t="s">
        <v>1521</v>
      </c>
      <c r="H427" s="40" t="s">
        <v>1526</v>
      </c>
      <c r="I427" s="40" t="s">
        <v>2086</v>
      </c>
      <c r="J427" s="46">
        <v>940.45</v>
      </c>
      <c r="K427" s="3">
        <v>3</v>
      </c>
      <c r="L427" s="43">
        <v>0.2</v>
      </c>
      <c r="M427" s="48">
        <v>166.75</v>
      </c>
      <c r="N427" s="48" t="str">
        <f>IF(Table3[[#This Row],[Profit]]&lt;0,"Loss","Profit")</f>
        <v>Profit</v>
      </c>
    </row>
    <row r="428" spans="1:14" ht="15.6" x14ac:dyDescent="0.3">
      <c r="A428" s="31" t="s">
        <v>568</v>
      </c>
      <c r="B428" s="33">
        <v>45692</v>
      </c>
      <c r="C428" s="33">
        <v>45701</v>
      </c>
      <c r="D428" s="54" t="s">
        <v>1322</v>
      </c>
      <c r="E428" s="38" t="s">
        <v>1513</v>
      </c>
      <c r="F428" s="40" t="s">
        <v>1518</v>
      </c>
      <c r="G428" s="40" t="s">
        <v>1520</v>
      </c>
      <c r="H428" s="40" t="s">
        <v>1525</v>
      </c>
      <c r="I428" s="40" t="s">
        <v>2068</v>
      </c>
      <c r="J428" s="46">
        <v>1468.02</v>
      </c>
      <c r="K428" s="3">
        <v>10</v>
      </c>
      <c r="L428" s="43">
        <v>0</v>
      </c>
      <c r="M428" s="48">
        <v>469.98</v>
      </c>
      <c r="N428" s="48" t="str">
        <f>IF(Table3[[#This Row],[Profit]]&lt;0,"Loss","Profit")</f>
        <v>Profit</v>
      </c>
    </row>
    <row r="429" spans="1:14" ht="15.6" x14ac:dyDescent="0.3">
      <c r="A429" s="31" t="s">
        <v>528</v>
      </c>
      <c r="B429" s="33" t="s">
        <v>776</v>
      </c>
      <c r="C429" s="33">
        <v>45702</v>
      </c>
      <c r="D429" s="54" t="s">
        <v>1283</v>
      </c>
      <c r="E429" s="38" t="s">
        <v>1514</v>
      </c>
      <c r="F429" s="40" t="s">
        <v>1516</v>
      </c>
      <c r="G429" s="40" t="s">
        <v>1522</v>
      </c>
      <c r="H429" s="40" t="s">
        <v>1527</v>
      </c>
      <c r="I429" s="40" t="s">
        <v>2029</v>
      </c>
      <c r="J429" s="46">
        <v>749.8</v>
      </c>
      <c r="K429" s="3">
        <v>1</v>
      </c>
      <c r="L429" s="43">
        <v>0</v>
      </c>
      <c r="M429" s="48">
        <v>86.22</v>
      </c>
      <c r="N429" s="48" t="str">
        <f>IF(Table3[[#This Row],[Profit]]&lt;0,"Loss","Profit")</f>
        <v>Profit</v>
      </c>
    </row>
    <row r="430" spans="1:14" ht="15.6" x14ac:dyDescent="0.3">
      <c r="A430" s="31" t="s">
        <v>435</v>
      </c>
      <c r="B430" s="33">
        <v>45699</v>
      </c>
      <c r="C430" s="33">
        <v>45706</v>
      </c>
      <c r="D430" s="54" t="s">
        <v>1192</v>
      </c>
      <c r="E430" s="38" t="s">
        <v>1515</v>
      </c>
      <c r="F430" s="40" t="s">
        <v>1516</v>
      </c>
      <c r="G430" s="40" t="s">
        <v>1521</v>
      </c>
      <c r="H430" s="40" t="s">
        <v>1530</v>
      </c>
      <c r="I430" s="40" t="s">
        <v>1941</v>
      </c>
      <c r="J430" s="46">
        <v>1049.5</v>
      </c>
      <c r="K430" s="3">
        <v>3</v>
      </c>
      <c r="L430" s="43">
        <v>0.2</v>
      </c>
      <c r="M430" s="48">
        <v>-61.04</v>
      </c>
      <c r="N430" s="48" t="str">
        <f>IF(Table3[[#This Row],[Profit]]&lt;0,"Loss","Profit")</f>
        <v>Loss</v>
      </c>
    </row>
    <row r="431" spans="1:14" ht="15.6" x14ac:dyDescent="0.3">
      <c r="A431" s="31" t="s">
        <v>242</v>
      </c>
      <c r="B431" s="33">
        <v>45699</v>
      </c>
      <c r="C431" s="33">
        <v>45708</v>
      </c>
      <c r="D431" s="54" t="s">
        <v>1006</v>
      </c>
      <c r="E431" s="38" t="s">
        <v>1515</v>
      </c>
      <c r="F431" s="40" t="s">
        <v>1516</v>
      </c>
      <c r="G431" s="40" t="s">
        <v>1522</v>
      </c>
      <c r="H431" s="40" t="s">
        <v>1529</v>
      </c>
      <c r="I431" s="40" t="s">
        <v>1758</v>
      </c>
      <c r="J431" s="46">
        <v>2279.25</v>
      </c>
      <c r="K431" s="3">
        <v>9</v>
      </c>
      <c r="L431" s="43">
        <v>0.1</v>
      </c>
      <c r="M431" s="48">
        <v>578.75</v>
      </c>
      <c r="N431" s="48" t="str">
        <f>IF(Table3[[#This Row],[Profit]]&lt;0,"Loss","Profit")</f>
        <v>Profit</v>
      </c>
    </row>
    <row r="432" spans="1:14" ht="15.6" x14ac:dyDescent="0.3">
      <c r="A432" s="31" t="s">
        <v>663</v>
      </c>
      <c r="B432" s="33" t="s">
        <v>781</v>
      </c>
      <c r="C432" s="33">
        <v>45710</v>
      </c>
      <c r="D432" s="54" t="s">
        <v>1416</v>
      </c>
      <c r="E432" s="38" t="s">
        <v>1514</v>
      </c>
      <c r="F432" s="40" t="s">
        <v>1519</v>
      </c>
      <c r="G432" s="40" t="s">
        <v>1521</v>
      </c>
      <c r="H432" s="40" t="s">
        <v>1526</v>
      </c>
      <c r="I432" s="40" t="s">
        <v>2157</v>
      </c>
      <c r="J432" s="46">
        <v>3734.73</v>
      </c>
      <c r="K432" s="3">
        <v>1</v>
      </c>
      <c r="L432" s="43">
        <v>0.1</v>
      </c>
      <c r="M432" s="48">
        <v>658.7</v>
      </c>
      <c r="N432" s="48" t="str">
        <f>IF(Table3[[#This Row],[Profit]]&lt;0,"Loss","Profit")</f>
        <v>Profit</v>
      </c>
    </row>
    <row r="433" spans="1:14" ht="15.6" x14ac:dyDescent="0.3">
      <c r="A433" s="31" t="s">
        <v>539</v>
      </c>
      <c r="B433" s="33">
        <v>45702</v>
      </c>
      <c r="C433" s="33">
        <v>45712</v>
      </c>
      <c r="D433" s="54" t="s">
        <v>1294</v>
      </c>
      <c r="E433" s="38" t="s">
        <v>1515</v>
      </c>
      <c r="F433" s="40" t="s">
        <v>1516</v>
      </c>
      <c r="G433" s="40" t="s">
        <v>1521</v>
      </c>
      <c r="H433" s="40" t="s">
        <v>1530</v>
      </c>
      <c r="I433" s="40" t="s">
        <v>2039</v>
      </c>
      <c r="J433" s="46">
        <v>3679.47</v>
      </c>
      <c r="K433" s="3">
        <v>5</v>
      </c>
      <c r="L433" s="43">
        <v>0.05</v>
      </c>
      <c r="M433" s="48">
        <v>204.53</v>
      </c>
      <c r="N433" s="48" t="str">
        <f>IF(Table3[[#This Row],[Profit]]&lt;0,"Loss","Profit")</f>
        <v>Profit</v>
      </c>
    </row>
    <row r="434" spans="1:14" ht="15.6" x14ac:dyDescent="0.3">
      <c r="A434" s="31" t="s">
        <v>686</v>
      </c>
      <c r="B434" s="33">
        <v>45710</v>
      </c>
      <c r="C434" s="33">
        <v>45713</v>
      </c>
      <c r="D434" s="54" t="s">
        <v>1439</v>
      </c>
      <c r="E434" s="38" t="s">
        <v>1514</v>
      </c>
      <c r="F434" s="40" t="s">
        <v>1516</v>
      </c>
      <c r="G434" s="40" t="s">
        <v>1521</v>
      </c>
      <c r="H434" s="40" t="s">
        <v>1528</v>
      </c>
      <c r="I434" s="40" t="s">
        <v>2176</v>
      </c>
      <c r="J434" s="46">
        <v>631.89</v>
      </c>
      <c r="K434" s="3">
        <v>3</v>
      </c>
      <c r="L434" s="43">
        <v>0.05</v>
      </c>
      <c r="M434" s="48">
        <v>-125.15</v>
      </c>
      <c r="N434" s="48" t="str">
        <f>IF(Table3[[#This Row],[Profit]]&lt;0,"Loss","Profit")</f>
        <v>Loss</v>
      </c>
    </row>
    <row r="435" spans="1:14" ht="15.6" x14ac:dyDescent="0.3">
      <c r="A435" s="31" t="s">
        <v>195</v>
      </c>
      <c r="B435" s="33">
        <v>45707</v>
      </c>
      <c r="C435" s="33">
        <v>45714</v>
      </c>
      <c r="D435" s="54" t="s">
        <v>960</v>
      </c>
      <c r="E435" s="38" t="s">
        <v>1515</v>
      </c>
      <c r="F435" s="40" t="s">
        <v>1517</v>
      </c>
      <c r="G435" s="40" t="s">
        <v>1521</v>
      </c>
      <c r="H435" s="40" t="s">
        <v>1526</v>
      </c>
      <c r="I435" s="40" t="s">
        <v>1712</v>
      </c>
      <c r="J435" s="46">
        <v>2539.39</v>
      </c>
      <c r="K435" s="3">
        <v>7</v>
      </c>
      <c r="L435" s="43">
        <v>0.05</v>
      </c>
      <c r="M435" s="48">
        <v>633.04</v>
      </c>
      <c r="N435" s="48" t="str">
        <f>IF(Table3[[#This Row],[Profit]]&lt;0,"Loss","Profit")</f>
        <v>Profit</v>
      </c>
    </row>
    <row r="436" spans="1:14" ht="15.6" x14ac:dyDescent="0.3">
      <c r="A436" s="31" t="s">
        <v>661</v>
      </c>
      <c r="B436" s="33">
        <v>45709</v>
      </c>
      <c r="C436" s="33">
        <v>45718</v>
      </c>
      <c r="D436" s="54" t="s">
        <v>1414</v>
      </c>
      <c r="E436" s="38" t="s">
        <v>1515</v>
      </c>
      <c r="F436" s="40" t="s">
        <v>1516</v>
      </c>
      <c r="G436" s="40" t="s">
        <v>1522</v>
      </c>
      <c r="H436" s="40" t="s">
        <v>1529</v>
      </c>
      <c r="I436" s="40" t="s">
        <v>2155</v>
      </c>
      <c r="J436" s="46">
        <v>4884.2299999999996</v>
      </c>
      <c r="K436" s="3">
        <v>2</v>
      </c>
      <c r="L436" s="43">
        <v>0.1</v>
      </c>
      <c r="M436" s="48">
        <v>325.11</v>
      </c>
      <c r="N436" s="48" t="str">
        <f>IF(Table3[[#This Row],[Profit]]&lt;0,"Loss","Profit")</f>
        <v>Profit</v>
      </c>
    </row>
    <row r="437" spans="1:14" ht="15.6" x14ac:dyDescent="0.3">
      <c r="A437" s="31" t="s">
        <v>437</v>
      </c>
      <c r="B437" s="33">
        <v>45718</v>
      </c>
      <c r="C437" s="33">
        <v>45721</v>
      </c>
      <c r="D437" s="54" t="s">
        <v>1194</v>
      </c>
      <c r="E437" s="38" t="s">
        <v>1513</v>
      </c>
      <c r="F437" s="40" t="s">
        <v>1516</v>
      </c>
      <c r="G437" s="40" t="s">
        <v>1522</v>
      </c>
      <c r="H437" s="40" t="s">
        <v>1529</v>
      </c>
      <c r="I437" s="40" t="s">
        <v>1943</v>
      </c>
      <c r="J437" s="46">
        <v>783.59</v>
      </c>
      <c r="K437" s="3">
        <v>10</v>
      </c>
      <c r="L437" s="43">
        <v>0.2</v>
      </c>
      <c r="M437" s="48">
        <v>170.12</v>
      </c>
      <c r="N437" s="48" t="str">
        <f>IF(Table3[[#This Row],[Profit]]&lt;0,"Loss","Profit")</f>
        <v>Profit</v>
      </c>
    </row>
    <row r="438" spans="1:14" ht="15.6" x14ac:dyDescent="0.3">
      <c r="A438" s="31" t="s">
        <v>312</v>
      </c>
      <c r="B438" s="33">
        <v>45715</v>
      </c>
      <c r="C438" s="33">
        <v>45722</v>
      </c>
      <c r="D438" s="54" t="s">
        <v>2257</v>
      </c>
      <c r="E438" s="38" t="s">
        <v>1515</v>
      </c>
      <c r="F438" s="40" t="s">
        <v>1518</v>
      </c>
      <c r="G438" s="40" t="s">
        <v>1522</v>
      </c>
      <c r="H438" s="40" t="s">
        <v>1531</v>
      </c>
      <c r="I438" s="40" t="s">
        <v>1824</v>
      </c>
      <c r="J438" s="46">
        <v>1199.1099999999999</v>
      </c>
      <c r="K438" s="3">
        <v>2</v>
      </c>
      <c r="L438" s="43">
        <v>0.1</v>
      </c>
      <c r="M438" s="48">
        <v>159.29</v>
      </c>
      <c r="N438" s="48" t="str">
        <f>IF(Table3[[#This Row],[Profit]]&lt;0,"Loss","Profit")</f>
        <v>Profit</v>
      </c>
    </row>
    <row r="439" spans="1:14" ht="15.6" x14ac:dyDescent="0.3">
      <c r="A439" s="31" t="s">
        <v>718</v>
      </c>
      <c r="B439" s="33">
        <v>45719</v>
      </c>
      <c r="C439" s="33">
        <v>45722</v>
      </c>
      <c r="D439" s="54" t="s">
        <v>1470</v>
      </c>
      <c r="E439" s="38" t="s">
        <v>1515</v>
      </c>
      <c r="F439" s="40" t="s">
        <v>1518</v>
      </c>
      <c r="G439" s="40" t="s">
        <v>1521</v>
      </c>
      <c r="H439" s="40" t="s">
        <v>1528</v>
      </c>
      <c r="I439" s="40" t="s">
        <v>2205</v>
      </c>
      <c r="J439" s="46">
        <v>509.94</v>
      </c>
      <c r="K439" s="3">
        <v>8</v>
      </c>
      <c r="L439" s="43">
        <v>0</v>
      </c>
      <c r="M439" s="48">
        <v>25.79</v>
      </c>
      <c r="N439" s="48" t="str">
        <f>IF(Table3[[#This Row],[Profit]]&lt;0,"Loss","Profit")</f>
        <v>Profit</v>
      </c>
    </row>
    <row r="440" spans="1:14" ht="15.6" x14ac:dyDescent="0.3">
      <c r="A440" s="31" t="s">
        <v>379</v>
      </c>
      <c r="B440" s="33">
        <v>45722</v>
      </c>
      <c r="C440" s="33">
        <v>45723</v>
      </c>
      <c r="D440" s="54" t="s">
        <v>1137</v>
      </c>
      <c r="E440" s="38" t="s">
        <v>1514</v>
      </c>
      <c r="F440" s="40" t="s">
        <v>1516</v>
      </c>
      <c r="G440" s="40" t="s">
        <v>1520</v>
      </c>
      <c r="H440" s="40" t="s">
        <v>1523</v>
      </c>
      <c r="I440" s="40" t="s">
        <v>1889</v>
      </c>
      <c r="J440" s="46">
        <v>1708.3</v>
      </c>
      <c r="K440" s="3">
        <v>7</v>
      </c>
      <c r="L440" s="43">
        <v>0.1</v>
      </c>
      <c r="M440" s="48">
        <v>150.54</v>
      </c>
      <c r="N440" s="48" t="str">
        <f>IF(Table3[[#This Row],[Profit]]&lt;0,"Loss","Profit")</f>
        <v>Profit</v>
      </c>
    </row>
    <row r="441" spans="1:14" ht="15.6" x14ac:dyDescent="0.3">
      <c r="A441" s="31" t="s">
        <v>62</v>
      </c>
      <c r="B441" s="33">
        <v>45715</v>
      </c>
      <c r="C441" s="33">
        <v>45724</v>
      </c>
      <c r="D441" s="54" t="s">
        <v>831</v>
      </c>
      <c r="E441" s="38" t="s">
        <v>1515</v>
      </c>
      <c r="F441" s="40" t="s">
        <v>1519</v>
      </c>
      <c r="G441" s="40" t="s">
        <v>1522</v>
      </c>
      <c r="H441" s="40" t="s">
        <v>1527</v>
      </c>
      <c r="I441" s="40" t="s">
        <v>1581</v>
      </c>
      <c r="J441" s="46">
        <v>3449.94</v>
      </c>
      <c r="K441" s="3">
        <v>4</v>
      </c>
      <c r="L441" s="43">
        <v>0.1</v>
      </c>
      <c r="M441" s="48">
        <v>128.38</v>
      </c>
      <c r="N441" s="48" t="str">
        <f>IF(Table3[[#This Row],[Profit]]&lt;0,"Loss","Profit")</f>
        <v>Profit</v>
      </c>
    </row>
    <row r="442" spans="1:14" ht="15.6" x14ac:dyDescent="0.3">
      <c r="A442" s="31" t="s">
        <v>67</v>
      </c>
      <c r="B442" s="33">
        <v>45720</v>
      </c>
      <c r="C442" s="33">
        <v>45725</v>
      </c>
      <c r="D442" s="54" t="s">
        <v>836</v>
      </c>
      <c r="E442" s="38" t="s">
        <v>1513</v>
      </c>
      <c r="F442" s="40" t="s">
        <v>1519</v>
      </c>
      <c r="G442" s="40" t="s">
        <v>1520</v>
      </c>
      <c r="H442" s="40" t="s">
        <v>1523</v>
      </c>
      <c r="I442" s="40" t="s">
        <v>1586</v>
      </c>
      <c r="J442" s="46">
        <v>2601.4899999999998</v>
      </c>
      <c r="K442" s="3">
        <v>10</v>
      </c>
      <c r="L442" s="43">
        <v>0.1</v>
      </c>
      <c r="M442" s="48">
        <v>-386.68</v>
      </c>
      <c r="N442" s="48" t="str">
        <f>IF(Table3[[#This Row],[Profit]]&lt;0,"Loss","Profit")</f>
        <v>Loss</v>
      </c>
    </row>
    <row r="443" spans="1:14" ht="15.6" x14ac:dyDescent="0.3">
      <c r="A443" s="31" t="s">
        <v>373</v>
      </c>
      <c r="B443" s="33">
        <v>45724</v>
      </c>
      <c r="C443" s="33">
        <v>45725</v>
      </c>
      <c r="D443" s="54" t="s">
        <v>1131</v>
      </c>
      <c r="E443" s="38" t="s">
        <v>1515</v>
      </c>
      <c r="F443" s="40" t="s">
        <v>1518</v>
      </c>
      <c r="G443" s="40" t="s">
        <v>1522</v>
      </c>
      <c r="H443" s="40" t="s">
        <v>1531</v>
      </c>
      <c r="I443" s="40" t="s">
        <v>1883</v>
      </c>
      <c r="J443" s="46">
        <v>4745.97</v>
      </c>
      <c r="K443" s="3">
        <v>7</v>
      </c>
      <c r="L443" s="43">
        <v>0.2</v>
      </c>
      <c r="M443" s="48">
        <v>-201.38</v>
      </c>
      <c r="N443" s="48" t="str">
        <f>IF(Table3[[#This Row],[Profit]]&lt;0,"Loss","Profit")</f>
        <v>Loss</v>
      </c>
    </row>
    <row r="444" spans="1:14" ht="15.6" x14ac:dyDescent="0.3">
      <c r="A444" s="31" t="s">
        <v>48</v>
      </c>
      <c r="B444" s="33">
        <v>45724</v>
      </c>
      <c r="C444" s="33">
        <v>45726</v>
      </c>
      <c r="D444" s="54" t="s">
        <v>817</v>
      </c>
      <c r="E444" s="38" t="s">
        <v>1515</v>
      </c>
      <c r="F444" s="40" t="s">
        <v>1519</v>
      </c>
      <c r="G444" s="40" t="s">
        <v>1522</v>
      </c>
      <c r="H444" s="40" t="s">
        <v>1529</v>
      </c>
      <c r="I444" s="40" t="s">
        <v>1567</v>
      </c>
      <c r="J444" s="46">
        <v>4402.3900000000003</v>
      </c>
      <c r="K444" s="3">
        <v>6</v>
      </c>
      <c r="L444" s="43">
        <v>0.1</v>
      </c>
      <c r="M444" s="48">
        <v>-498.52</v>
      </c>
      <c r="N444" s="48" t="str">
        <f>IF(Table3[[#This Row],[Profit]]&lt;0,"Loss","Profit")</f>
        <v>Loss</v>
      </c>
    </row>
    <row r="445" spans="1:14" ht="15.6" x14ac:dyDescent="0.3">
      <c r="A445" s="31" t="s">
        <v>143</v>
      </c>
      <c r="B445" s="33">
        <v>45728</v>
      </c>
      <c r="C445" s="33">
        <v>45730</v>
      </c>
      <c r="D445" s="54" t="s">
        <v>911</v>
      </c>
      <c r="E445" s="38" t="s">
        <v>1515</v>
      </c>
      <c r="F445" s="40" t="s">
        <v>1519</v>
      </c>
      <c r="G445" s="40" t="s">
        <v>1521</v>
      </c>
      <c r="H445" s="40" t="s">
        <v>1528</v>
      </c>
      <c r="I445" s="40" t="s">
        <v>1661</v>
      </c>
      <c r="J445" s="46">
        <v>2301.19</v>
      </c>
      <c r="K445" s="3">
        <v>5</v>
      </c>
      <c r="L445" s="43">
        <v>0.2</v>
      </c>
      <c r="M445" s="48">
        <v>22.01</v>
      </c>
      <c r="N445" s="48" t="str">
        <f>IF(Table3[[#This Row],[Profit]]&lt;0,"Loss","Profit")</f>
        <v>Profit</v>
      </c>
    </row>
    <row r="446" spans="1:14" ht="15.6" x14ac:dyDescent="0.3">
      <c r="A446" s="31" t="s">
        <v>324</v>
      </c>
      <c r="B446" s="33">
        <v>45723</v>
      </c>
      <c r="C446" s="33">
        <v>45731</v>
      </c>
      <c r="D446" s="54" t="s">
        <v>1084</v>
      </c>
      <c r="E446" s="38" t="s">
        <v>1514</v>
      </c>
      <c r="F446" s="40" t="s">
        <v>1519</v>
      </c>
      <c r="G446" s="40" t="s">
        <v>1521</v>
      </c>
      <c r="H446" s="40" t="s">
        <v>1528</v>
      </c>
      <c r="I446" s="40" t="s">
        <v>1835</v>
      </c>
      <c r="J446" s="46">
        <v>4840.43</v>
      </c>
      <c r="K446" s="3">
        <v>4</v>
      </c>
      <c r="L446" s="43">
        <v>0.1</v>
      </c>
      <c r="M446" s="48">
        <v>33.06</v>
      </c>
      <c r="N446" s="48" t="str">
        <f>IF(Table3[[#This Row],[Profit]]&lt;0,"Loss","Profit")</f>
        <v>Profit</v>
      </c>
    </row>
    <row r="447" spans="1:14" ht="15.6" x14ac:dyDescent="0.3">
      <c r="A447" s="31" t="s">
        <v>619</v>
      </c>
      <c r="B447" s="33">
        <v>45725</v>
      </c>
      <c r="C447" s="33">
        <v>45731</v>
      </c>
      <c r="D447" s="54" t="s">
        <v>1373</v>
      </c>
      <c r="E447" s="38" t="s">
        <v>1513</v>
      </c>
      <c r="F447" s="40" t="s">
        <v>1516</v>
      </c>
      <c r="G447" s="40" t="s">
        <v>1520</v>
      </c>
      <c r="H447" s="40" t="s">
        <v>1524</v>
      </c>
      <c r="I447" s="40" t="s">
        <v>2115</v>
      </c>
      <c r="J447" s="46">
        <v>124.59</v>
      </c>
      <c r="K447" s="3">
        <v>5</v>
      </c>
      <c r="L447" s="43">
        <v>0.2</v>
      </c>
      <c r="M447" s="48">
        <v>-16.72</v>
      </c>
      <c r="N447" s="48" t="str">
        <f>IF(Table3[[#This Row],[Profit]]&lt;0,"Loss","Profit")</f>
        <v>Loss</v>
      </c>
    </row>
    <row r="448" spans="1:14" ht="15.6" x14ac:dyDescent="0.3">
      <c r="A448" s="31" t="s">
        <v>535</v>
      </c>
      <c r="B448" s="33">
        <v>45733</v>
      </c>
      <c r="C448" s="33">
        <v>45736</v>
      </c>
      <c r="D448" s="54" t="s">
        <v>1290</v>
      </c>
      <c r="E448" s="38" t="s">
        <v>1514</v>
      </c>
      <c r="F448" s="40" t="s">
        <v>1519</v>
      </c>
      <c r="G448" s="40" t="s">
        <v>1521</v>
      </c>
      <c r="H448" s="40" t="s">
        <v>1526</v>
      </c>
      <c r="I448" s="40" t="s">
        <v>2028</v>
      </c>
      <c r="J448" s="46">
        <v>3413.92</v>
      </c>
      <c r="K448" s="3">
        <v>6</v>
      </c>
      <c r="L448" s="43">
        <v>0.15</v>
      </c>
      <c r="M448" s="48">
        <v>186.29</v>
      </c>
      <c r="N448" s="48" t="str">
        <f>IF(Table3[[#This Row],[Profit]]&lt;0,"Loss","Profit")</f>
        <v>Profit</v>
      </c>
    </row>
    <row r="449" spans="1:14" ht="15.6" x14ac:dyDescent="0.3">
      <c r="A449" s="31" t="s">
        <v>706</v>
      </c>
      <c r="B449" s="33">
        <v>45735</v>
      </c>
      <c r="C449" s="33">
        <v>45737</v>
      </c>
      <c r="D449" s="54" t="s">
        <v>1458</v>
      </c>
      <c r="E449" s="38" t="s">
        <v>1514</v>
      </c>
      <c r="F449" s="40" t="s">
        <v>1517</v>
      </c>
      <c r="G449" s="40" t="s">
        <v>1521</v>
      </c>
      <c r="H449" s="40" t="s">
        <v>1526</v>
      </c>
      <c r="I449" s="40" t="s">
        <v>2195</v>
      </c>
      <c r="J449" s="46">
        <v>2510.42</v>
      </c>
      <c r="K449" s="3">
        <v>4</v>
      </c>
      <c r="L449" s="43">
        <v>0.1</v>
      </c>
      <c r="M449" s="48">
        <v>121.88</v>
      </c>
      <c r="N449" s="48" t="str">
        <f>IF(Table3[[#This Row],[Profit]]&lt;0,"Loss","Profit")</f>
        <v>Profit</v>
      </c>
    </row>
    <row r="450" spans="1:14" ht="15.6" x14ac:dyDescent="0.3">
      <c r="A450" s="31" t="s">
        <v>292</v>
      </c>
      <c r="B450" s="33">
        <v>45728</v>
      </c>
      <c r="C450" s="33">
        <v>45738</v>
      </c>
      <c r="D450" s="54" t="s">
        <v>1055</v>
      </c>
      <c r="E450" s="38" t="s">
        <v>1514</v>
      </c>
      <c r="F450" s="40" t="s">
        <v>1519</v>
      </c>
      <c r="G450" s="40" t="s">
        <v>1522</v>
      </c>
      <c r="H450" s="40" t="s">
        <v>1531</v>
      </c>
      <c r="I450" s="40" t="s">
        <v>1806</v>
      </c>
      <c r="J450" s="46">
        <v>3635.31</v>
      </c>
      <c r="K450" s="3">
        <v>9</v>
      </c>
      <c r="L450" s="43">
        <v>0.05</v>
      </c>
      <c r="M450" s="48">
        <v>231.45</v>
      </c>
      <c r="N450" s="48" t="str">
        <f>IF(Table3[[#This Row],[Profit]]&lt;0,"Loss","Profit")</f>
        <v>Profit</v>
      </c>
    </row>
    <row r="451" spans="1:14" ht="15.6" x14ac:dyDescent="0.3">
      <c r="A451" s="31" t="s">
        <v>670</v>
      </c>
      <c r="B451" s="33">
        <v>45740</v>
      </c>
      <c r="C451" s="33">
        <v>45745</v>
      </c>
      <c r="D451" s="54" t="s">
        <v>1423</v>
      </c>
      <c r="E451" s="38" t="s">
        <v>1513</v>
      </c>
      <c r="F451" s="40" t="s">
        <v>1519</v>
      </c>
      <c r="G451" s="40" t="s">
        <v>1520</v>
      </c>
      <c r="H451" s="40" t="s">
        <v>1525</v>
      </c>
      <c r="I451" s="40" t="s">
        <v>2162</v>
      </c>
      <c r="J451" s="46">
        <v>802.19</v>
      </c>
      <c r="K451" s="3">
        <v>4</v>
      </c>
      <c r="L451" s="43">
        <v>0</v>
      </c>
      <c r="M451" s="48">
        <v>-102.4</v>
      </c>
      <c r="N451" s="48" t="str">
        <f>IF(Table3[[#This Row],[Profit]]&lt;0,"Loss","Profit")</f>
        <v>Loss</v>
      </c>
    </row>
    <row r="452" spans="1:14" ht="15.6" x14ac:dyDescent="0.3">
      <c r="A452" s="31" t="s">
        <v>351</v>
      </c>
      <c r="B452" s="33">
        <v>45741</v>
      </c>
      <c r="C452" s="33">
        <v>45751</v>
      </c>
      <c r="D452" s="54" t="s">
        <v>1110</v>
      </c>
      <c r="E452" s="38" t="s">
        <v>1515</v>
      </c>
      <c r="F452" s="40" t="s">
        <v>1517</v>
      </c>
      <c r="G452" s="40" t="s">
        <v>1522</v>
      </c>
      <c r="H452" s="40" t="s">
        <v>1527</v>
      </c>
      <c r="I452" s="40" t="s">
        <v>1862</v>
      </c>
      <c r="J452" s="46">
        <v>3461.21</v>
      </c>
      <c r="K452" s="3">
        <v>10</v>
      </c>
      <c r="L452" s="43">
        <v>0.2</v>
      </c>
      <c r="M452" s="48">
        <v>122.84</v>
      </c>
      <c r="N452" s="48" t="str">
        <f>IF(Table3[[#This Row],[Profit]]&lt;0,"Loss","Profit")</f>
        <v>Profit</v>
      </c>
    </row>
    <row r="453" spans="1:14" ht="15.6" x14ac:dyDescent="0.3">
      <c r="A453" s="31" t="s">
        <v>388</v>
      </c>
      <c r="B453" s="33">
        <v>45745</v>
      </c>
      <c r="C453" s="33">
        <v>45752</v>
      </c>
      <c r="D453" s="54" t="s">
        <v>1146</v>
      </c>
      <c r="E453" s="38" t="s">
        <v>1513</v>
      </c>
      <c r="F453" s="40" t="s">
        <v>1518</v>
      </c>
      <c r="G453" s="40" t="s">
        <v>1521</v>
      </c>
      <c r="H453" s="40" t="s">
        <v>1530</v>
      </c>
      <c r="I453" s="40" t="s">
        <v>1898</v>
      </c>
      <c r="J453" s="46">
        <v>4252.58</v>
      </c>
      <c r="K453" s="3">
        <v>5</v>
      </c>
      <c r="L453" s="43">
        <v>0</v>
      </c>
      <c r="M453" s="48">
        <v>-370.58</v>
      </c>
      <c r="N453" s="48" t="str">
        <f>IF(Table3[[#This Row],[Profit]]&lt;0,"Loss","Profit")</f>
        <v>Loss</v>
      </c>
    </row>
    <row r="454" spans="1:14" ht="15.6" x14ac:dyDescent="0.3">
      <c r="A454" s="31" t="s">
        <v>444</v>
      </c>
      <c r="B454" s="33">
        <v>45749</v>
      </c>
      <c r="C454" s="33">
        <v>45752</v>
      </c>
      <c r="D454" s="54" t="s">
        <v>1201</v>
      </c>
      <c r="E454" s="38" t="s">
        <v>1515</v>
      </c>
      <c r="F454" s="40" t="s">
        <v>1516</v>
      </c>
      <c r="G454" s="40" t="s">
        <v>1522</v>
      </c>
      <c r="H454" s="40" t="s">
        <v>1527</v>
      </c>
      <c r="I454" s="40" t="s">
        <v>1950</v>
      </c>
      <c r="J454" s="46">
        <v>374.8</v>
      </c>
      <c r="K454" s="3">
        <v>9</v>
      </c>
      <c r="L454" s="43">
        <v>0.15</v>
      </c>
      <c r="M454" s="48">
        <v>-47</v>
      </c>
      <c r="N454" s="48" t="str">
        <f>IF(Table3[[#This Row],[Profit]]&lt;0,"Loss","Profit")</f>
        <v>Loss</v>
      </c>
    </row>
    <row r="455" spans="1:14" ht="15.6" x14ac:dyDescent="0.3">
      <c r="A455" s="31" t="s">
        <v>532</v>
      </c>
      <c r="B455" s="33">
        <v>45749</v>
      </c>
      <c r="C455" s="33">
        <v>45752</v>
      </c>
      <c r="D455" s="54" t="s">
        <v>1287</v>
      </c>
      <c r="E455" s="38" t="s">
        <v>1513</v>
      </c>
      <c r="F455" s="40" t="s">
        <v>1517</v>
      </c>
      <c r="G455" s="40" t="s">
        <v>1521</v>
      </c>
      <c r="H455" s="40" t="s">
        <v>1526</v>
      </c>
      <c r="I455" s="40" t="s">
        <v>2033</v>
      </c>
      <c r="J455" s="46">
        <v>3372.91</v>
      </c>
      <c r="K455" s="3">
        <v>4</v>
      </c>
      <c r="L455" s="43">
        <v>0</v>
      </c>
      <c r="M455" s="48">
        <v>-145.62</v>
      </c>
      <c r="N455" s="48" t="str">
        <f>IF(Table3[[#This Row],[Profit]]&lt;0,"Loss","Profit")</f>
        <v>Loss</v>
      </c>
    </row>
    <row r="456" spans="1:14" ht="15.6" x14ac:dyDescent="0.3">
      <c r="A456" s="31" t="s">
        <v>469</v>
      </c>
      <c r="B456" s="33">
        <v>45752</v>
      </c>
      <c r="C456" s="33">
        <v>45755</v>
      </c>
      <c r="D456" s="54" t="s">
        <v>2276</v>
      </c>
      <c r="E456" s="38" t="s">
        <v>1513</v>
      </c>
      <c r="F456" s="40" t="s">
        <v>1518</v>
      </c>
      <c r="G456" s="40" t="s">
        <v>1521</v>
      </c>
      <c r="H456" s="40" t="s">
        <v>1528</v>
      </c>
      <c r="I456" s="40" t="s">
        <v>1973</v>
      </c>
      <c r="J456" s="46">
        <v>1746.53</v>
      </c>
      <c r="K456" s="3">
        <v>8</v>
      </c>
      <c r="L456" s="43">
        <v>0.1</v>
      </c>
      <c r="M456" s="48">
        <v>371.25</v>
      </c>
      <c r="N456" s="48" t="str">
        <f>IF(Table3[[#This Row],[Profit]]&lt;0,"Loss","Profit")</f>
        <v>Profit</v>
      </c>
    </row>
    <row r="457" spans="1:14" ht="15.6" x14ac:dyDescent="0.3">
      <c r="A457" s="31" t="s">
        <v>690</v>
      </c>
      <c r="B457" s="33">
        <v>45754</v>
      </c>
      <c r="C457" s="33">
        <v>45755</v>
      </c>
      <c r="D457" s="54" t="s">
        <v>1443</v>
      </c>
      <c r="E457" s="38" t="s">
        <v>1513</v>
      </c>
      <c r="F457" s="40" t="s">
        <v>1516</v>
      </c>
      <c r="G457" s="40" t="s">
        <v>1522</v>
      </c>
      <c r="H457" s="40" t="s">
        <v>1531</v>
      </c>
      <c r="I457" s="40" t="s">
        <v>2180</v>
      </c>
      <c r="J457" s="46">
        <v>3351.63</v>
      </c>
      <c r="K457" s="3">
        <v>10</v>
      </c>
      <c r="L457" s="43">
        <v>0.1</v>
      </c>
      <c r="M457" s="48">
        <v>-59.96</v>
      </c>
      <c r="N457" s="48" t="str">
        <f>IF(Table3[[#This Row],[Profit]]&lt;0,"Loss","Profit")</f>
        <v>Loss</v>
      </c>
    </row>
    <row r="458" spans="1:14" ht="15.6" x14ac:dyDescent="0.3">
      <c r="A458" s="31" t="s">
        <v>497</v>
      </c>
      <c r="B458" s="33">
        <v>45750</v>
      </c>
      <c r="C458" s="33">
        <v>45756</v>
      </c>
      <c r="D458" s="54" t="s">
        <v>1253</v>
      </c>
      <c r="E458" s="38" t="s">
        <v>1515</v>
      </c>
      <c r="F458" s="40" t="s">
        <v>1516</v>
      </c>
      <c r="G458" s="40" t="s">
        <v>1521</v>
      </c>
      <c r="H458" s="40" t="s">
        <v>1530</v>
      </c>
      <c r="I458" s="40" t="s">
        <v>2000</v>
      </c>
      <c r="J458" s="46">
        <v>583.44000000000005</v>
      </c>
      <c r="K458" s="3">
        <v>7</v>
      </c>
      <c r="L458" s="43">
        <v>0</v>
      </c>
      <c r="M458" s="48">
        <v>180.66</v>
      </c>
      <c r="N458" s="48" t="str">
        <f>IF(Table3[[#This Row],[Profit]]&lt;0,"Loss","Profit")</f>
        <v>Profit</v>
      </c>
    </row>
    <row r="459" spans="1:14" ht="15.6" x14ac:dyDescent="0.3">
      <c r="A459" s="31" t="s">
        <v>394</v>
      </c>
      <c r="B459" s="33">
        <v>45756</v>
      </c>
      <c r="C459" s="33">
        <v>45761</v>
      </c>
      <c r="D459" s="54" t="s">
        <v>1152</v>
      </c>
      <c r="E459" s="38" t="s">
        <v>1515</v>
      </c>
      <c r="F459" s="40" t="s">
        <v>1519</v>
      </c>
      <c r="G459" s="40" t="s">
        <v>1522</v>
      </c>
      <c r="H459" s="40" t="s">
        <v>1529</v>
      </c>
      <c r="I459" s="40" t="s">
        <v>1904</v>
      </c>
      <c r="J459" s="46">
        <v>2343.5700000000002</v>
      </c>
      <c r="K459" s="3">
        <v>2</v>
      </c>
      <c r="L459" s="43">
        <v>0</v>
      </c>
      <c r="M459" s="48">
        <v>-265.55</v>
      </c>
      <c r="N459" s="48" t="str">
        <f>IF(Table3[[#This Row],[Profit]]&lt;0,"Loss","Profit")</f>
        <v>Loss</v>
      </c>
    </row>
    <row r="460" spans="1:14" ht="15.6" x14ac:dyDescent="0.3">
      <c r="A460" s="31" t="s">
        <v>473</v>
      </c>
      <c r="B460" s="33">
        <v>45759</v>
      </c>
      <c r="C460" s="33">
        <v>45762</v>
      </c>
      <c r="D460" s="54" t="s">
        <v>1230</v>
      </c>
      <c r="E460" s="38" t="s">
        <v>1513</v>
      </c>
      <c r="F460" s="40" t="s">
        <v>1519</v>
      </c>
      <c r="G460" s="40" t="s">
        <v>1521</v>
      </c>
      <c r="H460" s="40" t="s">
        <v>1528</v>
      </c>
      <c r="I460" s="40" t="s">
        <v>1976</v>
      </c>
      <c r="J460" s="46">
        <v>1067.2</v>
      </c>
      <c r="K460" s="3">
        <v>1</v>
      </c>
      <c r="L460" s="43">
        <v>0.1</v>
      </c>
      <c r="M460" s="48">
        <v>33.590000000000003</v>
      </c>
      <c r="N460" s="48" t="str">
        <f>IF(Table3[[#This Row],[Profit]]&lt;0,"Loss","Profit")</f>
        <v>Profit</v>
      </c>
    </row>
    <row r="461" spans="1:14" ht="15.6" x14ac:dyDescent="0.3">
      <c r="A461" s="31" t="s">
        <v>413</v>
      </c>
      <c r="B461" s="33">
        <v>45757</v>
      </c>
      <c r="C461" s="33">
        <v>45763</v>
      </c>
      <c r="D461" s="54" t="s">
        <v>1170</v>
      </c>
      <c r="E461" s="38" t="s">
        <v>1515</v>
      </c>
      <c r="F461" s="40" t="s">
        <v>1518</v>
      </c>
      <c r="G461" s="40" t="s">
        <v>1521</v>
      </c>
      <c r="H461" s="40" t="s">
        <v>1526</v>
      </c>
      <c r="I461" s="40" t="s">
        <v>1922</v>
      </c>
      <c r="J461" s="46">
        <v>725.44</v>
      </c>
      <c r="K461" s="3">
        <v>3</v>
      </c>
      <c r="L461" s="43">
        <v>0.2</v>
      </c>
      <c r="M461" s="48">
        <v>233.43</v>
      </c>
      <c r="N461" s="48" t="str">
        <f>IF(Table3[[#This Row],[Profit]]&lt;0,"Loss","Profit")</f>
        <v>Profit</v>
      </c>
    </row>
    <row r="462" spans="1:14" ht="15.6" x14ac:dyDescent="0.3">
      <c r="A462" s="31" t="s">
        <v>138</v>
      </c>
      <c r="B462" s="33">
        <v>45754</v>
      </c>
      <c r="C462" s="33">
        <v>45764</v>
      </c>
      <c r="D462" s="54" t="s">
        <v>906</v>
      </c>
      <c r="E462" s="38" t="s">
        <v>1515</v>
      </c>
      <c r="F462" s="40" t="s">
        <v>1516</v>
      </c>
      <c r="G462" s="40" t="s">
        <v>1520</v>
      </c>
      <c r="H462" s="40" t="s">
        <v>1523</v>
      </c>
      <c r="I462" s="40" t="s">
        <v>1656</v>
      </c>
      <c r="J462" s="46">
        <v>1290.5999999999999</v>
      </c>
      <c r="K462" s="3">
        <v>3</v>
      </c>
      <c r="L462" s="43">
        <v>0.2</v>
      </c>
      <c r="M462" s="48">
        <v>-189.15</v>
      </c>
      <c r="N462" s="48" t="str">
        <f>IF(Table3[[#This Row],[Profit]]&lt;0,"Loss","Profit")</f>
        <v>Loss</v>
      </c>
    </row>
    <row r="463" spans="1:14" ht="15.6" x14ac:dyDescent="0.3">
      <c r="A463" s="31" t="s">
        <v>59</v>
      </c>
      <c r="B463" s="33">
        <v>45757</v>
      </c>
      <c r="C463" s="33">
        <v>45766</v>
      </c>
      <c r="D463" s="54" t="s">
        <v>828</v>
      </c>
      <c r="E463" s="38" t="s">
        <v>1513</v>
      </c>
      <c r="F463" s="40" t="s">
        <v>1519</v>
      </c>
      <c r="G463" s="40" t="s">
        <v>1521</v>
      </c>
      <c r="H463" s="40" t="s">
        <v>1528</v>
      </c>
      <c r="I463" s="40" t="s">
        <v>1578</v>
      </c>
      <c r="J463" s="46">
        <v>2028.41</v>
      </c>
      <c r="K463" s="3">
        <v>9</v>
      </c>
      <c r="L463" s="43">
        <v>0.1</v>
      </c>
      <c r="M463" s="48">
        <v>642.15</v>
      </c>
      <c r="N463" s="48" t="str">
        <f>IF(Table3[[#This Row],[Profit]]&lt;0,"Loss","Profit")</f>
        <v>Profit</v>
      </c>
    </row>
    <row r="464" spans="1:14" ht="15.6" x14ac:dyDescent="0.3">
      <c r="A464" s="31" t="s">
        <v>144</v>
      </c>
      <c r="B464" s="33">
        <v>45763</v>
      </c>
      <c r="C464" s="33">
        <v>45767</v>
      </c>
      <c r="D464" s="54" t="s">
        <v>912</v>
      </c>
      <c r="E464" s="38" t="s">
        <v>1515</v>
      </c>
      <c r="F464" s="40" t="s">
        <v>1517</v>
      </c>
      <c r="G464" s="40" t="s">
        <v>1522</v>
      </c>
      <c r="H464" s="40" t="s">
        <v>1527</v>
      </c>
      <c r="I464" s="40" t="s">
        <v>1662</v>
      </c>
      <c r="J464" s="46">
        <v>2383.81</v>
      </c>
      <c r="K464" s="3">
        <v>10</v>
      </c>
      <c r="L464" s="43">
        <v>0.2</v>
      </c>
      <c r="M464" s="48">
        <v>-46.71</v>
      </c>
      <c r="N464" s="48" t="str">
        <f>IF(Table3[[#This Row],[Profit]]&lt;0,"Loss","Profit")</f>
        <v>Loss</v>
      </c>
    </row>
    <row r="465" spans="1:14" ht="15.6" x14ac:dyDescent="0.3">
      <c r="A465" s="31" t="s">
        <v>291</v>
      </c>
      <c r="B465" s="33">
        <v>45765</v>
      </c>
      <c r="C465" s="33">
        <v>45767</v>
      </c>
      <c r="D465" s="54" t="s">
        <v>1054</v>
      </c>
      <c r="E465" s="38" t="s">
        <v>1515</v>
      </c>
      <c r="F465" s="40" t="s">
        <v>1516</v>
      </c>
      <c r="G465" s="40" t="s">
        <v>1521</v>
      </c>
      <c r="H465" s="40" t="s">
        <v>1526</v>
      </c>
      <c r="I465" s="40" t="s">
        <v>1805</v>
      </c>
      <c r="J465" s="46">
        <v>2701.4</v>
      </c>
      <c r="K465" s="3">
        <v>4</v>
      </c>
      <c r="L465" s="43">
        <v>0</v>
      </c>
      <c r="M465" s="48">
        <v>-141.41</v>
      </c>
      <c r="N465" s="48" t="str">
        <f>IF(Table3[[#This Row],[Profit]]&lt;0,"Loss","Profit")</f>
        <v>Loss</v>
      </c>
    </row>
    <row r="466" spans="1:14" ht="15.6" x14ac:dyDescent="0.3">
      <c r="A466" s="31" t="s">
        <v>416</v>
      </c>
      <c r="B466" s="33">
        <v>45767</v>
      </c>
      <c r="C466" s="33">
        <v>45768</v>
      </c>
      <c r="D466" s="54" t="s">
        <v>1173</v>
      </c>
      <c r="E466" s="38" t="s">
        <v>1515</v>
      </c>
      <c r="F466" s="40" t="s">
        <v>1518</v>
      </c>
      <c r="G466" s="40" t="s">
        <v>1522</v>
      </c>
      <c r="H466" s="40" t="s">
        <v>1527</v>
      </c>
      <c r="I466" s="40" t="s">
        <v>1924</v>
      </c>
      <c r="J466" s="46">
        <v>4746.5</v>
      </c>
      <c r="K466" s="3">
        <v>10</v>
      </c>
      <c r="L466" s="43">
        <v>0.15</v>
      </c>
      <c r="M466" s="48">
        <v>1271.6600000000001</v>
      </c>
      <c r="N466" s="48" t="str">
        <f>IF(Table3[[#This Row],[Profit]]&lt;0,"Loss","Profit")</f>
        <v>Profit</v>
      </c>
    </row>
    <row r="467" spans="1:14" ht="15.6" x14ac:dyDescent="0.3">
      <c r="A467" s="31" t="s">
        <v>98</v>
      </c>
      <c r="B467" s="33">
        <v>45760</v>
      </c>
      <c r="C467" s="33">
        <v>45769</v>
      </c>
      <c r="D467" s="54" t="s">
        <v>867</v>
      </c>
      <c r="E467" s="38" t="s">
        <v>1514</v>
      </c>
      <c r="F467" s="40" t="s">
        <v>1517</v>
      </c>
      <c r="G467" s="40" t="s">
        <v>1520</v>
      </c>
      <c r="H467" s="40" t="s">
        <v>1525</v>
      </c>
      <c r="I467" s="40" t="s">
        <v>1617</v>
      </c>
      <c r="J467" s="46">
        <v>3004.11</v>
      </c>
      <c r="K467" s="3">
        <v>2</v>
      </c>
      <c r="L467" s="43">
        <v>0.05</v>
      </c>
      <c r="M467" s="48">
        <v>-111.35</v>
      </c>
      <c r="N467" s="48" t="str">
        <f>IF(Table3[[#This Row],[Profit]]&lt;0,"Loss","Profit")</f>
        <v>Loss</v>
      </c>
    </row>
    <row r="468" spans="1:14" ht="15.6" x14ac:dyDescent="0.3">
      <c r="A468" s="31" t="s">
        <v>519</v>
      </c>
      <c r="B468" s="33">
        <v>45766</v>
      </c>
      <c r="C468" s="33">
        <v>45771</v>
      </c>
      <c r="D468" s="54" t="s">
        <v>2257</v>
      </c>
      <c r="E468" s="38" t="s">
        <v>1513</v>
      </c>
      <c r="F468" s="40" t="s">
        <v>1517</v>
      </c>
      <c r="G468" s="40" t="s">
        <v>1521</v>
      </c>
      <c r="H468" s="40" t="s">
        <v>1530</v>
      </c>
      <c r="I468" s="40" t="s">
        <v>2021</v>
      </c>
      <c r="J468" s="46">
        <v>4496.49</v>
      </c>
      <c r="K468" s="3">
        <v>4</v>
      </c>
      <c r="L468" s="43">
        <v>0.1</v>
      </c>
      <c r="M468" s="48">
        <v>371.6</v>
      </c>
      <c r="N468" s="48" t="str">
        <f>IF(Table3[[#This Row],[Profit]]&lt;0,"Loss","Profit")</f>
        <v>Profit</v>
      </c>
    </row>
    <row r="469" spans="1:14" ht="15.6" x14ac:dyDescent="0.3">
      <c r="A469" s="31" t="s">
        <v>341</v>
      </c>
      <c r="B469" s="33">
        <v>45764</v>
      </c>
      <c r="C469" s="33">
        <v>45772</v>
      </c>
      <c r="D469" s="54" t="s">
        <v>1101</v>
      </c>
      <c r="E469" s="38" t="s">
        <v>1515</v>
      </c>
      <c r="F469" s="40" t="s">
        <v>1517</v>
      </c>
      <c r="G469" s="40" t="s">
        <v>1521</v>
      </c>
      <c r="H469" s="40" t="s">
        <v>1526</v>
      </c>
      <c r="I469" s="40" t="s">
        <v>1852</v>
      </c>
      <c r="J469" s="46">
        <v>3105.95</v>
      </c>
      <c r="K469" s="3">
        <v>5</v>
      </c>
      <c r="L469" s="43">
        <v>0.2</v>
      </c>
      <c r="M469" s="48">
        <v>386.98</v>
      </c>
      <c r="N469" s="48" t="str">
        <f>IF(Table3[[#This Row],[Profit]]&lt;0,"Loss","Profit")</f>
        <v>Profit</v>
      </c>
    </row>
    <row r="470" spans="1:14" ht="15.6" x14ac:dyDescent="0.3">
      <c r="A470" s="31" t="s">
        <v>637</v>
      </c>
      <c r="B470" s="33">
        <v>45765</v>
      </c>
      <c r="C470" s="33">
        <v>45772</v>
      </c>
      <c r="D470" s="54" t="s">
        <v>1391</v>
      </c>
      <c r="E470" s="38" t="s">
        <v>1514</v>
      </c>
      <c r="F470" s="40" t="s">
        <v>1519</v>
      </c>
      <c r="G470" s="40" t="s">
        <v>1522</v>
      </c>
      <c r="H470" s="40" t="s">
        <v>1527</v>
      </c>
      <c r="I470" s="40" t="s">
        <v>2133</v>
      </c>
      <c r="J470" s="46">
        <v>2548.23</v>
      </c>
      <c r="K470" s="3">
        <v>3</v>
      </c>
      <c r="L470" s="43">
        <v>0.2</v>
      </c>
      <c r="M470" s="48">
        <v>889.69</v>
      </c>
      <c r="N470" s="48" t="str">
        <f>IF(Table3[[#This Row],[Profit]]&lt;0,"Loss","Profit")</f>
        <v>Profit</v>
      </c>
    </row>
    <row r="471" spans="1:14" ht="15.6" x14ac:dyDescent="0.3">
      <c r="A471" s="31" t="s">
        <v>757</v>
      </c>
      <c r="B471" s="33">
        <v>45768</v>
      </c>
      <c r="C471" s="33">
        <v>45772</v>
      </c>
      <c r="D471" s="54" t="s">
        <v>1508</v>
      </c>
      <c r="E471" s="38" t="s">
        <v>1513</v>
      </c>
      <c r="F471" s="40" t="s">
        <v>1517</v>
      </c>
      <c r="G471" s="40" t="s">
        <v>1522</v>
      </c>
      <c r="H471" s="40" t="s">
        <v>1527</v>
      </c>
      <c r="I471" s="40" t="s">
        <v>2241</v>
      </c>
      <c r="J471" s="46">
        <v>4754.92</v>
      </c>
      <c r="K471" s="3">
        <v>2</v>
      </c>
      <c r="L471" s="43">
        <v>0.2</v>
      </c>
      <c r="M471" s="48">
        <v>1553.85</v>
      </c>
      <c r="N471" s="48" t="str">
        <f>IF(Table3[[#This Row],[Profit]]&lt;0,"Loss","Profit")</f>
        <v>Profit</v>
      </c>
    </row>
    <row r="472" spans="1:14" ht="15.6" x14ac:dyDescent="0.3">
      <c r="A472" s="31" t="s">
        <v>378</v>
      </c>
      <c r="B472" s="33">
        <v>45769</v>
      </c>
      <c r="C472" s="33">
        <v>45775</v>
      </c>
      <c r="D472" s="54" t="s">
        <v>1136</v>
      </c>
      <c r="E472" s="38" t="s">
        <v>1515</v>
      </c>
      <c r="F472" s="40" t="s">
        <v>1519</v>
      </c>
      <c r="G472" s="40" t="s">
        <v>1522</v>
      </c>
      <c r="H472" s="40" t="s">
        <v>1529</v>
      </c>
      <c r="I472" s="40" t="s">
        <v>1888</v>
      </c>
      <c r="J472" s="46">
        <v>2638.88</v>
      </c>
      <c r="K472" s="3">
        <v>5</v>
      </c>
      <c r="L472" s="43">
        <v>0.05</v>
      </c>
      <c r="M472" s="48">
        <v>11.95</v>
      </c>
      <c r="N472" s="48" t="str">
        <f>IF(Table3[[#This Row],[Profit]]&lt;0,"Loss","Profit")</f>
        <v>Profit</v>
      </c>
    </row>
    <row r="473" spans="1:14" ht="15.6" x14ac:dyDescent="0.3">
      <c r="A473" s="31" t="s">
        <v>161</v>
      </c>
      <c r="B473" s="33">
        <v>45771</v>
      </c>
      <c r="C473" s="33">
        <v>45778</v>
      </c>
      <c r="D473" s="54" t="s">
        <v>928</v>
      </c>
      <c r="E473" s="38" t="s">
        <v>1515</v>
      </c>
      <c r="F473" s="40" t="s">
        <v>1519</v>
      </c>
      <c r="G473" s="40" t="s">
        <v>1522</v>
      </c>
      <c r="H473" s="40" t="s">
        <v>1531</v>
      </c>
      <c r="I473" s="40" t="s">
        <v>1679</v>
      </c>
      <c r="J473" s="46">
        <v>527.99</v>
      </c>
      <c r="K473" s="3">
        <v>6</v>
      </c>
      <c r="L473" s="43">
        <v>0.05</v>
      </c>
      <c r="M473" s="48">
        <v>55.97</v>
      </c>
      <c r="N473" s="48" t="str">
        <f>IF(Table3[[#This Row],[Profit]]&lt;0,"Loss","Profit")</f>
        <v>Profit</v>
      </c>
    </row>
    <row r="474" spans="1:14" ht="15.6" x14ac:dyDescent="0.3">
      <c r="A474" s="31" t="s">
        <v>369</v>
      </c>
      <c r="B474" s="33">
        <v>45773</v>
      </c>
      <c r="C474" s="33">
        <v>45778</v>
      </c>
      <c r="D474" s="54" t="s">
        <v>1128</v>
      </c>
      <c r="E474" s="38" t="s">
        <v>1514</v>
      </c>
      <c r="F474" s="40" t="s">
        <v>1519</v>
      </c>
      <c r="G474" s="40" t="s">
        <v>1520</v>
      </c>
      <c r="H474" s="40" t="s">
        <v>1523</v>
      </c>
      <c r="I474" s="40" t="s">
        <v>1880</v>
      </c>
      <c r="J474" s="46">
        <v>1066.96</v>
      </c>
      <c r="K474" s="3">
        <v>10</v>
      </c>
      <c r="L474" s="43">
        <v>0.2</v>
      </c>
      <c r="M474" s="48">
        <v>-102.69</v>
      </c>
      <c r="N474" s="48" t="str">
        <f>IF(Table3[[#This Row],[Profit]]&lt;0,"Loss","Profit")</f>
        <v>Loss</v>
      </c>
    </row>
    <row r="475" spans="1:14" ht="15.6" x14ac:dyDescent="0.3">
      <c r="A475" s="31" t="s">
        <v>580</v>
      </c>
      <c r="B475" s="33">
        <v>45774</v>
      </c>
      <c r="C475" s="33">
        <v>45778</v>
      </c>
      <c r="D475" s="54" t="s">
        <v>2277</v>
      </c>
      <c r="E475" s="38" t="s">
        <v>1513</v>
      </c>
      <c r="F475" s="40" t="s">
        <v>1516</v>
      </c>
      <c r="G475" s="40" t="s">
        <v>1522</v>
      </c>
      <c r="H475" s="40" t="s">
        <v>1531</v>
      </c>
      <c r="I475" s="40" t="s">
        <v>2080</v>
      </c>
      <c r="J475" s="46">
        <v>4189.8599999999997</v>
      </c>
      <c r="K475" s="3">
        <v>6</v>
      </c>
      <c r="L475" s="43">
        <v>0.05</v>
      </c>
      <c r="M475" s="48">
        <v>957.03</v>
      </c>
      <c r="N475" s="48" t="str">
        <f>IF(Table3[[#This Row],[Profit]]&lt;0,"Loss","Profit")</f>
        <v>Profit</v>
      </c>
    </row>
    <row r="476" spans="1:14" ht="15.6" x14ac:dyDescent="0.3">
      <c r="A476" s="31" t="s">
        <v>391</v>
      </c>
      <c r="B476" s="33">
        <v>45771</v>
      </c>
      <c r="C476" s="33">
        <v>45781</v>
      </c>
      <c r="D476" s="54" t="s">
        <v>1149</v>
      </c>
      <c r="E476" s="38" t="s">
        <v>1514</v>
      </c>
      <c r="F476" s="40" t="s">
        <v>1518</v>
      </c>
      <c r="G476" s="40" t="s">
        <v>1522</v>
      </c>
      <c r="H476" s="40" t="s">
        <v>1527</v>
      </c>
      <c r="I476" s="40" t="s">
        <v>1901</v>
      </c>
      <c r="J476" s="46">
        <v>358.3</v>
      </c>
      <c r="K476" s="3">
        <v>3</v>
      </c>
      <c r="L476" s="43">
        <v>0.05</v>
      </c>
      <c r="M476" s="48">
        <v>-14.18</v>
      </c>
      <c r="N476" s="48" t="str">
        <f>IF(Table3[[#This Row],[Profit]]&lt;0,"Loss","Profit")</f>
        <v>Loss</v>
      </c>
    </row>
    <row r="477" spans="1:14" ht="15.6" x14ac:dyDescent="0.3">
      <c r="A477" s="31" t="s">
        <v>752</v>
      </c>
      <c r="B477" s="33">
        <v>45775</v>
      </c>
      <c r="C477" s="33">
        <v>45781</v>
      </c>
      <c r="D477" s="54" t="s">
        <v>1503</v>
      </c>
      <c r="E477" s="38" t="s">
        <v>1515</v>
      </c>
      <c r="F477" s="40" t="s">
        <v>1519</v>
      </c>
      <c r="G477" s="40" t="s">
        <v>1521</v>
      </c>
      <c r="H477" s="40" t="s">
        <v>1526</v>
      </c>
      <c r="I477" s="40" t="s">
        <v>2237</v>
      </c>
      <c r="J477" s="46">
        <v>4810.7299999999996</v>
      </c>
      <c r="K477" s="3">
        <v>1</v>
      </c>
      <c r="L477" s="43">
        <v>0</v>
      </c>
      <c r="M477" s="48">
        <v>1466.03</v>
      </c>
      <c r="N477" s="48" t="str">
        <f>IF(Table3[[#This Row],[Profit]]&lt;0,"Loss","Profit")</f>
        <v>Profit</v>
      </c>
    </row>
    <row r="478" spans="1:14" ht="15.6" x14ac:dyDescent="0.3">
      <c r="A478" s="31" t="s">
        <v>148</v>
      </c>
      <c r="B478" s="33">
        <v>45776</v>
      </c>
      <c r="C478" s="33">
        <v>45782</v>
      </c>
      <c r="D478" s="54" t="s">
        <v>915</v>
      </c>
      <c r="E478" s="38" t="s">
        <v>1513</v>
      </c>
      <c r="F478" s="40" t="s">
        <v>1519</v>
      </c>
      <c r="G478" s="40" t="s">
        <v>1521</v>
      </c>
      <c r="H478" s="40" t="s">
        <v>1530</v>
      </c>
      <c r="I478" s="40" t="s">
        <v>1666</v>
      </c>
      <c r="J478" s="46">
        <v>1125.48</v>
      </c>
      <c r="K478" s="3">
        <v>8</v>
      </c>
      <c r="L478" s="43">
        <v>0.05</v>
      </c>
      <c r="M478" s="48">
        <v>304.44</v>
      </c>
      <c r="N478" s="48" t="str">
        <f>IF(Table3[[#This Row],[Profit]]&lt;0,"Loss","Profit")</f>
        <v>Profit</v>
      </c>
    </row>
    <row r="479" spans="1:14" ht="15.6" x14ac:dyDescent="0.3">
      <c r="A479" s="31" t="s">
        <v>69</v>
      </c>
      <c r="B479" s="33">
        <v>45773</v>
      </c>
      <c r="C479" s="33">
        <v>45783</v>
      </c>
      <c r="D479" s="54" t="s">
        <v>838</v>
      </c>
      <c r="E479" s="38" t="s">
        <v>1513</v>
      </c>
      <c r="F479" s="40" t="s">
        <v>1516</v>
      </c>
      <c r="G479" s="40" t="s">
        <v>1521</v>
      </c>
      <c r="H479" s="40" t="s">
        <v>1528</v>
      </c>
      <c r="I479" s="40" t="s">
        <v>1588</v>
      </c>
      <c r="J479" s="46">
        <v>1012.45</v>
      </c>
      <c r="K479" s="3">
        <v>7</v>
      </c>
      <c r="L479" s="43">
        <v>0.15</v>
      </c>
      <c r="M479" s="48">
        <v>20.059999999999999</v>
      </c>
      <c r="N479" s="48" t="str">
        <f>IF(Table3[[#This Row],[Profit]]&lt;0,"Loss","Profit")</f>
        <v>Profit</v>
      </c>
    </row>
    <row r="480" spans="1:14" ht="15.6" x14ac:dyDescent="0.3">
      <c r="A480" s="31" t="s">
        <v>547</v>
      </c>
      <c r="B480" s="33">
        <v>45775</v>
      </c>
      <c r="C480" s="33">
        <v>45783</v>
      </c>
      <c r="D480" s="54" t="s">
        <v>1301</v>
      </c>
      <c r="E480" s="38" t="s">
        <v>1513</v>
      </c>
      <c r="F480" s="40" t="s">
        <v>1517</v>
      </c>
      <c r="G480" s="40" t="s">
        <v>1520</v>
      </c>
      <c r="H480" s="40" t="s">
        <v>1523</v>
      </c>
      <c r="I480" s="40" t="s">
        <v>2047</v>
      </c>
      <c r="J480" s="46">
        <v>869.75</v>
      </c>
      <c r="K480" s="3">
        <v>2</v>
      </c>
      <c r="L480" s="43">
        <v>0.2</v>
      </c>
      <c r="M480" s="48">
        <v>133.87</v>
      </c>
      <c r="N480" s="48" t="str">
        <f>IF(Table3[[#This Row],[Profit]]&lt;0,"Loss","Profit")</f>
        <v>Profit</v>
      </c>
    </row>
    <row r="481" spans="1:14" ht="15.6" x14ac:dyDescent="0.3">
      <c r="A481" s="31" t="s">
        <v>47</v>
      </c>
      <c r="B481" s="33">
        <v>45782</v>
      </c>
      <c r="C481" s="33">
        <v>45783</v>
      </c>
      <c r="D481" s="54" t="s">
        <v>2278</v>
      </c>
      <c r="E481" s="38" t="s">
        <v>1513</v>
      </c>
      <c r="F481" s="40" t="s">
        <v>1519</v>
      </c>
      <c r="G481" s="40" t="s">
        <v>1521</v>
      </c>
      <c r="H481" s="40" t="s">
        <v>1530</v>
      </c>
      <c r="I481" s="40" t="s">
        <v>1566</v>
      </c>
      <c r="J481" s="46">
        <v>2318.5100000000002</v>
      </c>
      <c r="K481" s="3">
        <v>10</v>
      </c>
      <c r="L481" s="43">
        <v>0</v>
      </c>
      <c r="M481" s="48">
        <v>-370.28</v>
      </c>
      <c r="N481" s="48" t="str">
        <f>IF(Table3[[#This Row],[Profit]]&lt;0,"Loss","Profit")</f>
        <v>Loss</v>
      </c>
    </row>
    <row r="482" spans="1:14" ht="15.6" x14ac:dyDescent="0.3">
      <c r="A482" s="31" t="s">
        <v>249</v>
      </c>
      <c r="B482" s="33">
        <v>45775</v>
      </c>
      <c r="C482" s="33">
        <v>45785</v>
      </c>
      <c r="D482" s="54" t="s">
        <v>1013</v>
      </c>
      <c r="E482" s="38" t="s">
        <v>1514</v>
      </c>
      <c r="F482" s="40" t="s">
        <v>1517</v>
      </c>
      <c r="G482" s="40" t="s">
        <v>1520</v>
      </c>
      <c r="H482" s="40" t="s">
        <v>1523</v>
      </c>
      <c r="I482" s="40" t="s">
        <v>1765</v>
      </c>
      <c r="J482" s="46">
        <v>2428.2199999999998</v>
      </c>
      <c r="K482" s="3">
        <v>9</v>
      </c>
      <c r="L482" s="43">
        <v>0.2</v>
      </c>
      <c r="M482" s="48">
        <v>477.51</v>
      </c>
      <c r="N482" s="48" t="str">
        <f>IF(Table3[[#This Row],[Profit]]&lt;0,"Loss","Profit")</f>
        <v>Profit</v>
      </c>
    </row>
    <row r="483" spans="1:14" ht="15.6" x14ac:dyDescent="0.3">
      <c r="A483" s="31" t="s">
        <v>592</v>
      </c>
      <c r="B483" s="33">
        <v>45777</v>
      </c>
      <c r="C483" s="33">
        <v>45786</v>
      </c>
      <c r="D483" s="54" t="s">
        <v>1346</v>
      </c>
      <c r="E483" s="38" t="s">
        <v>1513</v>
      </c>
      <c r="F483" s="40" t="s">
        <v>1519</v>
      </c>
      <c r="G483" s="40" t="s">
        <v>1521</v>
      </c>
      <c r="H483" s="40" t="s">
        <v>1528</v>
      </c>
      <c r="I483" s="40" t="s">
        <v>2037</v>
      </c>
      <c r="J483" s="46">
        <v>4662.63</v>
      </c>
      <c r="K483" s="3">
        <v>5</v>
      </c>
      <c r="L483" s="43">
        <v>0.1</v>
      </c>
      <c r="M483" s="48">
        <v>-881.66</v>
      </c>
      <c r="N483" s="48" t="str">
        <f>IF(Table3[[#This Row],[Profit]]&lt;0,"Loss","Profit")</f>
        <v>Loss</v>
      </c>
    </row>
    <row r="484" spans="1:14" ht="15.6" x14ac:dyDescent="0.3">
      <c r="A484" s="31" t="s">
        <v>145</v>
      </c>
      <c r="B484" s="33" t="s">
        <v>767</v>
      </c>
      <c r="C484" s="33">
        <v>45787</v>
      </c>
      <c r="D484" s="54" t="s">
        <v>913</v>
      </c>
      <c r="E484" s="38" t="s">
        <v>1513</v>
      </c>
      <c r="F484" s="40" t="s">
        <v>1516</v>
      </c>
      <c r="G484" s="40" t="s">
        <v>1520</v>
      </c>
      <c r="H484" s="40" t="s">
        <v>1523</v>
      </c>
      <c r="I484" s="40" t="s">
        <v>1663</v>
      </c>
      <c r="J484" s="46">
        <v>4551.47</v>
      </c>
      <c r="K484" s="3">
        <v>5</v>
      </c>
      <c r="L484" s="43">
        <v>0.2</v>
      </c>
      <c r="M484" s="48">
        <v>111.8</v>
      </c>
      <c r="N484" s="48" t="str">
        <f>IF(Table3[[#This Row],[Profit]]&lt;0,"Loss","Profit")</f>
        <v>Profit</v>
      </c>
    </row>
    <row r="485" spans="1:14" ht="15.6" x14ac:dyDescent="0.3">
      <c r="A485" s="31" t="s">
        <v>236</v>
      </c>
      <c r="B485" s="33">
        <v>45785</v>
      </c>
      <c r="C485" s="33">
        <v>45788</v>
      </c>
      <c r="D485" s="54" t="s">
        <v>1000</v>
      </c>
      <c r="E485" s="38" t="s">
        <v>1514</v>
      </c>
      <c r="F485" s="40" t="s">
        <v>1517</v>
      </c>
      <c r="G485" s="40" t="s">
        <v>1521</v>
      </c>
      <c r="H485" s="40" t="s">
        <v>1530</v>
      </c>
      <c r="I485" s="40" t="s">
        <v>1752</v>
      </c>
      <c r="J485" s="46">
        <v>529.22</v>
      </c>
      <c r="K485" s="3">
        <v>5</v>
      </c>
      <c r="L485" s="43">
        <v>0.15</v>
      </c>
      <c r="M485" s="48">
        <v>145.69</v>
      </c>
      <c r="N485" s="48" t="str">
        <f>IF(Table3[[#This Row],[Profit]]&lt;0,"Loss","Profit")</f>
        <v>Profit</v>
      </c>
    </row>
    <row r="486" spans="1:14" ht="15.6" x14ac:dyDescent="0.3">
      <c r="A486" s="31" t="s">
        <v>183</v>
      </c>
      <c r="B486" s="33">
        <v>45782</v>
      </c>
      <c r="C486" s="33">
        <v>45791</v>
      </c>
      <c r="D486" s="54" t="s">
        <v>2279</v>
      </c>
      <c r="E486" s="38" t="s">
        <v>1515</v>
      </c>
      <c r="F486" s="40" t="s">
        <v>1517</v>
      </c>
      <c r="G486" s="40" t="s">
        <v>1521</v>
      </c>
      <c r="H486" s="40" t="s">
        <v>1528</v>
      </c>
      <c r="I486" s="40" t="s">
        <v>1700</v>
      </c>
      <c r="J486" s="46">
        <v>4773.45</v>
      </c>
      <c r="K486" s="3">
        <v>1</v>
      </c>
      <c r="L486" s="43">
        <v>0.15</v>
      </c>
      <c r="M486" s="48">
        <v>1431.93</v>
      </c>
      <c r="N486" s="48" t="str">
        <f>IF(Table3[[#This Row],[Profit]]&lt;0,"Loss","Profit")</f>
        <v>Profit</v>
      </c>
    </row>
    <row r="487" spans="1:14" ht="15.6" x14ac:dyDescent="0.3">
      <c r="A487" s="31" t="s">
        <v>256</v>
      </c>
      <c r="B487" s="33">
        <v>45782</v>
      </c>
      <c r="C487" s="33">
        <v>45792</v>
      </c>
      <c r="D487" s="54" t="s">
        <v>1020</v>
      </c>
      <c r="E487" s="38" t="s">
        <v>1513</v>
      </c>
      <c r="F487" s="40" t="s">
        <v>1519</v>
      </c>
      <c r="G487" s="40" t="s">
        <v>1521</v>
      </c>
      <c r="H487" s="40" t="s">
        <v>1530</v>
      </c>
      <c r="I487" s="40" t="s">
        <v>1772</v>
      </c>
      <c r="J487" s="46">
        <v>3399.28</v>
      </c>
      <c r="K487" s="3">
        <v>7</v>
      </c>
      <c r="L487" s="43">
        <v>0.15</v>
      </c>
      <c r="M487" s="48">
        <v>850.19</v>
      </c>
      <c r="N487" s="48" t="str">
        <f>IF(Table3[[#This Row],[Profit]]&lt;0,"Loss","Profit")</f>
        <v>Profit</v>
      </c>
    </row>
    <row r="488" spans="1:14" ht="15.6" x14ac:dyDescent="0.3">
      <c r="A488" s="31" t="s">
        <v>357</v>
      </c>
      <c r="B488" s="33">
        <v>45785</v>
      </c>
      <c r="C488" s="33">
        <v>45795</v>
      </c>
      <c r="D488" s="54" t="s">
        <v>1116</v>
      </c>
      <c r="E488" s="38" t="s">
        <v>1515</v>
      </c>
      <c r="F488" s="40" t="s">
        <v>1519</v>
      </c>
      <c r="G488" s="40" t="s">
        <v>1521</v>
      </c>
      <c r="H488" s="40" t="s">
        <v>1526</v>
      </c>
      <c r="I488" s="40" t="s">
        <v>1868</v>
      </c>
      <c r="J488" s="46">
        <v>62.24</v>
      </c>
      <c r="K488" s="3">
        <v>2</v>
      </c>
      <c r="L488" s="43">
        <v>0.2</v>
      </c>
      <c r="M488" s="48">
        <v>20.83</v>
      </c>
      <c r="N488" s="48" t="str">
        <f>IF(Table3[[#This Row],[Profit]]&lt;0,"Loss","Profit")</f>
        <v>Profit</v>
      </c>
    </row>
    <row r="489" spans="1:14" ht="15.6" x14ac:dyDescent="0.3">
      <c r="A489" s="31" t="s">
        <v>544</v>
      </c>
      <c r="B489" s="33">
        <v>45792</v>
      </c>
      <c r="C489" s="33">
        <v>45798</v>
      </c>
      <c r="D489" s="54" t="s">
        <v>1298</v>
      </c>
      <c r="E489" s="38" t="s">
        <v>1515</v>
      </c>
      <c r="F489" s="40" t="s">
        <v>1519</v>
      </c>
      <c r="G489" s="40" t="s">
        <v>1522</v>
      </c>
      <c r="H489" s="40" t="s">
        <v>1527</v>
      </c>
      <c r="I489" s="40" t="s">
        <v>2044</v>
      </c>
      <c r="J489" s="46">
        <v>560.96</v>
      </c>
      <c r="K489" s="3">
        <v>9</v>
      </c>
      <c r="L489" s="43">
        <v>0.2</v>
      </c>
      <c r="M489" s="48">
        <v>143.78</v>
      </c>
      <c r="N489" s="48" t="str">
        <f>IF(Table3[[#This Row],[Profit]]&lt;0,"Loss","Profit")</f>
        <v>Profit</v>
      </c>
    </row>
    <row r="490" spans="1:14" ht="15.6" x14ac:dyDescent="0.3">
      <c r="A490" s="31" t="s">
        <v>543</v>
      </c>
      <c r="B490" s="33">
        <v>45790</v>
      </c>
      <c r="C490" s="33">
        <v>45799</v>
      </c>
      <c r="D490" s="54" t="s">
        <v>1297</v>
      </c>
      <c r="E490" s="38" t="s">
        <v>1514</v>
      </c>
      <c r="F490" s="40" t="s">
        <v>1516</v>
      </c>
      <c r="G490" s="40" t="s">
        <v>1520</v>
      </c>
      <c r="H490" s="40" t="s">
        <v>1523</v>
      </c>
      <c r="I490" s="40" t="s">
        <v>2043</v>
      </c>
      <c r="J490" s="46">
        <v>4543.24</v>
      </c>
      <c r="K490" s="3">
        <v>6</v>
      </c>
      <c r="L490" s="43">
        <v>0.15</v>
      </c>
      <c r="M490" s="48">
        <v>264.97000000000003</v>
      </c>
      <c r="N490" s="48" t="str">
        <f>IF(Table3[[#This Row],[Profit]]&lt;0,"Loss","Profit")</f>
        <v>Profit</v>
      </c>
    </row>
    <row r="491" spans="1:14" ht="15.6" x14ac:dyDescent="0.3">
      <c r="A491" s="31" t="s">
        <v>36</v>
      </c>
      <c r="B491" s="33">
        <v>45796</v>
      </c>
      <c r="C491" s="33">
        <v>45800</v>
      </c>
      <c r="D491" s="54" t="s">
        <v>805</v>
      </c>
      <c r="E491" s="38" t="s">
        <v>1514</v>
      </c>
      <c r="F491" s="40" t="s">
        <v>1518</v>
      </c>
      <c r="G491" s="40" t="s">
        <v>1520</v>
      </c>
      <c r="H491" s="40" t="s">
        <v>1524</v>
      </c>
      <c r="I491" s="40" t="s">
        <v>1555</v>
      </c>
      <c r="J491" s="46">
        <v>2719.21</v>
      </c>
      <c r="K491" s="3">
        <v>10</v>
      </c>
      <c r="L491" s="43">
        <v>0.2</v>
      </c>
      <c r="M491" s="48">
        <v>163.07</v>
      </c>
      <c r="N491" s="48" t="str">
        <f>IF(Table3[[#This Row],[Profit]]&lt;0,"Loss","Profit")</f>
        <v>Profit</v>
      </c>
    </row>
    <row r="492" spans="1:14" ht="15.6" x14ac:dyDescent="0.3">
      <c r="A492" s="31" t="s">
        <v>645</v>
      </c>
      <c r="B492" s="33">
        <v>45791</v>
      </c>
      <c r="C492" s="33">
        <v>45801</v>
      </c>
      <c r="D492" s="54" t="s">
        <v>1399</v>
      </c>
      <c r="E492" s="38" t="s">
        <v>1513</v>
      </c>
      <c r="F492" s="40" t="s">
        <v>1518</v>
      </c>
      <c r="G492" s="40" t="s">
        <v>1521</v>
      </c>
      <c r="H492" s="40" t="s">
        <v>1528</v>
      </c>
      <c r="I492" s="40" t="s">
        <v>2141</v>
      </c>
      <c r="J492" s="46">
        <v>4106.6000000000004</v>
      </c>
      <c r="K492" s="3">
        <v>2</v>
      </c>
      <c r="L492" s="43">
        <v>0.2</v>
      </c>
      <c r="M492" s="48">
        <v>629.29999999999995</v>
      </c>
      <c r="N492" s="48" t="str">
        <f>IF(Table3[[#This Row],[Profit]]&lt;0,"Loss","Profit")</f>
        <v>Profit</v>
      </c>
    </row>
    <row r="493" spans="1:14" ht="15.6" x14ac:dyDescent="0.3">
      <c r="A493" s="31" t="s">
        <v>578</v>
      </c>
      <c r="B493" s="33">
        <v>45795</v>
      </c>
      <c r="C493" s="33">
        <v>45801</v>
      </c>
      <c r="D493" s="54" t="s">
        <v>1332</v>
      </c>
      <c r="E493" s="38" t="s">
        <v>1513</v>
      </c>
      <c r="F493" s="40" t="s">
        <v>1519</v>
      </c>
      <c r="G493" s="40" t="s">
        <v>1522</v>
      </c>
      <c r="H493" s="40" t="s">
        <v>1529</v>
      </c>
      <c r="I493" s="40" t="s">
        <v>2078</v>
      </c>
      <c r="J493" s="46">
        <v>426.34</v>
      </c>
      <c r="K493" s="3">
        <v>3</v>
      </c>
      <c r="L493" s="43">
        <v>0.15</v>
      </c>
      <c r="M493" s="48">
        <v>-11.67</v>
      </c>
      <c r="N493" s="48" t="str">
        <f>IF(Table3[[#This Row],[Profit]]&lt;0,"Loss","Profit")</f>
        <v>Loss</v>
      </c>
    </row>
    <row r="494" spans="1:14" ht="15.6" x14ac:dyDescent="0.3">
      <c r="A494" s="31" t="s">
        <v>719</v>
      </c>
      <c r="B494" s="33">
        <v>45797</v>
      </c>
      <c r="C494" s="33">
        <v>45801</v>
      </c>
      <c r="D494" s="54" t="s">
        <v>1471</v>
      </c>
      <c r="E494" s="38" t="s">
        <v>1514</v>
      </c>
      <c r="F494" s="40" t="s">
        <v>1517</v>
      </c>
      <c r="G494" s="40" t="s">
        <v>1521</v>
      </c>
      <c r="H494" s="40" t="s">
        <v>1530</v>
      </c>
      <c r="I494" s="40" t="s">
        <v>2206</v>
      </c>
      <c r="J494" s="46">
        <v>761.42</v>
      </c>
      <c r="K494" s="3">
        <v>10</v>
      </c>
      <c r="L494" s="43">
        <v>0.1</v>
      </c>
      <c r="M494" s="48">
        <v>230.01</v>
      </c>
      <c r="N494" s="48" t="str">
        <f>IF(Table3[[#This Row],[Profit]]&lt;0,"Loss","Profit")</f>
        <v>Profit</v>
      </c>
    </row>
    <row r="495" spans="1:14" ht="15.6" x14ac:dyDescent="0.3">
      <c r="A495" s="31" t="s">
        <v>606</v>
      </c>
      <c r="B495" s="33">
        <v>45794</v>
      </c>
      <c r="C495" s="33">
        <v>45803</v>
      </c>
      <c r="D495" s="54" t="s">
        <v>1360</v>
      </c>
      <c r="E495" s="38" t="s">
        <v>1514</v>
      </c>
      <c r="F495" s="40" t="s">
        <v>1519</v>
      </c>
      <c r="G495" s="40" t="s">
        <v>1521</v>
      </c>
      <c r="H495" s="40" t="s">
        <v>1526</v>
      </c>
      <c r="I495" s="40" t="s">
        <v>2104</v>
      </c>
      <c r="J495" s="46">
        <v>91.17</v>
      </c>
      <c r="K495" s="3">
        <v>8</v>
      </c>
      <c r="L495" s="43">
        <v>0.15</v>
      </c>
      <c r="M495" s="48">
        <v>-3.21</v>
      </c>
      <c r="N495" s="48" t="str">
        <f>IF(Table3[[#This Row],[Profit]]&lt;0,"Loss","Profit")</f>
        <v>Loss</v>
      </c>
    </row>
    <row r="496" spans="1:14" ht="15.6" x14ac:dyDescent="0.3">
      <c r="A496" s="31" t="s">
        <v>414</v>
      </c>
      <c r="B496" s="33">
        <v>45800</v>
      </c>
      <c r="C496" s="33">
        <v>45803</v>
      </c>
      <c r="D496" s="54" t="s">
        <v>1171</v>
      </c>
      <c r="E496" s="38" t="s">
        <v>1515</v>
      </c>
      <c r="F496" s="40" t="s">
        <v>1519</v>
      </c>
      <c r="G496" s="40" t="s">
        <v>1520</v>
      </c>
      <c r="H496" s="40" t="s">
        <v>1524</v>
      </c>
      <c r="I496" s="40" t="s">
        <v>1923</v>
      </c>
      <c r="J496" s="46">
        <v>3550.56</v>
      </c>
      <c r="K496" s="3">
        <v>9</v>
      </c>
      <c r="L496" s="43">
        <v>0.2</v>
      </c>
      <c r="M496" s="48">
        <v>1027.1099999999999</v>
      </c>
      <c r="N496" s="48" t="str">
        <f>IF(Table3[[#This Row],[Profit]]&lt;0,"Loss","Profit")</f>
        <v>Profit</v>
      </c>
    </row>
    <row r="497" spans="1:14" ht="15.6" x14ac:dyDescent="0.3">
      <c r="A497" s="31" t="s">
        <v>99</v>
      </c>
      <c r="B497" s="33">
        <v>45796</v>
      </c>
      <c r="C497" s="33">
        <v>45805</v>
      </c>
      <c r="D497" s="54" t="s">
        <v>868</v>
      </c>
      <c r="E497" s="38" t="s">
        <v>1515</v>
      </c>
      <c r="F497" s="40" t="s">
        <v>1517</v>
      </c>
      <c r="G497" s="40" t="s">
        <v>1521</v>
      </c>
      <c r="H497" s="40" t="s">
        <v>1530</v>
      </c>
      <c r="I497" s="40" t="s">
        <v>1618</v>
      </c>
      <c r="J497" s="46">
        <v>676.59</v>
      </c>
      <c r="K497" s="3">
        <v>1</v>
      </c>
      <c r="L497" s="43">
        <v>0</v>
      </c>
      <c r="M497" s="48">
        <v>70.599999999999994</v>
      </c>
      <c r="N497" s="48" t="str">
        <f>IF(Table3[[#This Row],[Profit]]&lt;0,"Loss","Profit")</f>
        <v>Profit</v>
      </c>
    </row>
    <row r="498" spans="1:14" ht="15.6" x14ac:dyDescent="0.3">
      <c r="A498" s="31" t="s">
        <v>727</v>
      </c>
      <c r="B498" s="33">
        <v>45798</v>
      </c>
      <c r="C498" s="33">
        <v>45808</v>
      </c>
      <c r="D498" s="54" t="s">
        <v>1479</v>
      </c>
      <c r="E498" s="38" t="s">
        <v>1515</v>
      </c>
      <c r="F498" s="40" t="s">
        <v>1516</v>
      </c>
      <c r="G498" s="40" t="s">
        <v>1521</v>
      </c>
      <c r="H498" s="40" t="s">
        <v>1530</v>
      </c>
      <c r="I498" s="40" t="s">
        <v>2213</v>
      </c>
      <c r="J498" s="46">
        <v>588.29</v>
      </c>
      <c r="K498" s="3">
        <v>10</v>
      </c>
      <c r="L498" s="43">
        <v>0.15</v>
      </c>
      <c r="M498" s="48">
        <v>-11.72</v>
      </c>
      <c r="N498" s="48" t="str">
        <f>IF(Table3[[#This Row],[Profit]]&lt;0,"Loss","Profit")</f>
        <v>Loss</v>
      </c>
    </row>
    <row r="499" spans="1:14" ht="15.6" x14ac:dyDescent="0.3">
      <c r="A499" s="31" t="s">
        <v>293</v>
      </c>
      <c r="B499" s="33">
        <v>45804</v>
      </c>
      <c r="C499" s="33">
        <v>45808</v>
      </c>
      <c r="D499" s="54" t="s">
        <v>1056</v>
      </c>
      <c r="E499" s="38" t="s">
        <v>1514</v>
      </c>
      <c r="F499" s="40" t="s">
        <v>1517</v>
      </c>
      <c r="G499" s="40" t="s">
        <v>1522</v>
      </c>
      <c r="H499" s="40" t="s">
        <v>1531</v>
      </c>
      <c r="I499" s="40" t="s">
        <v>1807</v>
      </c>
      <c r="J499" s="46">
        <v>4812.28</v>
      </c>
      <c r="K499" s="3">
        <v>2</v>
      </c>
      <c r="L499" s="43">
        <v>0.2</v>
      </c>
      <c r="M499" s="48">
        <v>1683.17</v>
      </c>
      <c r="N499" s="48" t="str">
        <f>IF(Table3[[#This Row],[Profit]]&lt;0,"Loss","Profit")</f>
        <v>Profit</v>
      </c>
    </row>
    <row r="500" spans="1:14" ht="15.6" x14ac:dyDescent="0.3">
      <c r="A500" s="31" t="s">
        <v>158</v>
      </c>
      <c r="B500" s="33">
        <v>45804</v>
      </c>
      <c r="C500" s="33">
        <v>45814</v>
      </c>
      <c r="D500" s="54" t="s">
        <v>925</v>
      </c>
      <c r="E500" s="38" t="s">
        <v>1515</v>
      </c>
      <c r="F500" s="40" t="s">
        <v>1517</v>
      </c>
      <c r="G500" s="40" t="s">
        <v>1521</v>
      </c>
      <c r="H500" s="40" t="s">
        <v>1528</v>
      </c>
      <c r="I500" s="40" t="s">
        <v>1676</v>
      </c>
      <c r="J500" s="46">
        <v>2179.4899999999998</v>
      </c>
      <c r="K500" s="3">
        <v>2</v>
      </c>
      <c r="L500" s="43">
        <v>0.2</v>
      </c>
      <c r="M500" s="48">
        <v>344.37</v>
      </c>
      <c r="N500" s="48" t="str">
        <f>IF(Table3[[#This Row],[Profit]]&lt;0,"Loss","Profit")</f>
        <v>Profit</v>
      </c>
    </row>
    <row r="501" spans="1:14" ht="15.6" x14ac:dyDescent="0.3">
      <c r="A501" s="31" t="s">
        <v>126</v>
      </c>
      <c r="B501" s="33">
        <v>45812</v>
      </c>
      <c r="C501" s="33">
        <v>45814</v>
      </c>
      <c r="D501" s="54" t="s">
        <v>894</v>
      </c>
      <c r="E501" s="38" t="s">
        <v>1514</v>
      </c>
      <c r="F501" s="40" t="s">
        <v>1517</v>
      </c>
      <c r="G501" s="40" t="s">
        <v>1522</v>
      </c>
      <c r="H501" s="40" t="s">
        <v>1529</v>
      </c>
      <c r="I501" s="40" t="s">
        <v>1644</v>
      </c>
      <c r="J501" s="46">
        <v>2653.46</v>
      </c>
      <c r="K501" s="3">
        <v>8</v>
      </c>
      <c r="L501" s="43">
        <v>0</v>
      </c>
      <c r="M501" s="48">
        <v>523.64</v>
      </c>
      <c r="N501" s="48" t="str">
        <f>IF(Table3[[#This Row],[Profit]]&lt;0,"Loss","Profit")</f>
        <v>Profit</v>
      </c>
    </row>
    <row r="502" spans="1:14" ht="15.6" x14ac:dyDescent="0.3">
      <c r="A502" s="31" t="s">
        <v>474</v>
      </c>
      <c r="B502" s="33">
        <v>45812</v>
      </c>
      <c r="C502" s="33">
        <v>45815</v>
      </c>
      <c r="D502" s="54" t="s">
        <v>1231</v>
      </c>
      <c r="E502" s="38" t="s">
        <v>1513</v>
      </c>
      <c r="F502" s="40" t="s">
        <v>1519</v>
      </c>
      <c r="G502" s="40" t="s">
        <v>1520</v>
      </c>
      <c r="H502" s="40" t="s">
        <v>1525</v>
      </c>
      <c r="I502" s="40" t="s">
        <v>1977</v>
      </c>
      <c r="J502" s="46">
        <v>2123.19</v>
      </c>
      <c r="K502" s="3">
        <v>2</v>
      </c>
      <c r="L502" s="43">
        <v>0.2</v>
      </c>
      <c r="M502" s="48">
        <v>414.7</v>
      </c>
      <c r="N502" s="48" t="str">
        <f>IF(Table3[[#This Row],[Profit]]&lt;0,"Loss","Profit")</f>
        <v>Profit</v>
      </c>
    </row>
    <row r="503" spans="1:14" ht="15.6" x14ac:dyDescent="0.3">
      <c r="A503" s="31" t="s">
        <v>215</v>
      </c>
      <c r="B503" s="33">
        <v>45814</v>
      </c>
      <c r="C503" s="33">
        <v>45815</v>
      </c>
      <c r="D503" s="54" t="s">
        <v>980</v>
      </c>
      <c r="E503" s="38" t="s">
        <v>1514</v>
      </c>
      <c r="F503" s="40" t="s">
        <v>1516</v>
      </c>
      <c r="G503" s="40" t="s">
        <v>1521</v>
      </c>
      <c r="H503" s="40" t="s">
        <v>1526</v>
      </c>
      <c r="I503" s="40" t="s">
        <v>1732</v>
      </c>
      <c r="J503" s="46">
        <v>3647.73</v>
      </c>
      <c r="K503" s="3">
        <v>6</v>
      </c>
      <c r="L503" s="43">
        <v>0.2</v>
      </c>
      <c r="M503" s="48">
        <v>1273</v>
      </c>
      <c r="N503" s="48" t="str">
        <f>IF(Table3[[#This Row],[Profit]]&lt;0,"Loss","Profit")</f>
        <v>Profit</v>
      </c>
    </row>
    <row r="504" spans="1:14" ht="15.6" x14ac:dyDescent="0.3">
      <c r="A504" s="31" t="s">
        <v>50</v>
      </c>
      <c r="B504" s="33">
        <v>45815</v>
      </c>
      <c r="C504" s="33">
        <v>45817</v>
      </c>
      <c r="D504" s="54" t="s">
        <v>819</v>
      </c>
      <c r="E504" s="38" t="s">
        <v>1513</v>
      </c>
      <c r="F504" s="40" t="s">
        <v>1519</v>
      </c>
      <c r="G504" s="40" t="s">
        <v>1521</v>
      </c>
      <c r="H504" s="40" t="s">
        <v>1530</v>
      </c>
      <c r="I504" s="40" t="s">
        <v>1569</v>
      </c>
      <c r="J504" s="46">
        <v>3724.96</v>
      </c>
      <c r="K504" s="3">
        <v>3</v>
      </c>
      <c r="L504" s="43">
        <v>0.1</v>
      </c>
      <c r="M504" s="48">
        <v>-167.75</v>
      </c>
      <c r="N504" s="48" t="str">
        <f>IF(Table3[[#This Row],[Profit]]&lt;0,"Loss","Profit")</f>
        <v>Loss</v>
      </c>
    </row>
    <row r="505" spans="1:14" ht="15.6" x14ac:dyDescent="0.3">
      <c r="A505" s="31" t="s">
        <v>617</v>
      </c>
      <c r="B505" s="33">
        <v>45813</v>
      </c>
      <c r="C505" s="33">
        <v>45818</v>
      </c>
      <c r="D505" s="54" t="s">
        <v>1371</v>
      </c>
      <c r="E505" s="38" t="s">
        <v>1515</v>
      </c>
      <c r="F505" s="40" t="s">
        <v>1516</v>
      </c>
      <c r="G505" s="40" t="s">
        <v>1521</v>
      </c>
      <c r="H505" s="40" t="s">
        <v>1528</v>
      </c>
      <c r="I505" s="40" t="s">
        <v>2113</v>
      </c>
      <c r="J505" s="46">
        <v>4684.2700000000004</v>
      </c>
      <c r="K505" s="3">
        <v>3</v>
      </c>
      <c r="L505" s="43">
        <v>0.2</v>
      </c>
      <c r="M505" s="48">
        <v>939.34</v>
      </c>
      <c r="N505" s="48" t="str">
        <f>IF(Table3[[#This Row],[Profit]]&lt;0,"Loss","Profit")</f>
        <v>Profit</v>
      </c>
    </row>
    <row r="506" spans="1:14" ht="15.6" x14ac:dyDescent="0.3">
      <c r="A506" s="31" t="s">
        <v>105</v>
      </c>
      <c r="B506" s="33">
        <v>45815</v>
      </c>
      <c r="C506" s="33">
        <v>45819</v>
      </c>
      <c r="D506" s="54" t="s">
        <v>874</v>
      </c>
      <c r="E506" s="38" t="s">
        <v>1515</v>
      </c>
      <c r="F506" s="40" t="s">
        <v>1516</v>
      </c>
      <c r="G506" s="40" t="s">
        <v>1522</v>
      </c>
      <c r="H506" s="40" t="s">
        <v>1527</v>
      </c>
      <c r="I506" s="40" t="s">
        <v>1624</v>
      </c>
      <c r="J506" s="46">
        <v>1360</v>
      </c>
      <c r="K506" s="3">
        <v>2</v>
      </c>
      <c r="L506" s="43">
        <v>0.05</v>
      </c>
      <c r="M506" s="48">
        <v>-92.58</v>
      </c>
      <c r="N506" s="48" t="str">
        <f>IF(Table3[[#This Row],[Profit]]&lt;0,"Loss","Profit")</f>
        <v>Loss</v>
      </c>
    </row>
    <row r="507" spans="1:14" ht="15.6" x14ac:dyDescent="0.3">
      <c r="A507" s="31" t="s">
        <v>362</v>
      </c>
      <c r="B507" s="33">
        <v>45820</v>
      </c>
      <c r="C507" s="33">
        <v>45823</v>
      </c>
      <c r="D507" s="54" t="s">
        <v>1121</v>
      </c>
      <c r="E507" s="38" t="s">
        <v>1513</v>
      </c>
      <c r="F507" s="40" t="s">
        <v>1518</v>
      </c>
      <c r="G507" s="40" t="s">
        <v>1521</v>
      </c>
      <c r="H507" s="40" t="s">
        <v>1528</v>
      </c>
      <c r="I507" s="40" t="s">
        <v>1873</v>
      </c>
      <c r="J507" s="46">
        <v>306.35000000000002</v>
      </c>
      <c r="K507" s="3">
        <v>5</v>
      </c>
      <c r="L507" s="43">
        <v>0.2</v>
      </c>
      <c r="M507" s="48">
        <v>56.58</v>
      </c>
      <c r="N507" s="48" t="str">
        <f>IF(Table3[[#This Row],[Profit]]&lt;0,"Loss","Profit")</f>
        <v>Profit</v>
      </c>
    </row>
    <row r="508" spans="1:14" ht="15.6" x14ac:dyDescent="0.3">
      <c r="A508" s="31" t="s">
        <v>490</v>
      </c>
      <c r="B508" s="33">
        <v>45822</v>
      </c>
      <c r="C508" s="33">
        <v>45824</v>
      </c>
      <c r="D508" s="54" t="s">
        <v>1246</v>
      </c>
      <c r="E508" s="38" t="s">
        <v>1514</v>
      </c>
      <c r="F508" s="40" t="s">
        <v>1518</v>
      </c>
      <c r="G508" s="40" t="s">
        <v>1521</v>
      </c>
      <c r="H508" s="40" t="s">
        <v>1530</v>
      </c>
      <c r="I508" s="40" t="s">
        <v>1993</v>
      </c>
      <c r="J508" s="46">
        <v>2322.52</v>
      </c>
      <c r="K508" s="3">
        <v>10</v>
      </c>
      <c r="L508" s="43">
        <v>0.15</v>
      </c>
      <c r="M508" s="48">
        <v>-352.07</v>
      </c>
      <c r="N508" s="48" t="str">
        <f>IF(Table3[[#This Row],[Profit]]&lt;0,"Loss","Profit")</f>
        <v>Loss</v>
      </c>
    </row>
    <row r="509" spans="1:14" ht="15.6" x14ac:dyDescent="0.3">
      <c r="A509" s="31" t="s">
        <v>230</v>
      </c>
      <c r="B509" s="33">
        <v>45824</v>
      </c>
      <c r="C509" s="33">
        <v>45827</v>
      </c>
      <c r="D509" s="54" t="s">
        <v>994</v>
      </c>
      <c r="E509" s="38" t="s">
        <v>1514</v>
      </c>
      <c r="F509" s="40" t="s">
        <v>1516</v>
      </c>
      <c r="G509" s="40" t="s">
        <v>1520</v>
      </c>
      <c r="H509" s="40" t="s">
        <v>1525</v>
      </c>
      <c r="I509" s="40" t="s">
        <v>1746</v>
      </c>
      <c r="J509" s="46">
        <v>897.44</v>
      </c>
      <c r="K509" s="3">
        <v>10</v>
      </c>
      <c r="L509" s="43">
        <v>0.2</v>
      </c>
      <c r="M509" s="48">
        <v>265.73</v>
      </c>
      <c r="N509" s="48" t="str">
        <f>IF(Table3[[#This Row],[Profit]]&lt;0,"Loss","Profit")</f>
        <v>Profit</v>
      </c>
    </row>
    <row r="510" spans="1:14" ht="15.6" x14ac:dyDescent="0.3">
      <c r="A510" s="31" t="s">
        <v>146</v>
      </c>
      <c r="B510" s="33">
        <v>45823</v>
      </c>
      <c r="C510" s="33">
        <v>45831</v>
      </c>
      <c r="D510" s="54" t="s">
        <v>2257</v>
      </c>
      <c r="E510" s="38" t="s">
        <v>1514</v>
      </c>
      <c r="F510" s="40" t="s">
        <v>1519</v>
      </c>
      <c r="G510" s="40" t="s">
        <v>1522</v>
      </c>
      <c r="H510" s="40" t="s">
        <v>1529</v>
      </c>
      <c r="I510" s="40" t="s">
        <v>1664</v>
      </c>
      <c r="J510" s="46">
        <v>624.79999999999995</v>
      </c>
      <c r="K510" s="3">
        <v>4</v>
      </c>
      <c r="L510" s="43">
        <v>0.2</v>
      </c>
      <c r="M510" s="48">
        <v>-78.34</v>
      </c>
      <c r="N510" s="48" t="str">
        <f>IF(Table3[[#This Row],[Profit]]&lt;0,"Loss","Profit")</f>
        <v>Loss</v>
      </c>
    </row>
    <row r="511" spans="1:14" ht="15.6" x14ac:dyDescent="0.3">
      <c r="A511" s="31" t="s">
        <v>171</v>
      </c>
      <c r="B511" s="33">
        <v>45828</v>
      </c>
      <c r="C511" s="33">
        <v>45833</v>
      </c>
      <c r="D511" s="54" t="s">
        <v>937</v>
      </c>
      <c r="E511" s="38" t="s">
        <v>1513</v>
      </c>
      <c r="F511" s="40" t="s">
        <v>1519</v>
      </c>
      <c r="G511" s="40" t="s">
        <v>1520</v>
      </c>
      <c r="H511" s="40" t="s">
        <v>1525</v>
      </c>
      <c r="I511" s="40" t="s">
        <v>1689</v>
      </c>
      <c r="J511" s="46">
        <v>274.82</v>
      </c>
      <c r="K511" s="3">
        <v>7</v>
      </c>
      <c r="L511" s="43">
        <v>0.2</v>
      </c>
      <c r="M511" s="48">
        <v>-46.68</v>
      </c>
      <c r="N511" s="48" t="str">
        <f>IF(Table3[[#This Row],[Profit]]&lt;0,"Loss","Profit")</f>
        <v>Loss</v>
      </c>
    </row>
    <row r="512" spans="1:14" ht="15.6" x14ac:dyDescent="0.3">
      <c r="A512" s="31" t="s">
        <v>495</v>
      </c>
      <c r="B512" s="33">
        <v>45829</v>
      </c>
      <c r="C512" s="33">
        <v>45834</v>
      </c>
      <c r="D512" s="54" t="s">
        <v>1251</v>
      </c>
      <c r="E512" s="38" t="s">
        <v>1513</v>
      </c>
      <c r="F512" s="40" t="s">
        <v>1518</v>
      </c>
      <c r="G512" s="40" t="s">
        <v>1521</v>
      </c>
      <c r="H512" s="40" t="s">
        <v>1526</v>
      </c>
      <c r="I512" s="40" t="s">
        <v>1998</v>
      </c>
      <c r="J512" s="46">
        <v>2761.07</v>
      </c>
      <c r="K512" s="3">
        <v>6</v>
      </c>
      <c r="L512" s="43">
        <v>0.2</v>
      </c>
      <c r="M512" s="48">
        <v>-390.75</v>
      </c>
      <c r="N512" s="48" t="str">
        <f>IF(Table3[[#This Row],[Profit]]&lt;0,"Loss","Profit")</f>
        <v>Loss</v>
      </c>
    </row>
    <row r="513" spans="1:14" ht="15.6" x14ac:dyDescent="0.3">
      <c r="A513" s="31" t="s">
        <v>64</v>
      </c>
      <c r="B513" s="33">
        <v>45830</v>
      </c>
      <c r="C513" s="33">
        <v>45835</v>
      </c>
      <c r="D513" s="54" t="s">
        <v>833</v>
      </c>
      <c r="E513" s="38" t="s">
        <v>1514</v>
      </c>
      <c r="F513" s="40" t="s">
        <v>1517</v>
      </c>
      <c r="G513" s="40" t="s">
        <v>1521</v>
      </c>
      <c r="H513" s="40" t="s">
        <v>1528</v>
      </c>
      <c r="I513" s="40" t="s">
        <v>1583</v>
      </c>
      <c r="J513" s="46">
        <v>2794.34</v>
      </c>
      <c r="K513" s="3">
        <v>4</v>
      </c>
      <c r="L513" s="43">
        <v>0.15</v>
      </c>
      <c r="M513" s="48">
        <v>463.05</v>
      </c>
      <c r="N513" s="48" t="str">
        <f>IF(Table3[[#This Row],[Profit]]&lt;0,"Loss","Profit")</f>
        <v>Profit</v>
      </c>
    </row>
    <row r="514" spans="1:14" ht="15.6" x14ac:dyDescent="0.3">
      <c r="A514" s="31" t="s">
        <v>95</v>
      </c>
      <c r="B514" s="33">
        <v>45827</v>
      </c>
      <c r="C514" s="33">
        <v>45837</v>
      </c>
      <c r="D514" s="54" t="s">
        <v>864</v>
      </c>
      <c r="E514" s="38" t="s">
        <v>1515</v>
      </c>
      <c r="F514" s="40" t="s">
        <v>1519</v>
      </c>
      <c r="G514" s="40" t="s">
        <v>1521</v>
      </c>
      <c r="H514" s="40" t="s">
        <v>1528</v>
      </c>
      <c r="I514" s="40" t="s">
        <v>1614</v>
      </c>
      <c r="J514" s="46">
        <v>1876.65</v>
      </c>
      <c r="K514" s="3">
        <v>9</v>
      </c>
      <c r="L514" s="43">
        <v>0.2</v>
      </c>
      <c r="M514" s="48">
        <v>-20.52</v>
      </c>
      <c r="N514" s="48" t="str">
        <f>IF(Table3[[#This Row],[Profit]]&lt;0,"Loss","Profit")</f>
        <v>Loss</v>
      </c>
    </row>
    <row r="515" spans="1:14" ht="15.6" x14ac:dyDescent="0.3">
      <c r="A515" s="31" t="s">
        <v>625</v>
      </c>
      <c r="B515" s="33" t="s">
        <v>778</v>
      </c>
      <c r="C515" s="33">
        <v>45837</v>
      </c>
      <c r="D515" s="54" t="s">
        <v>1379</v>
      </c>
      <c r="E515" s="38" t="s">
        <v>1515</v>
      </c>
      <c r="F515" s="40" t="s">
        <v>1517</v>
      </c>
      <c r="G515" s="40" t="s">
        <v>1520</v>
      </c>
      <c r="H515" s="40" t="s">
        <v>1524</v>
      </c>
      <c r="I515" s="40" t="s">
        <v>2121</v>
      </c>
      <c r="J515" s="46">
        <v>4344.93</v>
      </c>
      <c r="K515" s="3">
        <v>10</v>
      </c>
      <c r="L515" s="43">
        <v>0.2</v>
      </c>
      <c r="M515" s="48">
        <v>-485.81</v>
      </c>
      <c r="N515" s="48" t="str">
        <f>IF(Table3[[#This Row],[Profit]]&lt;0,"Loss","Profit")</f>
        <v>Loss</v>
      </c>
    </row>
    <row r="516" spans="1:14" ht="15.6" x14ac:dyDescent="0.3">
      <c r="A516" s="31" t="s">
        <v>298</v>
      </c>
      <c r="B516" s="33">
        <v>45834</v>
      </c>
      <c r="C516" s="33">
        <v>45838</v>
      </c>
      <c r="D516" s="54" t="s">
        <v>2287</v>
      </c>
      <c r="E516" s="38" t="s">
        <v>1515</v>
      </c>
      <c r="F516" s="40" t="s">
        <v>1519</v>
      </c>
      <c r="G516" s="40" t="s">
        <v>1522</v>
      </c>
      <c r="H516" s="40" t="s">
        <v>1529</v>
      </c>
      <c r="I516" s="40" t="s">
        <v>1811</v>
      </c>
      <c r="J516" s="46">
        <v>1930.21</v>
      </c>
      <c r="K516" s="3">
        <v>4</v>
      </c>
      <c r="L516" s="43">
        <v>0.15</v>
      </c>
      <c r="M516" s="48">
        <v>198.53</v>
      </c>
      <c r="N516" s="48" t="str">
        <f>IF(Table3[[#This Row],[Profit]]&lt;0,"Loss","Profit")</f>
        <v>Profit</v>
      </c>
    </row>
    <row r="517" spans="1:14" ht="15.6" x14ac:dyDescent="0.3">
      <c r="A517" s="31" t="s">
        <v>384</v>
      </c>
      <c r="B517" s="33">
        <v>45841</v>
      </c>
      <c r="C517" s="33">
        <v>45842</v>
      </c>
      <c r="D517" s="54" t="s">
        <v>1142</v>
      </c>
      <c r="E517" s="38" t="s">
        <v>1513</v>
      </c>
      <c r="F517" s="40" t="s">
        <v>1518</v>
      </c>
      <c r="G517" s="40" t="s">
        <v>1522</v>
      </c>
      <c r="H517" s="40" t="s">
        <v>1527</v>
      </c>
      <c r="I517" s="40" t="s">
        <v>1894</v>
      </c>
      <c r="J517" s="46">
        <v>937.75</v>
      </c>
      <c r="K517" s="3">
        <v>9</v>
      </c>
      <c r="L517" s="43">
        <v>0</v>
      </c>
      <c r="M517" s="48">
        <v>304.52999999999997</v>
      </c>
      <c r="N517" s="48" t="str">
        <f>IF(Table3[[#This Row],[Profit]]&lt;0,"Loss","Profit")</f>
        <v>Profit</v>
      </c>
    </row>
    <row r="518" spans="1:14" ht="15.6" x14ac:dyDescent="0.3">
      <c r="A518" s="31" t="s">
        <v>56</v>
      </c>
      <c r="B518" s="33">
        <v>45839</v>
      </c>
      <c r="C518" s="33">
        <v>45845</v>
      </c>
      <c r="D518" s="54" t="s">
        <v>825</v>
      </c>
      <c r="E518" s="38" t="s">
        <v>1513</v>
      </c>
      <c r="F518" s="40" t="s">
        <v>1519</v>
      </c>
      <c r="G518" s="40" t="s">
        <v>1522</v>
      </c>
      <c r="H518" s="40" t="s">
        <v>1531</v>
      </c>
      <c r="I518" s="40" t="s">
        <v>1575</v>
      </c>
      <c r="J518" s="46">
        <v>3922.81</v>
      </c>
      <c r="K518" s="3">
        <v>7</v>
      </c>
      <c r="L518" s="43">
        <v>0.2</v>
      </c>
      <c r="M518" s="48">
        <v>1079.7</v>
      </c>
      <c r="N518" s="48" t="str">
        <f>IF(Table3[[#This Row],[Profit]]&lt;0,"Loss","Profit")</f>
        <v>Profit</v>
      </c>
    </row>
    <row r="519" spans="1:14" ht="15.6" x14ac:dyDescent="0.3">
      <c r="A519" s="31" t="s">
        <v>329</v>
      </c>
      <c r="B519" s="33">
        <v>45842</v>
      </c>
      <c r="C519" s="33">
        <v>45848</v>
      </c>
      <c r="D519" s="54" t="s">
        <v>1089</v>
      </c>
      <c r="E519" s="38" t="s">
        <v>1513</v>
      </c>
      <c r="F519" s="40" t="s">
        <v>1516</v>
      </c>
      <c r="G519" s="40" t="s">
        <v>1520</v>
      </c>
      <c r="H519" s="40" t="s">
        <v>1523</v>
      </c>
      <c r="I519" s="40" t="s">
        <v>1840</v>
      </c>
      <c r="J519" s="46">
        <v>3523.09</v>
      </c>
      <c r="K519" s="3">
        <v>9</v>
      </c>
      <c r="L519" s="43">
        <v>0.2</v>
      </c>
      <c r="M519" s="48">
        <v>531.98</v>
      </c>
      <c r="N519" s="48" t="str">
        <f>IF(Table3[[#This Row],[Profit]]&lt;0,"Loss","Profit")</f>
        <v>Profit</v>
      </c>
    </row>
    <row r="520" spans="1:14" ht="15.6" x14ac:dyDescent="0.3">
      <c r="A520" s="31" t="s">
        <v>53</v>
      </c>
      <c r="B520" s="33">
        <v>45846</v>
      </c>
      <c r="C520" s="33">
        <v>45848</v>
      </c>
      <c r="D520" s="54" t="s">
        <v>822</v>
      </c>
      <c r="E520" s="38" t="s">
        <v>1514</v>
      </c>
      <c r="F520" s="40" t="s">
        <v>1517</v>
      </c>
      <c r="G520" s="40" t="s">
        <v>1520</v>
      </c>
      <c r="H520" s="40" t="s">
        <v>1523</v>
      </c>
      <c r="I520" s="40" t="s">
        <v>1572</v>
      </c>
      <c r="J520" s="46">
        <v>422.46</v>
      </c>
      <c r="K520" s="3">
        <v>3</v>
      </c>
      <c r="L520" s="43">
        <v>0.2</v>
      </c>
      <c r="M520" s="48">
        <v>-76.12</v>
      </c>
      <c r="N520" s="48" t="str">
        <f>IF(Table3[[#This Row],[Profit]]&lt;0,"Loss","Profit")</f>
        <v>Loss</v>
      </c>
    </row>
    <row r="521" spans="1:14" ht="15.6" x14ac:dyDescent="0.3">
      <c r="A521" s="31" t="s">
        <v>510</v>
      </c>
      <c r="B521" s="33">
        <v>45841</v>
      </c>
      <c r="C521" s="33">
        <v>45849</v>
      </c>
      <c r="D521" s="54" t="s">
        <v>1266</v>
      </c>
      <c r="E521" s="38" t="s">
        <v>1515</v>
      </c>
      <c r="F521" s="40" t="s">
        <v>1517</v>
      </c>
      <c r="G521" s="40" t="s">
        <v>1522</v>
      </c>
      <c r="H521" s="40" t="s">
        <v>1527</v>
      </c>
      <c r="I521" s="40" t="s">
        <v>2013</v>
      </c>
      <c r="J521" s="46">
        <v>4158.42</v>
      </c>
      <c r="K521" s="3">
        <v>6</v>
      </c>
      <c r="L521" s="43">
        <v>0.2</v>
      </c>
      <c r="M521" s="48">
        <v>418.5</v>
      </c>
      <c r="N521" s="48" t="str">
        <f>IF(Table3[[#This Row],[Profit]]&lt;0,"Loss","Profit")</f>
        <v>Profit</v>
      </c>
    </row>
    <row r="522" spans="1:14" ht="15.6" x14ac:dyDescent="0.3">
      <c r="A522" s="31" t="s">
        <v>422</v>
      </c>
      <c r="B522" s="33">
        <v>45848</v>
      </c>
      <c r="C522" s="33">
        <v>45849</v>
      </c>
      <c r="D522" s="54" t="s">
        <v>1179</v>
      </c>
      <c r="E522" s="38" t="s">
        <v>1513</v>
      </c>
      <c r="F522" s="40" t="s">
        <v>1519</v>
      </c>
      <c r="G522" s="40" t="s">
        <v>1521</v>
      </c>
      <c r="H522" s="40" t="s">
        <v>1530</v>
      </c>
      <c r="I522" s="40" t="s">
        <v>1929</v>
      </c>
      <c r="J522" s="46">
        <v>1509.8</v>
      </c>
      <c r="K522" s="3">
        <v>6</v>
      </c>
      <c r="L522" s="43">
        <v>0.1</v>
      </c>
      <c r="M522" s="48">
        <v>488.29</v>
      </c>
      <c r="N522" s="48" t="str">
        <f>IF(Table3[[#This Row],[Profit]]&lt;0,"Loss","Profit")</f>
        <v>Profit</v>
      </c>
    </row>
    <row r="523" spans="1:14" ht="15.6" x14ac:dyDescent="0.3">
      <c r="A523" s="31" t="s">
        <v>513</v>
      </c>
      <c r="B523" s="33">
        <v>45854</v>
      </c>
      <c r="C523" s="33">
        <v>45857</v>
      </c>
      <c r="D523" s="54" t="s">
        <v>1269</v>
      </c>
      <c r="E523" s="38" t="s">
        <v>1515</v>
      </c>
      <c r="F523" s="40" t="s">
        <v>1519</v>
      </c>
      <c r="G523" s="40" t="s">
        <v>1521</v>
      </c>
      <c r="H523" s="40" t="s">
        <v>1526</v>
      </c>
      <c r="I523" s="40" t="s">
        <v>2015</v>
      </c>
      <c r="J523" s="46">
        <v>247.71</v>
      </c>
      <c r="K523" s="3">
        <v>6</v>
      </c>
      <c r="L523" s="43">
        <v>0.2</v>
      </c>
      <c r="M523" s="48">
        <v>-42.61</v>
      </c>
      <c r="N523" s="48" t="str">
        <f>IF(Table3[[#This Row],[Profit]]&lt;0,"Loss","Profit")</f>
        <v>Loss</v>
      </c>
    </row>
    <row r="524" spans="1:14" ht="15.6" x14ac:dyDescent="0.3">
      <c r="A524" s="31" t="s">
        <v>710</v>
      </c>
      <c r="B524" s="33">
        <v>45856</v>
      </c>
      <c r="C524" s="33">
        <v>45858</v>
      </c>
      <c r="D524" s="54" t="s">
        <v>1462</v>
      </c>
      <c r="E524" s="38" t="s">
        <v>1513</v>
      </c>
      <c r="F524" s="40" t="s">
        <v>1519</v>
      </c>
      <c r="G524" s="40" t="s">
        <v>1520</v>
      </c>
      <c r="H524" s="40" t="s">
        <v>1525</v>
      </c>
      <c r="I524" s="40" t="s">
        <v>2199</v>
      </c>
      <c r="J524" s="46">
        <v>70.34</v>
      </c>
      <c r="K524" s="3">
        <v>1</v>
      </c>
      <c r="L524" s="43">
        <v>0.2</v>
      </c>
      <c r="M524" s="48">
        <v>18.739999999999998</v>
      </c>
      <c r="N524" s="48" t="str">
        <f>IF(Table3[[#This Row],[Profit]]&lt;0,"Loss","Profit")</f>
        <v>Profit</v>
      </c>
    </row>
    <row r="525" spans="1:14" ht="15.6" x14ac:dyDescent="0.3">
      <c r="A525" s="31" t="s">
        <v>389</v>
      </c>
      <c r="B525" s="33">
        <v>45858</v>
      </c>
      <c r="C525" s="33">
        <v>45861</v>
      </c>
      <c r="D525" s="54" t="s">
        <v>1147</v>
      </c>
      <c r="E525" s="38" t="s">
        <v>1515</v>
      </c>
      <c r="F525" s="40" t="s">
        <v>1518</v>
      </c>
      <c r="G525" s="40" t="s">
        <v>1521</v>
      </c>
      <c r="H525" s="40" t="s">
        <v>1530</v>
      </c>
      <c r="I525" s="40" t="s">
        <v>1899</v>
      </c>
      <c r="J525" s="46">
        <v>3572.68</v>
      </c>
      <c r="K525" s="3">
        <v>2</v>
      </c>
      <c r="L525" s="43">
        <v>0</v>
      </c>
      <c r="M525" s="48">
        <v>1095.74</v>
      </c>
      <c r="N525" s="48" t="str">
        <f>IF(Table3[[#This Row],[Profit]]&lt;0,"Loss","Profit")</f>
        <v>Profit</v>
      </c>
    </row>
    <row r="526" spans="1:14" ht="15.6" x14ac:dyDescent="0.3">
      <c r="A526" s="31" t="s">
        <v>566</v>
      </c>
      <c r="B526" s="33">
        <v>45860</v>
      </c>
      <c r="C526" s="33">
        <v>45861</v>
      </c>
      <c r="D526" s="54" t="s">
        <v>1320</v>
      </c>
      <c r="E526" s="38" t="s">
        <v>1514</v>
      </c>
      <c r="F526" s="40" t="s">
        <v>1518</v>
      </c>
      <c r="G526" s="40" t="s">
        <v>1520</v>
      </c>
      <c r="H526" s="40" t="s">
        <v>1525</v>
      </c>
      <c r="I526" s="40" t="s">
        <v>2066</v>
      </c>
      <c r="J526" s="46">
        <v>845.65</v>
      </c>
      <c r="K526" s="3">
        <v>1</v>
      </c>
      <c r="L526" s="43">
        <v>0</v>
      </c>
      <c r="M526" s="48">
        <v>213.77</v>
      </c>
      <c r="N526" s="48" t="str">
        <f>IF(Table3[[#This Row],[Profit]]&lt;0,"Loss","Profit")</f>
        <v>Profit</v>
      </c>
    </row>
    <row r="527" spans="1:14" ht="15.6" x14ac:dyDescent="0.3">
      <c r="A527" s="31" t="s">
        <v>758</v>
      </c>
      <c r="B527" s="33">
        <v>45852</v>
      </c>
      <c r="C527" s="33">
        <v>45862</v>
      </c>
      <c r="D527" s="54" t="s">
        <v>1509</v>
      </c>
      <c r="E527" s="38" t="s">
        <v>1514</v>
      </c>
      <c r="F527" s="40" t="s">
        <v>1519</v>
      </c>
      <c r="G527" s="40" t="s">
        <v>1521</v>
      </c>
      <c r="H527" s="40" t="s">
        <v>1528</v>
      </c>
      <c r="I527" s="40" t="s">
        <v>2242</v>
      </c>
      <c r="J527" s="46">
        <v>4025.84</v>
      </c>
      <c r="K527" s="3">
        <v>3</v>
      </c>
      <c r="L527" s="43">
        <v>0</v>
      </c>
      <c r="M527" s="48">
        <v>735.16</v>
      </c>
      <c r="N527" s="48" t="str">
        <f>IF(Table3[[#This Row],[Profit]]&lt;0,"Loss","Profit")</f>
        <v>Profit</v>
      </c>
    </row>
    <row r="528" spans="1:14" ht="15.6" x14ac:dyDescent="0.3">
      <c r="A528" s="31" t="s">
        <v>72</v>
      </c>
      <c r="B528" s="33">
        <v>45861</v>
      </c>
      <c r="C528" s="33">
        <v>45864</v>
      </c>
      <c r="D528" s="54" t="s">
        <v>841</v>
      </c>
      <c r="E528" s="38" t="s">
        <v>1513</v>
      </c>
      <c r="F528" s="40" t="s">
        <v>1519</v>
      </c>
      <c r="G528" s="40" t="s">
        <v>1520</v>
      </c>
      <c r="H528" s="40" t="s">
        <v>1524</v>
      </c>
      <c r="I528" s="40" t="s">
        <v>1591</v>
      </c>
      <c r="J528" s="46">
        <v>3731.09</v>
      </c>
      <c r="K528" s="3">
        <v>8</v>
      </c>
      <c r="L528" s="43">
        <v>0.15</v>
      </c>
      <c r="M528" s="48">
        <v>-214.33</v>
      </c>
      <c r="N528" s="48" t="str">
        <f>IF(Table3[[#This Row],[Profit]]&lt;0,"Loss","Profit")</f>
        <v>Loss</v>
      </c>
    </row>
    <row r="529" spans="1:14" ht="15.6" x14ac:dyDescent="0.3">
      <c r="A529" s="31" t="s">
        <v>604</v>
      </c>
      <c r="B529" s="33">
        <v>45858</v>
      </c>
      <c r="C529" s="33">
        <v>45867</v>
      </c>
      <c r="D529" s="54" t="s">
        <v>2288</v>
      </c>
      <c r="E529" s="38" t="s">
        <v>1513</v>
      </c>
      <c r="F529" s="40" t="s">
        <v>1518</v>
      </c>
      <c r="G529" s="40" t="s">
        <v>1520</v>
      </c>
      <c r="H529" s="40" t="s">
        <v>1525</v>
      </c>
      <c r="I529" s="40" t="s">
        <v>2102</v>
      </c>
      <c r="J529" s="46">
        <v>1582.82</v>
      </c>
      <c r="K529" s="3">
        <v>6</v>
      </c>
      <c r="L529" s="43">
        <v>0.15</v>
      </c>
      <c r="M529" s="48">
        <v>153.24</v>
      </c>
      <c r="N529" s="48" t="str">
        <f>IF(Table3[[#This Row],[Profit]]&lt;0,"Loss","Profit")</f>
        <v>Profit</v>
      </c>
    </row>
    <row r="530" spans="1:14" ht="15.6" x14ac:dyDescent="0.3">
      <c r="A530" s="31" t="s">
        <v>303</v>
      </c>
      <c r="B530" s="33">
        <v>45860</v>
      </c>
      <c r="C530" s="33">
        <v>45869</v>
      </c>
      <c r="D530" s="54" t="s">
        <v>1065</v>
      </c>
      <c r="E530" s="38" t="s">
        <v>1515</v>
      </c>
      <c r="F530" s="40" t="s">
        <v>1518</v>
      </c>
      <c r="G530" s="40" t="s">
        <v>1522</v>
      </c>
      <c r="H530" s="40" t="s">
        <v>1531</v>
      </c>
      <c r="I530" s="40" t="s">
        <v>1816</v>
      </c>
      <c r="J530" s="46">
        <v>3624.85</v>
      </c>
      <c r="K530" s="3">
        <v>9</v>
      </c>
      <c r="L530" s="43">
        <v>0.1</v>
      </c>
      <c r="M530" s="48">
        <v>-690.79</v>
      </c>
      <c r="N530" s="48" t="str">
        <f>IF(Table3[[#This Row],[Profit]]&lt;0,"Loss","Profit")</f>
        <v>Loss</v>
      </c>
    </row>
    <row r="531" spans="1:14" ht="15.6" x14ac:dyDescent="0.3">
      <c r="A531" s="31" t="s">
        <v>347</v>
      </c>
      <c r="B531" s="33">
        <v>45868</v>
      </c>
      <c r="C531" s="33">
        <v>45869</v>
      </c>
      <c r="D531" s="54" t="s">
        <v>1107</v>
      </c>
      <c r="E531" s="38" t="s">
        <v>1514</v>
      </c>
      <c r="F531" s="40" t="s">
        <v>1518</v>
      </c>
      <c r="G531" s="40" t="s">
        <v>1522</v>
      </c>
      <c r="H531" s="40" t="s">
        <v>1529</v>
      </c>
      <c r="I531" s="40" t="s">
        <v>1858</v>
      </c>
      <c r="J531" s="46">
        <v>1410.52</v>
      </c>
      <c r="K531" s="3">
        <v>9</v>
      </c>
      <c r="L531" s="43">
        <v>0.1</v>
      </c>
      <c r="M531" s="48">
        <v>-151.61000000000001</v>
      </c>
      <c r="N531" s="48" t="str">
        <f>IF(Table3[[#This Row],[Profit]]&lt;0,"Loss","Profit")</f>
        <v>Loss</v>
      </c>
    </row>
    <row r="532" spans="1:14" ht="15.6" x14ac:dyDescent="0.3">
      <c r="A532" s="31" t="s">
        <v>17</v>
      </c>
      <c r="B532" s="33">
        <v>45860</v>
      </c>
      <c r="C532" s="33">
        <v>45870</v>
      </c>
      <c r="D532" s="54" t="s">
        <v>786</v>
      </c>
      <c r="E532" s="38" t="s">
        <v>1513</v>
      </c>
      <c r="F532" s="40" t="s">
        <v>1518</v>
      </c>
      <c r="G532" s="40" t="s">
        <v>1521</v>
      </c>
      <c r="H532" s="40" t="s">
        <v>1526</v>
      </c>
      <c r="I532" s="40" t="s">
        <v>1536</v>
      </c>
      <c r="J532" s="46">
        <v>1359.38</v>
      </c>
      <c r="K532" s="3">
        <v>1</v>
      </c>
      <c r="L532" s="43">
        <v>0.2</v>
      </c>
      <c r="M532" s="48">
        <v>71.62</v>
      </c>
      <c r="N532" s="48" t="str">
        <f>IF(Table3[[#This Row],[Profit]]&lt;0,"Loss","Profit")</f>
        <v>Profit</v>
      </c>
    </row>
    <row r="533" spans="1:14" ht="15.6" x14ac:dyDescent="0.3">
      <c r="A533" s="31" t="s">
        <v>567</v>
      </c>
      <c r="B533" s="33">
        <v>45866</v>
      </c>
      <c r="C533" s="33">
        <v>45871</v>
      </c>
      <c r="D533" s="54" t="s">
        <v>1321</v>
      </c>
      <c r="E533" s="38" t="s">
        <v>1514</v>
      </c>
      <c r="F533" s="40" t="s">
        <v>1518</v>
      </c>
      <c r="G533" s="40" t="s">
        <v>1522</v>
      </c>
      <c r="H533" s="40" t="s">
        <v>1531</v>
      </c>
      <c r="I533" s="40" t="s">
        <v>2067</v>
      </c>
      <c r="J533" s="46">
        <v>1147.76</v>
      </c>
      <c r="K533" s="3">
        <v>2</v>
      </c>
      <c r="L533" s="43">
        <v>0.2</v>
      </c>
      <c r="M533" s="48">
        <v>-205.72</v>
      </c>
      <c r="N533" s="48" t="str">
        <f>IF(Table3[[#This Row],[Profit]]&lt;0,"Loss","Profit")</f>
        <v>Loss</v>
      </c>
    </row>
    <row r="534" spans="1:14" ht="15.6" x14ac:dyDescent="0.3">
      <c r="A534" s="31" t="s">
        <v>253</v>
      </c>
      <c r="B534" s="33">
        <v>45865</v>
      </c>
      <c r="C534" s="33">
        <v>45874</v>
      </c>
      <c r="D534" s="54" t="s">
        <v>1017</v>
      </c>
      <c r="E534" s="38" t="s">
        <v>1515</v>
      </c>
      <c r="F534" s="40" t="s">
        <v>1519</v>
      </c>
      <c r="G534" s="40" t="s">
        <v>1522</v>
      </c>
      <c r="H534" s="40" t="s">
        <v>1529</v>
      </c>
      <c r="I534" s="40" t="s">
        <v>1769</v>
      </c>
      <c r="J534" s="46">
        <v>1744.52</v>
      </c>
      <c r="K534" s="3">
        <v>6</v>
      </c>
      <c r="L534" s="43">
        <v>0.2</v>
      </c>
      <c r="M534" s="48">
        <v>391.81</v>
      </c>
      <c r="N534" s="48" t="str">
        <f>IF(Table3[[#This Row],[Profit]]&lt;0,"Loss","Profit")</f>
        <v>Profit</v>
      </c>
    </row>
    <row r="535" spans="1:14" ht="15.6" x14ac:dyDescent="0.3">
      <c r="A535" s="31" t="s">
        <v>151</v>
      </c>
      <c r="B535" s="33">
        <v>45870</v>
      </c>
      <c r="C535" s="33">
        <v>45874</v>
      </c>
      <c r="D535" s="54" t="s">
        <v>918</v>
      </c>
      <c r="E535" s="38" t="s">
        <v>1515</v>
      </c>
      <c r="F535" s="40" t="s">
        <v>1516</v>
      </c>
      <c r="G535" s="40" t="s">
        <v>1522</v>
      </c>
      <c r="H535" s="40" t="s">
        <v>1527</v>
      </c>
      <c r="I535" s="40" t="s">
        <v>1669</v>
      </c>
      <c r="J535" s="46">
        <v>2952.6</v>
      </c>
      <c r="K535" s="3">
        <v>4</v>
      </c>
      <c r="L535" s="43">
        <v>0.1</v>
      </c>
      <c r="M535" s="48">
        <v>667</v>
      </c>
      <c r="N535" s="48" t="str">
        <f>IF(Table3[[#This Row],[Profit]]&lt;0,"Loss","Profit")</f>
        <v>Profit</v>
      </c>
    </row>
    <row r="536" spans="1:14" ht="15.6" x14ac:dyDescent="0.3">
      <c r="A536" s="31" t="s">
        <v>227</v>
      </c>
      <c r="B536" s="33">
        <v>45867</v>
      </c>
      <c r="C536" s="33">
        <v>45876</v>
      </c>
      <c r="D536" s="54" t="s">
        <v>991</v>
      </c>
      <c r="E536" s="38" t="s">
        <v>1514</v>
      </c>
      <c r="F536" s="40" t="s">
        <v>1517</v>
      </c>
      <c r="G536" s="40" t="s">
        <v>1522</v>
      </c>
      <c r="H536" s="40" t="s">
        <v>1529</v>
      </c>
      <c r="I536" s="40" t="s">
        <v>1743</v>
      </c>
      <c r="J536" s="46">
        <v>4558.03</v>
      </c>
      <c r="K536" s="3">
        <v>1</v>
      </c>
      <c r="L536" s="43">
        <v>0</v>
      </c>
      <c r="M536" s="48">
        <v>387.23</v>
      </c>
      <c r="N536" s="48" t="str">
        <f>IF(Table3[[#This Row],[Profit]]&lt;0,"Loss","Profit")</f>
        <v>Profit</v>
      </c>
    </row>
    <row r="537" spans="1:14" ht="15.6" x14ac:dyDescent="0.3">
      <c r="A537" s="31" t="s">
        <v>376</v>
      </c>
      <c r="B537" s="33">
        <v>45869</v>
      </c>
      <c r="C537" s="33">
        <v>45876</v>
      </c>
      <c r="D537" s="54" t="s">
        <v>1134</v>
      </c>
      <c r="E537" s="38" t="s">
        <v>1514</v>
      </c>
      <c r="F537" s="40" t="s">
        <v>1516</v>
      </c>
      <c r="G537" s="40" t="s">
        <v>1521</v>
      </c>
      <c r="H537" s="40" t="s">
        <v>1528</v>
      </c>
      <c r="I537" s="40" t="s">
        <v>1886</v>
      </c>
      <c r="J537" s="46">
        <v>3663.29</v>
      </c>
      <c r="K537" s="3">
        <v>4</v>
      </c>
      <c r="L537" s="43">
        <v>0</v>
      </c>
      <c r="M537" s="48">
        <v>-240.08</v>
      </c>
      <c r="N537" s="48" t="str">
        <f>IF(Table3[[#This Row],[Profit]]&lt;0,"Loss","Profit")</f>
        <v>Loss</v>
      </c>
    </row>
    <row r="538" spans="1:14" ht="15.6" x14ac:dyDescent="0.3">
      <c r="A538" s="31" t="s">
        <v>176</v>
      </c>
      <c r="B538" s="33">
        <v>45875</v>
      </c>
      <c r="C538" s="33">
        <v>45877</v>
      </c>
      <c r="D538" s="54" t="s">
        <v>942</v>
      </c>
      <c r="E538" s="38" t="s">
        <v>1514</v>
      </c>
      <c r="F538" s="40" t="s">
        <v>1516</v>
      </c>
      <c r="G538" s="40" t="s">
        <v>1520</v>
      </c>
      <c r="H538" s="40" t="s">
        <v>1524</v>
      </c>
      <c r="I538" s="40" t="s">
        <v>1694</v>
      </c>
      <c r="J538" s="46">
        <v>2211.7199999999998</v>
      </c>
      <c r="K538" s="3">
        <v>2</v>
      </c>
      <c r="L538" s="43">
        <v>0.05</v>
      </c>
      <c r="M538" s="48">
        <v>87.63</v>
      </c>
      <c r="N538" s="48" t="str">
        <f>IF(Table3[[#This Row],[Profit]]&lt;0,"Loss","Profit")</f>
        <v>Profit</v>
      </c>
    </row>
    <row r="539" spans="1:14" ht="15.6" x14ac:dyDescent="0.3">
      <c r="A539" s="31" t="s">
        <v>107</v>
      </c>
      <c r="B539" s="33">
        <v>45871</v>
      </c>
      <c r="C539" s="33">
        <v>45879</v>
      </c>
      <c r="D539" s="54" t="s">
        <v>876</v>
      </c>
      <c r="E539" s="38" t="s">
        <v>1515</v>
      </c>
      <c r="F539" s="40" t="s">
        <v>1517</v>
      </c>
      <c r="G539" s="40" t="s">
        <v>1520</v>
      </c>
      <c r="H539" s="40" t="s">
        <v>1524</v>
      </c>
      <c r="I539" s="40" t="s">
        <v>1625</v>
      </c>
      <c r="J539" s="46">
        <v>402.34</v>
      </c>
      <c r="K539" s="3">
        <v>4</v>
      </c>
      <c r="L539" s="43">
        <v>0.1</v>
      </c>
      <c r="M539" s="48">
        <v>93.87</v>
      </c>
      <c r="N539" s="48" t="str">
        <f>IF(Table3[[#This Row],[Profit]]&lt;0,"Loss","Profit")</f>
        <v>Profit</v>
      </c>
    </row>
    <row r="540" spans="1:14" ht="15.6" x14ac:dyDescent="0.3">
      <c r="A540" s="31" t="s">
        <v>200</v>
      </c>
      <c r="B540" s="33">
        <v>45874</v>
      </c>
      <c r="C540" s="33">
        <v>45882</v>
      </c>
      <c r="D540" s="54" t="s">
        <v>965</v>
      </c>
      <c r="E540" s="38" t="s">
        <v>1515</v>
      </c>
      <c r="F540" s="40" t="s">
        <v>1516</v>
      </c>
      <c r="G540" s="40" t="s">
        <v>1522</v>
      </c>
      <c r="H540" s="40" t="s">
        <v>1529</v>
      </c>
      <c r="I540" s="40" t="s">
        <v>1717</v>
      </c>
      <c r="J540" s="46">
        <v>3495.56</v>
      </c>
      <c r="K540" s="3">
        <v>3</v>
      </c>
      <c r="L540" s="43">
        <v>0.2</v>
      </c>
      <c r="M540" s="48">
        <v>202.78</v>
      </c>
      <c r="N540" s="48" t="str">
        <f>IF(Table3[[#This Row],[Profit]]&lt;0,"Loss","Profit")</f>
        <v>Profit</v>
      </c>
    </row>
    <row r="541" spans="1:14" ht="15.6" x14ac:dyDescent="0.3">
      <c r="A541" s="31" t="s">
        <v>101</v>
      </c>
      <c r="B541" s="33">
        <v>45878</v>
      </c>
      <c r="C541" s="33">
        <v>45883</v>
      </c>
      <c r="D541" s="54" t="s">
        <v>870</v>
      </c>
      <c r="E541" s="38" t="s">
        <v>1514</v>
      </c>
      <c r="F541" s="40" t="s">
        <v>1518</v>
      </c>
      <c r="G541" s="40" t="s">
        <v>1522</v>
      </c>
      <c r="H541" s="40" t="s">
        <v>1531</v>
      </c>
      <c r="I541" s="40" t="s">
        <v>1620</v>
      </c>
      <c r="J541" s="46">
        <v>4708.26</v>
      </c>
      <c r="K541" s="3">
        <v>8</v>
      </c>
      <c r="L541" s="43">
        <v>0</v>
      </c>
      <c r="M541" s="48">
        <v>1187.25</v>
      </c>
      <c r="N541" s="48" t="str">
        <f>IF(Table3[[#This Row],[Profit]]&lt;0,"Loss","Profit")</f>
        <v>Profit</v>
      </c>
    </row>
    <row r="542" spans="1:14" ht="15.6" x14ac:dyDescent="0.3">
      <c r="A542" s="31" t="s">
        <v>730</v>
      </c>
      <c r="B542" s="33">
        <v>45879</v>
      </c>
      <c r="C542" s="33">
        <v>45885</v>
      </c>
      <c r="D542" s="54" t="s">
        <v>1482</v>
      </c>
      <c r="E542" s="38" t="s">
        <v>1515</v>
      </c>
      <c r="F542" s="40" t="s">
        <v>1518</v>
      </c>
      <c r="G542" s="40" t="s">
        <v>1521</v>
      </c>
      <c r="H542" s="40" t="s">
        <v>1528</v>
      </c>
      <c r="I542" s="40" t="s">
        <v>2216</v>
      </c>
      <c r="J542" s="46">
        <v>4951.93</v>
      </c>
      <c r="K542" s="3">
        <v>10</v>
      </c>
      <c r="L542" s="43">
        <v>0</v>
      </c>
      <c r="M542" s="48">
        <v>675.05</v>
      </c>
      <c r="N542" s="48" t="str">
        <f>IF(Table3[[#This Row],[Profit]]&lt;0,"Loss","Profit")</f>
        <v>Profit</v>
      </c>
    </row>
    <row r="543" spans="1:14" ht="15.6" x14ac:dyDescent="0.3">
      <c r="A543" s="31" t="s">
        <v>675</v>
      </c>
      <c r="B543" s="33">
        <v>45878</v>
      </c>
      <c r="C543" s="33">
        <v>45886</v>
      </c>
      <c r="D543" s="54" t="s">
        <v>1428</v>
      </c>
      <c r="E543" s="38" t="s">
        <v>1515</v>
      </c>
      <c r="F543" s="40" t="s">
        <v>1518</v>
      </c>
      <c r="G543" s="40" t="s">
        <v>1520</v>
      </c>
      <c r="H543" s="40" t="s">
        <v>1524</v>
      </c>
      <c r="I543" s="40" t="s">
        <v>2167</v>
      </c>
      <c r="J543" s="46">
        <v>4443.5600000000004</v>
      </c>
      <c r="K543" s="3">
        <v>7</v>
      </c>
      <c r="L543" s="43">
        <v>0.15</v>
      </c>
      <c r="M543" s="48">
        <v>1008.32</v>
      </c>
      <c r="N543" s="48" t="str">
        <f>IF(Table3[[#This Row],[Profit]]&lt;0,"Loss","Profit")</f>
        <v>Profit</v>
      </c>
    </row>
    <row r="544" spans="1:14" ht="15.6" x14ac:dyDescent="0.3">
      <c r="A544" s="31" t="s">
        <v>616</v>
      </c>
      <c r="B544" s="33">
        <v>45882</v>
      </c>
      <c r="C544" s="33">
        <v>45886</v>
      </c>
      <c r="D544" s="54" t="s">
        <v>1370</v>
      </c>
      <c r="E544" s="38" t="s">
        <v>1513</v>
      </c>
      <c r="F544" s="40" t="s">
        <v>1518</v>
      </c>
      <c r="G544" s="40" t="s">
        <v>1520</v>
      </c>
      <c r="H544" s="40" t="s">
        <v>1523</v>
      </c>
      <c r="I544" s="40" t="s">
        <v>2017</v>
      </c>
      <c r="J544" s="46">
        <v>2331.13</v>
      </c>
      <c r="K544" s="3">
        <v>2</v>
      </c>
      <c r="L544" s="43">
        <v>0.2</v>
      </c>
      <c r="M544" s="48">
        <v>387.68</v>
      </c>
      <c r="N544" s="48" t="str">
        <f>IF(Table3[[#This Row],[Profit]]&lt;0,"Loss","Profit")</f>
        <v>Profit</v>
      </c>
    </row>
    <row r="545" spans="1:14" ht="15.6" x14ac:dyDescent="0.3">
      <c r="A545" s="31" t="s">
        <v>198</v>
      </c>
      <c r="B545" s="33">
        <v>45887</v>
      </c>
      <c r="C545" s="33">
        <v>45888</v>
      </c>
      <c r="D545" s="54" t="s">
        <v>963</v>
      </c>
      <c r="E545" s="38" t="s">
        <v>1514</v>
      </c>
      <c r="F545" s="40" t="s">
        <v>1516</v>
      </c>
      <c r="G545" s="40" t="s">
        <v>1521</v>
      </c>
      <c r="H545" s="40" t="s">
        <v>1526</v>
      </c>
      <c r="I545" s="40" t="s">
        <v>1715</v>
      </c>
      <c r="J545" s="46">
        <v>2103.7399999999998</v>
      </c>
      <c r="K545" s="3">
        <v>7</v>
      </c>
      <c r="L545" s="43">
        <v>0.2</v>
      </c>
      <c r="M545" s="48">
        <v>11.95</v>
      </c>
      <c r="N545" s="48" t="str">
        <f>IF(Table3[[#This Row],[Profit]]&lt;0,"Loss","Profit")</f>
        <v>Profit</v>
      </c>
    </row>
    <row r="546" spans="1:14" ht="15.6" x14ac:dyDescent="0.3">
      <c r="A546" s="31" t="s">
        <v>574</v>
      </c>
      <c r="B546" s="33">
        <v>45881</v>
      </c>
      <c r="C546" s="33">
        <v>45890</v>
      </c>
      <c r="D546" s="54" t="s">
        <v>1328</v>
      </c>
      <c r="E546" s="38" t="s">
        <v>1515</v>
      </c>
      <c r="F546" s="40" t="s">
        <v>1519</v>
      </c>
      <c r="G546" s="40" t="s">
        <v>1520</v>
      </c>
      <c r="H546" s="40" t="s">
        <v>1523</v>
      </c>
      <c r="I546" s="40" t="s">
        <v>2074</v>
      </c>
      <c r="J546" s="46">
        <v>1506.55</v>
      </c>
      <c r="K546" s="3">
        <v>2</v>
      </c>
      <c r="L546" s="43">
        <v>0.2</v>
      </c>
      <c r="M546" s="48">
        <v>491.42</v>
      </c>
      <c r="N546" s="48" t="str">
        <f>IF(Table3[[#This Row],[Profit]]&lt;0,"Loss","Profit")</f>
        <v>Profit</v>
      </c>
    </row>
    <row r="547" spans="1:14" ht="15.6" x14ac:dyDescent="0.3">
      <c r="A547" s="31" t="s">
        <v>533</v>
      </c>
      <c r="B547" s="33">
        <v>45882</v>
      </c>
      <c r="C547" s="33">
        <v>45890</v>
      </c>
      <c r="D547" s="54" t="s">
        <v>1288</v>
      </c>
      <c r="E547" s="38" t="s">
        <v>1515</v>
      </c>
      <c r="F547" s="40" t="s">
        <v>1518</v>
      </c>
      <c r="G547" s="40" t="s">
        <v>1521</v>
      </c>
      <c r="H547" s="40" t="s">
        <v>1526</v>
      </c>
      <c r="I547" s="40" t="s">
        <v>2034</v>
      </c>
      <c r="J547" s="46">
        <v>1675.31</v>
      </c>
      <c r="K547" s="3">
        <v>5</v>
      </c>
      <c r="L547" s="43">
        <v>0.2</v>
      </c>
      <c r="M547" s="48">
        <v>203.2</v>
      </c>
      <c r="N547" s="48" t="str">
        <f>IF(Table3[[#This Row],[Profit]]&lt;0,"Loss","Profit")</f>
        <v>Profit</v>
      </c>
    </row>
    <row r="548" spans="1:14" ht="15.6" x14ac:dyDescent="0.3">
      <c r="A548" s="31" t="s">
        <v>454</v>
      </c>
      <c r="B548" s="33">
        <v>45885</v>
      </c>
      <c r="C548" s="33">
        <v>45890</v>
      </c>
      <c r="D548" s="54" t="s">
        <v>1211</v>
      </c>
      <c r="E548" s="38" t="s">
        <v>1515</v>
      </c>
      <c r="F548" s="40" t="s">
        <v>1518</v>
      </c>
      <c r="G548" s="40" t="s">
        <v>1520</v>
      </c>
      <c r="H548" s="40" t="s">
        <v>1525</v>
      </c>
      <c r="I548" s="40" t="s">
        <v>1683</v>
      </c>
      <c r="J548" s="46">
        <v>982.38</v>
      </c>
      <c r="K548" s="3">
        <v>9</v>
      </c>
      <c r="L548" s="43">
        <v>0.05</v>
      </c>
      <c r="M548" s="48">
        <v>289.63</v>
      </c>
      <c r="N548" s="48" t="str">
        <f>IF(Table3[[#This Row],[Profit]]&lt;0,"Loss","Profit")</f>
        <v>Profit</v>
      </c>
    </row>
    <row r="549" spans="1:14" ht="15.6" x14ac:dyDescent="0.3">
      <c r="A549" s="31" t="s">
        <v>732</v>
      </c>
      <c r="B549" s="33">
        <v>45890</v>
      </c>
      <c r="C549" s="33">
        <v>45891</v>
      </c>
      <c r="D549" s="54" t="s">
        <v>1484</v>
      </c>
      <c r="E549" s="38" t="s">
        <v>1515</v>
      </c>
      <c r="F549" s="40" t="s">
        <v>1518</v>
      </c>
      <c r="G549" s="40" t="s">
        <v>1522</v>
      </c>
      <c r="H549" s="40" t="s">
        <v>1529</v>
      </c>
      <c r="I549" s="40" t="s">
        <v>2218</v>
      </c>
      <c r="J549" s="46">
        <v>1214.44</v>
      </c>
      <c r="K549" s="3">
        <v>10</v>
      </c>
      <c r="L549" s="43">
        <v>0.15</v>
      </c>
      <c r="M549" s="48">
        <v>174.72</v>
      </c>
      <c r="N549" s="48" t="str">
        <f>IF(Table3[[#This Row],[Profit]]&lt;0,"Loss","Profit")</f>
        <v>Profit</v>
      </c>
    </row>
    <row r="550" spans="1:14" ht="15.6" x14ac:dyDescent="0.3">
      <c r="A550" s="31" t="s">
        <v>244</v>
      </c>
      <c r="B550" s="33">
        <v>45888</v>
      </c>
      <c r="C550" s="33">
        <v>45895</v>
      </c>
      <c r="D550" s="54" t="s">
        <v>1008</v>
      </c>
      <c r="E550" s="38" t="s">
        <v>1514</v>
      </c>
      <c r="F550" s="40" t="s">
        <v>1518</v>
      </c>
      <c r="G550" s="40" t="s">
        <v>1520</v>
      </c>
      <c r="H550" s="40" t="s">
        <v>1525</v>
      </c>
      <c r="I550" s="40" t="s">
        <v>1760</v>
      </c>
      <c r="J550" s="46">
        <v>2525.39</v>
      </c>
      <c r="K550" s="3">
        <v>1</v>
      </c>
      <c r="L550" s="43">
        <v>0</v>
      </c>
      <c r="M550" s="48">
        <v>-314.74</v>
      </c>
      <c r="N550" s="48" t="str">
        <f>IF(Table3[[#This Row],[Profit]]&lt;0,"Loss","Profit")</f>
        <v>Loss</v>
      </c>
    </row>
    <row r="551" spans="1:14" ht="15.6" x14ac:dyDescent="0.3">
      <c r="A551" s="31" t="s">
        <v>506</v>
      </c>
      <c r="B551" s="33">
        <v>45894</v>
      </c>
      <c r="C551" s="33">
        <v>45895</v>
      </c>
      <c r="D551" s="54" t="s">
        <v>1262</v>
      </c>
      <c r="E551" s="38" t="s">
        <v>1513</v>
      </c>
      <c r="F551" s="40" t="s">
        <v>1516</v>
      </c>
      <c r="G551" s="40" t="s">
        <v>1522</v>
      </c>
      <c r="H551" s="40" t="s">
        <v>1531</v>
      </c>
      <c r="I551" s="40" t="s">
        <v>2009</v>
      </c>
      <c r="J551" s="46">
        <v>1039.52</v>
      </c>
      <c r="K551" s="3">
        <v>3</v>
      </c>
      <c r="L551" s="43">
        <v>0.1</v>
      </c>
      <c r="M551" s="48">
        <v>182.81</v>
      </c>
      <c r="N551" s="48" t="str">
        <f>IF(Table3[[#This Row],[Profit]]&lt;0,"Loss","Profit")</f>
        <v>Profit</v>
      </c>
    </row>
    <row r="552" spans="1:14" ht="15.6" x14ac:dyDescent="0.3">
      <c r="A552" s="31" t="s">
        <v>332</v>
      </c>
      <c r="B552" s="33">
        <v>45890</v>
      </c>
      <c r="C552" s="33">
        <v>45897</v>
      </c>
      <c r="D552" s="54" t="s">
        <v>1092</v>
      </c>
      <c r="E552" s="38" t="s">
        <v>1514</v>
      </c>
      <c r="F552" s="40" t="s">
        <v>1516</v>
      </c>
      <c r="G552" s="40" t="s">
        <v>1521</v>
      </c>
      <c r="H552" s="40" t="s">
        <v>1526</v>
      </c>
      <c r="I552" s="40" t="s">
        <v>1843</v>
      </c>
      <c r="J552" s="46">
        <v>2342.16</v>
      </c>
      <c r="K552" s="3">
        <v>10</v>
      </c>
      <c r="L552" s="43">
        <v>0.2</v>
      </c>
      <c r="M552" s="48">
        <v>176.26</v>
      </c>
      <c r="N552" s="48" t="str">
        <f>IF(Table3[[#This Row],[Profit]]&lt;0,"Loss","Profit")</f>
        <v>Profit</v>
      </c>
    </row>
    <row r="553" spans="1:14" ht="15.6" x14ac:dyDescent="0.3">
      <c r="A553" s="31" t="s">
        <v>707</v>
      </c>
      <c r="B553" s="33">
        <v>45894</v>
      </c>
      <c r="C553" s="33">
        <v>45897</v>
      </c>
      <c r="D553" s="54" t="s">
        <v>1459</v>
      </c>
      <c r="E553" s="38" t="s">
        <v>1514</v>
      </c>
      <c r="F553" s="40" t="s">
        <v>1516</v>
      </c>
      <c r="G553" s="40" t="s">
        <v>1520</v>
      </c>
      <c r="H553" s="40" t="s">
        <v>1524</v>
      </c>
      <c r="I553" s="40" t="s">
        <v>2196</v>
      </c>
      <c r="J553" s="46">
        <v>605.54</v>
      </c>
      <c r="K553" s="3">
        <v>1</v>
      </c>
      <c r="L553" s="43">
        <v>0.05</v>
      </c>
      <c r="M553" s="48">
        <v>183.08</v>
      </c>
      <c r="N553" s="48" t="str">
        <f>IF(Table3[[#This Row],[Profit]]&lt;0,"Loss","Profit")</f>
        <v>Profit</v>
      </c>
    </row>
    <row r="554" spans="1:14" ht="15.6" x14ac:dyDescent="0.3">
      <c r="A554" s="31" t="s">
        <v>484</v>
      </c>
      <c r="B554" s="33">
        <v>45890</v>
      </c>
      <c r="C554" s="33">
        <v>45898</v>
      </c>
      <c r="D554" s="54" t="s">
        <v>1240</v>
      </c>
      <c r="E554" s="38" t="s">
        <v>1515</v>
      </c>
      <c r="F554" s="40" t="s">
        <v>1517</v>
      </c>
      <c r="G554" s="40" t="s">
        <v>1520</v>
      </c>
      <c r="H554" s="40" t="s">
        <v>1525</v>
      </c>
      <c r="I554" s="40" t="s">
        <v>1987</v>
      </c>
      <c r="J554" s="46">
        <v>947.24</v>
      </c>
      <c r="K554" s="3">
        <v>7</v>
      </c>
      <c r="L554" s="43">
        <v>0.1</v>
      </c>
      <c r="M554" s="48">
        <v>129.06</v>
      </c>
      <c r="N554" s="48" t="str">
        <f>IF(Table3[[#This Row],[Profit]]&lt;0,"Loss","Profit")</f>
        <v>Profit</v>
      </c>
    </row>
    <row r="555" spans="1:14" ht="15.6" x14ac:dyDescent="0.3">
      <c r="A555" s="31" t="s">
        <v>577</v>
      </c>
      <c r="B555" s="33">
        <v>45892</v>
      </c>
      <c r="C555" s="33">
        <v>45898</v>
      </c>
      <c r="D555" s="54" t="s">
        <v>1331</v>
      </c>
      <c r="E555" s="38" t="s">
        <v>1513</v>
      </c>
      <c r="F555" s="40" t="s">
        <v>1519</v>
      </c>
      <c r="G555" s="40" t="s">
        <v>1521</v>
      </c>
      <c r="H555" s="40" t="s">
        <v>1526</v>
      </c>
      <c r="I555" s="40" t="s">
        <v>2077</v>
      </c>
      <c r="J555" s="46">
        <v>2606.6999999999998</v>
      </c>
      <c r="K555" s="3">
        <v>1</v>
      </c>
      <c r="L555" s="43">
        <v>0.2</v>
      </c>
      <c r="M555" s="48">
        <v>671.74</v>
      </c>
      <c r="N555" s="48" t="str">
        <f>IF(Table3[[#This Row],[Profit]]&lt;0,"Loss","Profit")</f>
        <v>Profit</v>
      </c>
    </row>
    <row r="556" spans="1:14" ht="15.6" x14ac:dyDescent="0.3">
      <c r="A556" s="31" t="s">
        <v>563</v>
      </c>
      <c r="B556" s="33">
        <v>45896</v>
      </c>
      <c r="C556" s="33">
        <v>45900</v>
      </c>
      <c r="D556" s="54" t="s">
        <v>1317</v>
      </c>
      <c r="E556" s="38" t="s">
        <v>1515</v>
      </c>
      <c r="F556" s="40" t="s">
        <v>1518</v>
      </c>
      <c r="G556" s="40" t="s">
        <v>1520</v>
      </c>
      <c r="H556" s="40" t="s">
        <v>1524</v>
      </c>
      <c r="I556" s="40" t="s">
        <v>2063</v>
      </c>
      <c r="J556" s="46">
        <v>2095.48</v>
      </c>
      <c r="K556" s="3">
        <v>9</v>
      </c>
      <c r="L556" s="43">
        <v>0.15</v>
      </c>
      <c r="M556" s="48">
        <v>-213.12</v>
      </c>
      <c r="N556" s="48" t="str">
        <f>IF(Table3[[#This Row],[Profit]]&lt;0,"Loss","Profit")</f>
        <v>Loss</v>
      </c>
    </row>
    <row r="557" spans="1:14" ht="15.6" x14ac:dyDescent="0.3">
      <c r="A557" s="31" t="s">
        <v>450</v>
      </c>
      <c r="B557" s="33">
        <v>45901</v>
      </c>
      <c r="C557" s="33">
        <v>45904</v>
      </c>
      <c r="D557" s="54" t="s">
        <v>1207</v>
      </c>
      <c r="E557" s="38" t="s">
        <v>1514</v>
      </c>
      <c r="F557" s="40" t="s">
        <v>1519</v>
      </c>
      <c r="G557" s="40" t="s">
        <v>1521</v>
      </c>
      <c r="H557" s="40" t="s">
        <v>1530</v>
      </c>
      <c r="I557" s="40" t="s">
        <v>1956</v>
      </c>
      <c r="J557" s="46">
        <v>3025.65</v>
      </c>
      <c r="K557" s="3">
        <v>1</v>
      </c>
      <c r="L557" s="43">
        <v>0.05</v>
      </c>
      <c r="M557" s="48">
        <v>-185.13</v>
      </c>
      <c r="N557" s="48" t="str">
        <f>IF(Table3[[#This Row],[Profit]]&lt;0,"Loss","Profit")</f>
        <v>Loss</v>
      </c>
    </row>
    <row r="558" spans="1:14" ht="15.6" x14ac:dyDescent="0.3">
      <c r="A558" s="31" t="s">
        <v>420</v>
      </c>
      <c r="B558" s="33">
        <v>45898</v>
      </c>
      <c r="C558" s="33">
        <v>45906</v>
      </c>
      <c r="D558" s="54" t="s">
        <v>1177</v>
      </c>
      <c r="E558" s="38" t="s">
        <v>1515</v>
      </c>
      <c r="F558" s="40" t="s">
        <v>1519</v>
      </c>
      <c r="G558" s="40" t="s">
        <v>1522</v>
      </c>
      <c r="H558" s="40" t="s">
        <v>1529</v>
      </c>
      <c r="I558" s="40" t="s">
        <v>1641</v>
      </c>
      <c r="J558" s="46">
        <v>3676.29</v>
      </c>
      <c r="K558" s="3">
        <v>3</v>
      </c>
      <c r="L558" s="43">
        <v>0.15</v>
      </c>
      <c r="M558" s="48">
        <v>261.73</v>
      </c>
      <c r="N558" s="48" t="str">
        <f>IF(Table3[[#This Row],[Profit]]&lt;0,"Loss","Profit")</f>
        <v>Profit</v>
      </c>
    </row>
    <row r="559" spans="1:14" ht="15.6" x14ac:dyDescent="0.3">
      <c r="A559" s="31" t="s">
        <v>666</v>
      </c>
      <c r="B559" s="33">
        <v>45902</v>
      </c>
      <c r="C559" s="33">
        <v>45912</v>
      </c>
      <c r="D559" s="54" t="s">
        <v>1419</v>
      </c>
      <c r="E559" s="38" t="s">
        <v>1515</v>
      </c>
      <c r="F559" s="40" t="s">
        <v>1517</v>
      </c>
      <c r="G559" s="40" t="s">
        <v>1521</v>
      </c>
      <c r="H559" s="40" t="s">
        <v>1530</v>
      </c>
      <c r="I559" s="40" t="s">
        <v>2159</v>
      </c>
      <c r="J559" s="46">
        <v>806.11</v>
      </c>
      <c r="K559" s="3">
        <v>5</v>
      </c>
      <c r="L559" s="43">
        <v>0.2</v>
      </c>
      <c r="M559" s="48">
        <v>-15.23</v>
      </c>
      <c r="N559" s="48" t="str">
        <f>IF(Table3[[#This Row],[Profit]]&lt;0,"Loss","Profit")</f>
        <v>Loss</v>
      </c>
    </row>
    <row r="560" spans="1:14" ht="15.6" x14ac:dyDescent="0.3">
      <c r="A560" s="31" t="s">
        <v>614</v>
      </c>
      <c r="B560" s="33">
        <v>45911</v>
      </c>
      <c r="C560" s="33">
        <v>45912</v>
      </c>
      <c r="D560" s="54" t="s">
        <v>1368</v>
      </c>
      <c r="E560" s="38" t="s">
        <v>1513</v>
      </c>
      <c r="F560" s="40" t="s">
        <v>1517</v>
      </c>
      <c r="G560" s="40" t="s">
        <v>1522</v>
      </c>
      <c r="H560" s="40" t="s">
        <v>1531</v>
      </c>
      <c r="I560" s="40" t="s">
        <v>2112</v>
      </c>
      <c r="J560" s="46">
        <v>1369.19</v>
      </c>
      <c r="K560" s="3">
        <v>7</v>
      </c>
      <c r="L560" s="43">
        <v>0</v>
      </c>
      <c r="M560" s="48">
        <v>135.22</v>
      </c>
      <c r="N560" s="48" t="str">
        <f>IF(Table3[[#This Row],[Profit]]&lt;0,"Loss","Profit")</f>
        <v>Profit</v>
      </c>
    </row>
    <row r="561" spans="1:14" ht="15.6" x14ac:dyDescent="0.3">
      <c r="A561" s="31" t="s">
        <v>695</v>
      </c>
      <c r="B561" s="33">
        <v>45904</v>
      </c>
      <c r="C561" s="33">
        <v>45914</v>
      </c>
      <c r="D561" s="54" t="s">
        <v>1447</v>
      </c>
      <c r="E561" s="38" t="s">
        <v>1514</v>
      </c>
      <c r="F561" s="40" t="s">
        <v>1519</v>
      </c>
      <c r="G561" s="40" t="s">
        <v>1521</v>
      </c>
      <c r="H561" s="40" t="s">
        <v>1528</v>
      </c>
      <c r="I561" s="40" t="s">
        <v>2185</v>
      </c>
      <c r="J561" s="46">
        <v>4672.76</v>
      </c>
      <c r="K561" s="3">
        <v>5</v>
      </c>
      <c r="L561" s="43">
        <v>0.15</v>
      </c>
      <c r="M561" s="48">
        <v>630.19000000000005</v>
      </c>
      <c r="N561" s="48" t="str">
        <f>IF(Table3[[#This Row],[Profit]]&lt;0,"Loss","Profit")</f>
        <v>Profit</v>
      </c>
    </row>
    <row r="562" spans="1:14" ht="15.6" x14ac:dyDescent="0.3">
      <c r="A562" s="31" t="s">
        <v>188</v>
      </c>
      <c r="B562" s="33">
        <v>45905</v>
      </c>
      <c r="C562" s="33">
        <v>45915</v>
      </c>
      <c r="D562" s="54" t="s">
        <v>954</v>
      </c>
      <c r="E562" s="38" t="s">
        <v>1515</v>
      </c>
      <c r="F562" s="40" t="s">
        <v>1518</v>
      </c>
      <c r="G562" s="40" t="s">
        <v>1521</v>
      </c>
      <c r="H562" s="40" t="s">
        <v>1530</v>
      </c>
      <c r="I562" s="40" t="s">
        <v>1705</v>
      </c>
      <c r="J562" s="46">
        <v>3334.88</v>
      </c>
      <c r="K562" s="3">
        <v>6</v>
      </c>
      <c r="L562" s="43">
        <v>0.1</v>
      </c>
      <c r="M562" s="48">
        <v>1107.96</v>
      </c>
      <c r="N562" s="48" t="str">
        <f>IF(Table3[[#This Row],[Profit]]&lt;0,"Loss","Profit")</f>
        <v>Profit</v>
      </c>
    </row>
    <row r="563" spans="1:14" ht="15.6" x14ac:dyDescent="0.3">
      <c r="A563" s="31" t="s">
        <v>170</v>
      </c>
      <c r="B563" s="33">
        <v>45913</v>
      </c>
      <c r="C563" s="33">
        <v>45915</v>
      </c>
      <c r="D563" s="54" t="s">
        <v>936</v>
      </c>
      <c r="E563" s="38" t="s">
        <v>1515</v>
      </c>
      <c r="F563" s="40" t="s">
        <v>1518</v>
      </c>
      <c r="G563" s="40" t="s">
        <v>1522</v>
      </c>
      <c r="H563" s="40" t="s">
        <v>1527</v>
      </c>
      <c r="I563" s="40" t="s">
        <v>1688</v>
      </c>
      <c r="J563" s="46">
        <v>1758.61</v>
      </c>
      <c r="K563" s="3">
        <v>2</v>
      </c>
      <c r="L563" s="43">
        <v>0.1</v>
      </c>
      <c r="M563" s="48">
        <v>304.27</v>
      </c>
      <c r="N563" s="48" t="str">
        <f>IF(Table3[[#This Row],[Profit]]&lt;0,"Loss","Profit")</f>
        <v>Profit</v>
      </c>
    </row>
    <row r="564" spans="1:14" ht="15.6" x14ac:dyDescent="0.3">
      <c r="A564" s="31" t="s">
        <v>396</v>
      </c>
      <c r="B564" s="33">
        <v>45914</v>
      </c>
      <c r="C564" s="33">
        <v>45915</v>
      </c>
      <c r="D564" s="54" t="s">
        <v>1154</v>
      </c>
      <c r="E564" s="38" t="s">
        <v>1515</v>
      </c>
      <c r="F564" s="40" t="s">
        <v>1518</v>
      </c>
      <c r="G564" s="40" t="s">
        <v>1521</v>
      </c>
      <c r="H564" s="40" t="s">
        <v>1528</v>
      </c>
      <c r="I564" s="40" t="s">
        <v>1661</v>
      </c>
      <c r="J564" s="46">
        <v>3402.06</v>
      </c>
      <c r="K564" s="3">
        <v>5</v>
      </c>
      <c r="L564" s="43">
        <v>0.05</v>
      </c>
      <c r="M564" s="48">
        <v>-622.25</v>
      </c>
      <c r="N564" s="48" t="str">
        <f>IF(Table3[[#This Row],[Profit]]&lt;0,"Loss","Profit")</f>
        <v>Loss</v>
      </c>
    </row>
    <row r="565" spans="1:14" ht="15.6" x14ac:dyDescent="0.3">
      <c r="A565" s="31" t="s">
        <v>679</v>
      </c>
      <c r="B565" s="33">
        <v>45913</v>
      </c>
      <c r="C565" s="33">
        <v>45916</v>
      </c>
      <c r="D565" s="54" t="s">
        <v>1432</v>
      </c>
      <c r="E565" s="38" t="s">
        <v>1513</v>
      </c>
      <c r="F565" s="40" t="s">
        <v>1518</v>
      </c>
      <c r="G565" s="40" t="s">
        <v>1521</v>
      </c>
      <c r="H565" s="40" t="s">
        <v>1526</v>
      </c>
      <c r="I565" s="40" t="s">
        <v>2171</v>
      </c>
      <c r="J565" s="46">
        <v>2141.19</v>
      </c>
      <c r="K565" s="3">
        <v>10</v>
      </c>
      <c r="L565" s="43">
        <v>0</v>
      </c>
      <c r="M565" s="48">
        <v>384.29</v>
      </c>
      <c r="N565" s="48" t="str">
        <f>IF(Table3[[#This Row],[Profit]]&lt;0,"Loss","Profit")</f>
        <v>Profit</v>
      </c>
    </row>
    <row r="566" spans="1:14" ht="15.6" x14ac:dyDescent="0.3">
      <c r="A566" s="31" t="s">
        <v>667</v>
      </c>
      <c r="B566" s="33">
        <v>45917</v>
      </c>
      <c r="C566" s="33">
        <v>45920</v>
      </c>
      <c r="D566" s="54" t="s">
        <v>1420</v>
      </c>
      <c r="E566" s="38" t="s">
        <v>1515</v>
      </c>
      <c r="F566" s="40" t="s">
        <v>1517</v>
      </c>
      <c r="G566" s="40" t="s">
        <v>1522</v>
      </c>
      <c r="H566" s="40" t="s">
        <v>1527</v>
      </c>
      <c r="I566" s="40" t="s">
        <v>1685</v>
      </c>
      <c r="J566" s="46">
        <v>2926.1</v>
      </c>
      <c r="K566" s="3">
        <v>4</v>
      </c>
      <c r="L566" s="43">
        <v>0.05</v>
      </c>
      <c r="M566" s="48">
        <v>-87.93</v>
      </c>
      <c r="N566" s="48" t="str">
        <f>IF(Table3[[#This Row],[Profit]]&lt;0,"Loss","Profit")</f>
        <v>Loss</v>
      </c>
    </row>
    <row r="567" spans="1:14" ht="15.6" x14ac:dyDescent="0.3">
      <c r="A567" s="31" t="s">
        <v>669</v>
      </c>
      <c r="B567" s="33">
        <v>45917</v>
      </c>
      <c r="C567" s="33">
        <v>45920</v>
      </c>
      <c r="D567" s="54" t="s">
        <v>1422</v>
      </c>
      <c r="E567" s="38" t="s">
        <v>1514</v>
      </c>
      <c r="F567" s="40" t="s">
        <v>1518</v>
      </c>
      <c r="G567" s="40" t="s">
        <v>1522</v>
      </c>
      <c r="H567" s="40" t="s">
        <v>1529</v>
      </c>
      <c r="I567" s="40" t="s">
        <v>2161</v>
      </c>
      <c r="J567" s="46">
        <v>3649.04</v>
      </c>
      <c r="K567" s="3">
        <v>6</v>
      </c>
      <c r="L567" s="43">
        <v>0.15</v>
      </c>
      <c r="M567" s="48">
        <v>1199.29</v>
      </c>
      <c r="N567" s="48" t="str">
        <f>IF(Table3[[#This Row],[Profit]]&lt;0,"Loss","Profit")</f>
        <v>Profit</v>
      </c>
    </row>
    <row r="568" spans="1:14" ht="15.6" x14ac:dyDescent="0.3">
      <c r="A568" s="31" t="s">
        <v>530</v>
      </c>
      <c r="B568" s="33">
        <v>45920</v>
      </c>
      <c r="C568" s="33">
        <v>45923</v>
      </c>
      <c r="D568" s="54" t="s">
        <v>1285</v>
      </c>
      <c r="E568" s="38" t="s">
        <v>1515</v>
      </c>
      <c r="F568" s="40" t="s">
        <v>1518</v>
      </c>
      <c r="G568" s="40" t="s">
        <v>1522</v>
      </c>
      <c r="H568" s="40" t="s">
        <v>1531</v>
      </c>
      <c r="I568" s="40" t="s">
        <v>2031</v>
      </c>
      <c r="J568" s="46">
        <v>3371.34</v>
      </c>
      <c r="K568" s="3">
        <v>10</v>
      </c>
      <c r="L568" s="43">
        <v>0</v>
      </c>
      <c r="M568" s="48">
        <v>904.41</v>
      </c>
      <c r="N568" s="48" t="str">
        <f>IF(Table3[[#This Row],[Profit]]&lt;0,"Loss","Profit")</f>
        <v>Profit</v>
      </c>
    </row>
    <row r="569" spans="1:14" ht="15.6" x14ac:dyDescent="0.3">
      <c r="A569" s="31" t="s">
        <v>193</v>
      </c>
      <c r="B569" s="33">
        <v>45922</v>
      </c>
      <c r="C569" s="33">
        <v>45923</v>
      </c>
      <c r="D569" s="54" t="s">
        <v>958</v>
      </c>
      <c r="E569" s="38" t="s">
        <v>1515</v>
      </c>
      <c r="F569" s="40" t="s">
        <v>1518</v>
      </c>
      <c r="G569" s="40" t="s">
        <v>1520</v>
      </c>
      <c r="H569" s="40" t="s">
        <v>1524</v>
      </c>
      <c r="I569" s="40" t="s">
        <v>1710</v>
      </c>
      <c r="J569" s="46">
        <v>2083.75</v>
      </c>
      <c r="K569" s="3">
        <v>4</v>
      </c>
      <c r="L569" s="43">
        <v>0.15</v>
      </c>
      <c r="M569" s="48">
        <v>283.02999999999997</v>
      </c>
      <c r="N569" s="48" t="str">
        <f>IF(Table3[[#This Row],[Profit]]&lt;0,"Loss","Profit")</f>
        <v>Profit</v>
      </c>
    </row>
    <row r="570" spans="1:14" ht="15.6" x14ac:dyDescent="0.3">
      <c r="A570" s="31" t="s">
        <v>264</v>
      </c>
      <c r="B570" s="33" t="s">
        <v>769</v>
      </c>
      <c r="C570" s="33">
        <v>45923</v>
      </c>
      <c r="D570" s="54" t="s">
        <v>1027</v>
      </c>
      <c r="E570" s="38" t="s">
        <v>1514</v>
      </c>
      <c r="F570" s="40" t="s">
        <v>1519</v>
      </c>
      <c r="G570" s="40" t="s">
        <v>1522</v>
      </c>
      <c r="H570" s="40" t="s">
        <v>1527</v>
      </c>
      <c r="I570" s="40" t="s">
        <v>1780</v>
      </c>
      <c r="J570" s="46">
        <v>1400.54</v>
      </c>
      <c r="K570" s="3">
        <v>2</v>
      </c>
      <c r="L570" s="43">
        <v>0.1</v>
      </c>
      <c r="M570" s="48">
        <v>-154.94</v>
      </c>
      <c r="N570" s="48" t="str">
        <f>IF(Table3[[#This Row],[Profit]]&lt;0,"Loss","Profit")</f>
        <v>Loss</v>
      </c>
    </row>
    <row r="571" spans="1:14" ht="15.6" x14ac:dyDescent="0.3">
      <c r="A571" s="31" t="s">
        <v>713</v>
      </c>
      <c r="B571" s="33">
        <v>45922</v>
      </c>
      <c r="C571" s="33">
        <v>45925</v>
      </c>
      <c r="D571" s="54" t="s">
        <v>1465</v>
      </c>
      <c r="E571" s="38" t="s">
        <v>1513</v>
      </c>
      <c r="F571" s="40" t="s">
        <v>1517</v>
      </c>
      <c r="G571" s="40" t="s">
        <v>1521</v>
      </c>
      <c r="H571" s="40" t="s">
        <v>1530</v>
      </c>
      <c r="I571" s="40" t="s">
        <v>2201</v>
      </c>
      <c r="J571" s="46">
        <v>1404.5</v>
      </c>
      <c r="K571" s="3">
        <v>1</v>
      </c>
      <c r="L571" s="43">
        <v>0.2</v>
      </c>
      <c r="M571" s="48">
        <v>151.4</v>
      </c>
      <c r="N571" s="48" t="str">
        <f>IF(Table3[[#This Row],[Profit]]&lt;0,"Loss","Profit")</f>
        <v>Profit</v>
      </c>
    </row>
    <row r="572" spans="1:14" ht="15.6" x14ac:dyDescent="0.3">
      <c r="A572" s="31" t="s">
        <v>549</v>
      </c>
      <c r="B572" s="33">
        <v>45920</v>
      </c>
      <c r="C572" s="33">
        <v>45928</v>
      </c>
      <c r="D572" s="54" t="s">
        <v>1303</v>
      </c>
      <c r="E572" s="38" t="s">
        <v>1514</v>
      </c>
      <c r="F572" s="40" t="s">
        <v>1516</v>
      </c>
      <c r="G572" s="40" t="s">
        <v>1521</v>
      </c>
      <c r="H572" s="40" t="s">
        <v>1528</v>
      </c>
      <c r="I572" s="40" t="s">
        <v>2049</v>
      </c>
      <c r="J572" s="46">
        <v>2421.15</v>
      </c>
      <c r="K572" s="3">
        <v>10</v>
      </c>
      <c r="L572" s="43">
        <v>0.05</v>
      </c>
      <c r="M572" s="48">
        <v>377.68</v>
      </c>
      <c r="N572" s="48" t="str">
        <f>IF(Table3[[#This Row],[Profit]]&lt;0,"Loss","Profit")</f>
        <v>Profit</v>
      </c>
    </row>
    <row r="573" spans="1:14" ht="15.6" x14ac:dyDescent="0.3">
      <c r="A573" s="31" t="s">
        <v>387</v>
      </c>
      <c r="B573" s="33">
        <v>45924</v>
      </c>
      <c r="C573" s="33">
        <v>45931</v>
      </c>
      <c r="D573" s="54" t="s">
        <v>1145</v>
      </c>
      <c r="E573" s="38" t="s">
        <v>1515</v>
      </c>
      <c r="F573" s="40" t="s">
        <v>1516</v>
      </c>
      <c r="G573" s="40" t="s">
        <v>1522</v>
      </c>
      <c r="H573" s="40" t="s">
        <v>1531</v>
      </c>
      <c r="I573" s="40" t="s">
        <v>1897</v>
      </c>
      <c r="J573" s="46">
        <v>168.36</v>
      </c>
      <c r="K573" s="3">
        <v>9</v>
      </c>
      <c r="L573" s="43">
        <v>0.1</v>
      </c>
      <c r="M573" s="48">
        <v>25.21</v>
      </c>
      <c r="N573" s="48" t="str">
        <f>IF(Table3[[#This Row],[Profit]]&lt;0,"Loss","Profit")</f>
        <v>Profit</v>
      </c>
    </row>
    <row r="574" spans="1:14" ht="15.6" x14ac:dyDescent="0.3">
      <c r="A574" s="31" t="s">
        <v>590</v>
      </c>
      <c r="B574" s="33">
        <v>45926</v>
      </c>
      <c r="C574" s="33">
        <v>45931</v>
      </c>
      <c r="D574" s="54" t="s">
        <v>1344</v>
      </c>
      <c r="E574" s="38" t="s">
        <v>1515</v>
      </c>
      <c r="F574" s="40" t="s">
        <v>1517</v>
      </c>
      <c r="G574" s="40" t="s">
        <v>1521</v>
      </c>
      <c r="H574" s="40" t="s">
        <v>1526</v>
      </c>
      <c r="I574" s="40" t="s">
        <v>2089</v>
      </c>
      <c r="J574" s="46">
        <v>2832.59</v>
      </c>
      <c r="K574" s="3">
        <v>10</v>
      </c>
      <c r="L574" s="43">
        <v>0</v>
      </c>
      <c r="M574" s="48">
        <v>54.16</v>
      </c>
      <c r="N574" s="48" t="str">
        <f>IF(Table3[[#This Row],[Profit]]&lt;0,"Loss","Profit")</f>
        <v>Profit</v>
      </c>
    </row>
    <row r="575" spans="1:14" ht="15.6" x14ac:dyDescent="0.3">
      <c r="A575" s="31" t="s">
        <v>621</v>
      </c>
      <c r="B575" s="33">
        <v>45923</v>
      </c>
      <c r="C575" s="33">
        <v>45933</v>
      </c>
      <c r="D575" s="54" t="s">
        <v>1375</v>
      </c>
      <c r="E575" s="38" t="s">
        <v>1513</v>
      </c>
      <c r="F575" s="40" t="s">
        <v>1516</v>
      </c>
      <c r="G575" s="40" t="s">
        <v>1521</v>
      </c>
      <c r="H575" s="40" t="s">
        <v>1530</v>
      </c>
      <c r="I575" s="40" t="s">
        <v>2117</v>
      </c>
      <c r="J575" s="46">
        <v>1725.19</v>
      </c>
      <c r="K575" s="3">
        <v>1</v>
      </c>
      <c r="L575" s="43">
        <v>0</v>
      </c>
      <c r="M575" s="48">
        <v>-7.7</v>
      </c>
      <c r="N575" s="48" t="str">
        <f>IF(Table3[[#This Row],[Profit]]&lt;0,"Loss","Profit")</f>
        <v>Loss</v>
      </c>
    </row>
    <row r="576" spans="1:14" ht="15.6" x14ac:dyDescent="0.3">
      <c r="A576" s="31" t="s">
        <v>327</v>
      </c>
      <c r="B576" s="33">
        <v>45928</v>
      </c>
      <c r="C576" s="33">
        <v>45933</v>
      </c>
      <c r="D576" s="54" t="s">
        <v>1087</v>
      </c>
      <c r="E576" s="38" t="s">
        <v>1514</v>
      </c>
      <c r="F576" s="40" t="s">
        <v>1516</v>
      </c>
      <c r="G576" s="40" t="s">
        <v>1522</v>
      </c>
      <c r="H576" s="40" t="s">
        <v>1527</v>
      </c>
      <c r="I576" s="40" t="s">
        <v>1838</v>
      </c>
      <c r="J576" s="46">
        <v>1248</v>
      </c>
      <c r="K576" s="3">
        <v>3</v>
      </c>
      <c r="L576" s="43">
        <v>0.2</v>
      </c>
      <c r="M576" s="48">
        <v>40.840000000000003</v>
      </c>
      <c r="N576" s="48" t="str">
        <f>IF(Table3[[#This Row],[Profit]]&lt;0,"Loss","Profit")</f>
        <v>Profit</v>
      </c>
    </row>
    <row r="577" spans="1:14" ht="15.6" x14ac:dyDescent="0.3">
      <c r="A577" s="31" t="s">
        <v>269</v>
      </c>
      <c r="B577" s="33">
        <v>45932</v>
      </c>
      <c r="C577" s="33">
        <v>45934</v>
      </c>
      <c r="D577" s="54" t="s">
        <v>1032</v>
      </c>
      <c r="E577" s="38" t="s">
        <v>1515</v>
      </c>
      <c r="F577" s="40" t="s">
        <v>1519</v>
      </c>
      <c r="G577" s="40" t="s">
        <v>1522</v>
      </c>
      <c r="H577" s="40" t="s">
        <v>1527</v>
      </c>
      <c r="I577" s="40" t="s">
        <v>1785</v>
      </c>
      <c r="J577" s="46">
        <v>2353.71</v>
      </c>
      <c r="K577" s="3">
        <v>3</v>
      </c>
      <c r="L577" s="43">
        <v>0.15</v>
      </c>
      <c r="M577" s="48">
        <v>417.41</v>
      </c>
      <c r="N577" s="48" t="str">
        <f>IF(Table3[[#This Row],[Profit]]&lt;0,"Loss","Profit")</f>
        <v>Profit</v>
      </c>
    </row>
    <row r="578" spans="1:14" ht="15.6" x14ac:dyDescent="0.3">
      <c r="A578" s="31" t="s">
        <v>726</v>
      </c>
      <c r="B578" s="33">
        <v>45926</v>
      </c>
      <c r="C578" s="33">
        <v>45936</v>
      </c>
      <c r="D578" s="54" t="s">
        <v>1478</v>
      </c>
      <c r="E578" s="38" t="s">
        <v>1513</v>
      </c>
      <c r="F578" s="40" t="s">
        <v>1519</v>
      </c>
      <c r="G578" s="40" t="s">
        <v>1522</v>
      </c>
      <c r="H578" s="40" t="s">
        <v>1527</v>
      </c>
      <c r="I578" s="40" t="s">
        <v>2212</v>
      </c>
      <c r="J578" s="46">
        <v>2341.4</v>
      </c>
      <c r="K578" s="3">
        <v>9</v>
      </c>
      <c r="L578" s="43">
        <v>0</v>
      </c>
      <c r="M578" s="48">
        <v>590.29999999999995</v>
      </c>
      <c r="N578" s="48" t="str">
        <f>IF(Table3[[#This Row],[Profit]]&lt;0,"Loss","Profit")</f>
        <v>Profit</v>
      </c>
    </row>
    <row r="579" spans="1:14" ht="15.6" x14ac:dyDescent="0.3">
      <c r="A579" s="31" t="s">
        <v>673</v>
      </c>
      <c r="B579" s="33">
        <v>45930</v>
      </c>
      <c r="C579" s="33">
        <v>45938</v>
      </c>
      <c r="D579" s="54" t="s">
        <v>1426</v>
      </c>
      <c r="E579" s="38" t="s">
        <v>1513</v>
      </c>
      <c r="F579" s="40" t="s">
        <v>1519</v>
      </c>
      <c r="G579" s="40" t="s">
        <v>1521</v>
      </c>
      <c r="H579" s="40" t="s">
        <v>1526</v>
      </c>
      <c r="I579" s="40" t="s">
        <v>2165</v>
      </c>
      <c r="J579" s="46">
        <v>730.69</v>
      </c>
      <c r="K579" s="3">
        <v>4</v>
      </c>
      <c r="L579" s="43">
        <v>0.05</v>
      </c>
      <c r="M579" s="48">
        <v>-133.19</v>
      </c>
      <c r="N579" s="48" t="str">
        <f>IF(Table3[[#This Row],[Profit]]&lt;0,"Loss","Profit")</f>
        <v>Loss</v>
      </c>
    </row>
    <row r="580" spans="1:14" ht="15.6" x14ac:dyDescent="0.3">
      <c r="A580" s="31" t="s">
        <v>501</v>
      </c>
      <c r="B580" s="33">
        <v>45932</v>
      </c>
      <c r="C580" s="33">
        <v>45938</v>
      </c>
      <c r="D580" s="54" t="s">
        <v>1257</v>
      </c>
      <c r="E580" s="38" t="s">
        <v>1515</v>
      </c>
      <c r="F580" s="40" t="s">
        <v>1519</v>
      </c>
      <c r="G580" s="40" t="s">
        <v>1521</v>
      </c>
      <c r="H580" s="40" t="s">
        <v>1526</v>
      </c>
      <c r="I580" s="40" t="s">
        <v>2004</v>
      </c>
      <c r="J580" s="46">
        <v>4853.93</v>
      </c>
      <c r="K580" s="3">
        <v>8</v>
      </c>
      <c r="L580" s="43">
        <v>0.05</v>
      </c>
      <c r="M580" s="48">
        <v>-601.89</v>
      </c>
      <c r="N580" s="48" t="str">
        <f>IF(Table3[[#This Row],[Profit]]&lt;0,"Loss","Profit")</f>
        <v>Loss</v>
      </c>
    </row>
    <row r="581" spans="1:14" ht="15.6" x14ac:dyDescent="0.3">
      <c r="A581" s="31" t="s">
        <v>317</v>
      </c>
      <c r="B581" s="33">
        <v>45930</v>
      </c>
      <c r="C581" s="33">
        <v>45939</v>
      </c>
      <c r="D581" s="54" t="s">
        <v>1078</v>
      </c>
      <c r="E581" s="38" t="s">
        <v>1515</v>
      </c>
      <c r="F581" s="40" t="s">
        <v>1516</v>
      </c>
      <c r="G581" s="40" t="s">
        <v>1521</v>
      </c>
      <c r="H581" s="40" t="s">
        <v>1528</v>
      </c>
      <c r="I581" s="40" t="s">
        <v>1829</v>
      </c>
      <c r="J581" s="46">
        <v>2586.58</v>
      </c>
      <c r="K581" s="3">
        <v>2</v>
      </c>
      <c r="L581" s="43">
        <v>0</v>
      </c>
      <c r="M581" s="48">
        <v>-389.82</v>
      </c>
      <c r="N581" s="48" t="str">
        <f>IF(Table3[[#This Row],[Profit]]&lt;0,"Loss","Profit")</f>
        <v>Loss</v>
      </c>
    </row>
    <row r="582" spans="1:14" ht="15.6" x14ac:dyDescent="0.3">
      <c r="A582" s="31" t="s">
        <v>687</v>
      </c>
      <c r="B582" s="33">
        <v>45931</v>
      </c>
      <c r="C582" s="33">
        <v>45939</v>
      </c>
      <c r="D582" s="54" t="s">
        <v>1440</v>
      </c>
      <c r="E582" s="38" t="s">
        <v>1513</v>
      </c>
      <c r="F582" s="40" t="s">
        <v>1517</v>
      </c>
      <c r="G582" s="40" t="s">
        <v>1521</v>
      </c>
      <c r="H582" s="40" t="s">
        <v>1526</v>
      </c>
      <c r="I582" s="40" t="s">
        <v>2177</v>
      </c>
      <c r="J582" s="46">
        <v>2740.33</v>
      </c>
      <c r="K582" s="3">
        <v>1</v>
      </c>
      <c r="L582" s="43">
        <v>0.2</v>
      </c>
      <c r="M582" s="48">
        <v>782.33</v>
      </c>
      <c r="N582" s="48" t="str">
        <f>IF(Table3[[#This Row],[Profit]]&lt;0,"Loss","Profit")</f>
        <v>Profit</v>
      </c>
    </row>
    <row r="583" spans="1:14" ht="15.6" x14ac:dyDescent="0.3">
      <c r="A583" s="31" t="s">
        <v>721</v>
      </c>
      <c r="B583" s="33">
        <v>45932</v>
      </c>
      <c r="C583" s="33">
        <v>45940</v>
      </c>
      <c r="D583" s="54" t="s">
        <v>1473</v>
      </c>
      <c r="E583" s="38" t="s">
        <v>1515</v>
      </c>
      <c r="F583" s="40" t="s">
        <v>1517</v>
      </c>
      <c r="G583" s="40" t="s">
        <v>1522</v>
      </c>
      <c r="H583" s="40" t="s">
        <v>1529</v>
      </c>
      <c r="I583" s="40" t="s">
        <v>2208</v>
      </c>
      <c r="J583" s="46">
        <v>2333.15</v>
      </c>
      <c r="K583" s="3">
        <v>3</v>
      </c>
      <c r="L583" s="43">
        <v>0.1</v>
      </c>
      <c r="M583" s="48">
        <v>518.82000000000005</v>
      </c>
      <c r="N583" s="48" t="str">
        <f>IF(Table3[[#This Row],[Profit]]&lt;0,"Loss","Profit")</f>
        <v>Profit</v>
      </c>
    </row>
    <row r="584" spans="1:14" ht="15.6" x14ac:dyDescent="0.3">
      <c r="A584" s="31" t="s">
        <v>154</v>
      </c>
      <c r="B584" s="33">
        <v>45938</v>
      </c>
      <c r="C584" s="33">
        <v>45940</v>
      </c>
      <c r="D584" s="54" t="s">
        <v>921</v>
      </c>
      <c r="E584" s="38" t="s">
        <v>1514</v>
      </c>
      <c r="F584" s="40" t="s">
        <v>1517</v>
      </c>
      <c r="G584" s="40" t="s">
        <v>1520</v>
      </c>
      <c r="H584" s="40" t="s">
        <v>1523</v>
      </c>
      <c r="I584" s="40" t="s">
        <v>1672</v>
      </c>
      <c r="J584" s="46">
        <v>2407.42</v>
      </c>
      <c r="K584" s="3">
        <v>6</v>
      </c>
      <c r="L584" s="43">
        <v>0.2</v>
      </c>
      <c r="M584" s="48">
        <v>304.58</v>
      </c>
      <c r="N584" s="48" t="str">
        <f>IF(Table3[[#This Row],[Profit]]&lt;0,"Loss","Profit")</f>
        <v>Profit</v>
      </c>
    </row>
    <row r="585" spans="1:14" ht="15.6" x14ac:dyDescent="0.3">
      <c r="A585" s="31" t="s">
        <v>564</v>
      </c>
      <c r="B585" s="33">
        <v>45933</v>
      </c>
      <c r="C585" s="33">
        <v>45943</v>
      </c>
      <c r="D585" s="54" t="s">
        <v>1318</v>
      </c>
      <c r="E585" s="38" t="s">
        <v>1515</v>
      </c>
      <c r="F585" s="40" t="s">
        <v>1516</v>
      </c>
      <c r="G585" s="40" t="s">
        <v>1521</v>
      </c>
      <c r="H585" s="40" t="s">
        <v>1526</v>
      </c>
      <c r="I585" s="40" t="s">
        <v>2064</v>
      </c>
      <c r="J585" s="46">
        <v>1754.56</v>
      </c>
      <c r="K585" s="3">
        <v>7</v>
      </c>
      <c r="L585" s="43">
        <v>0.2</v>
      </c>
      <c r="M585" s="48">
        <v>-217.67</v>
      </c>
      <c r="N585" s="48" t="str">
        <f>IF(Table3[[#This Row],[Profit]]&lt;0,"Loss","Profit")</f>
        <v>Loss</v>
      </c>
    </row>
    <row r="586" spans="1:14" ht="15.6" x14ac:dyDescent="0.3">
      <c r="A586" s="31" t="s">
        <v>367</v>
      </c>
      <c r="B586" s="33">
        <v>45935</v>
      </c>
      <c r="C586" s="33">
        <v>45943</v>
      </c>
      <c r="D586" s="54" t="s">
        <v>1126</v>
      </c>
      <c r="E586" s="38" t="s">
        <v>1513</v>
      </c>
      <c r="F586" s="40" t="s">
        <v>1518</v>
      </c>
      <c r="G586" s="40" t="s">
        <v>1521</v>
      </c>
      <c r="H586" s="40" t="s">
        <v>1528</v>
      </c>
      <c r="I586" s="40" t="s">
        <v>1878</v>
      </c>
      <c r="J586" s="46">
        <v>4306.8100000000004</v>
      </c>
      <c r="K586" s="3">
        <v>2</v>
      </c>
      <c r="L586" s="43">
        <v>0</v>
      </c>
      <c r="M586" s="48">
        <v>-529.71</v>
      </c>
      <c r="N586" s="48" t="str">
        <f>IF(Table3[[#This Row],[Profit]]&lt;0,"Loss","Profit")</f>
        <v>Loss</v>
      </c>
    </row>
    <row r="587" spans="1:14" ht="15.6" x14ac:dyDescent="0.3">
      <c r="A587" s="31" t="s">
        <v>258</v>
      </c>
      <c r="B587" s="33">
        <v>45938</v>
      </c>
      <c r="C587" s="33">
        <v>45943</v>
      </c>
      <c r="D587" s="54" t="s">
        <v>1022</v>
      </c>
      <c r="E587" s="38" t="s">
        <v>1515</v>
      </c>
      <c r="F587" s="40" t="s">
        <v>1517</v>
      </c>
      <c r="G587" s="40" t="s">
        <v>1522</v>
      </c>
      <c r="H587" s="40" t="s">
        <v>1527</v>
      </c>
      <c r="I587" s="40" t="s">
        <v>1774</v>
      </c>
      <c r="J587" s="46">
        <v>4668.47</v>
      </c>
      <c r="K587" s="3">
        <v>5</v>
      </c>
      <c r="L587" s="43">
        <v>0.05</v>
      </c>
      <c r="M587" s="48">
        <v>-653.24</v>
      </c>
      <c r="N587" s="48" t="str">
        <f>IF(Table3[[#This Row],[Profit]]&lt;0,"Loss","Profit")</f>
        <v>Loss</v>
      </c>
    </row>
    <row r="588" spans="1:14" ht="15.6" x14ac:dyDescent="0.3">
      <c r="A588" s="31" t="s">
        <v>428</v>
      </c>
      <c r="B588" s="33">
        <v>45939</v>
      </c>
      <c r="C588" s="33">
        <v>45943</v>
      </c>
      <c r="D588" s="54" t="s">
        <v>1185</v>
      </c>
      <c r="E588" s="38" t="s">
        <v>1513</v>
      </c>
      <c r="F588" s="40" t="s">
        <v>1519</v>
      </c>
      <c r="G588" s="40" t="s">
        <v>1522</v>
      </c>
      <c r="H588" s="40" t="s">
        <v>1531</v>
      </c>
      <c r="I588" s="40" t="s">
        <v>1934</v>
      </c>
      <c r="J588" s="46">
        <v>895.62</v>
      </c>
      <c r="K588" s="3">
        <v>5</v>
      </c>
      <c r="L588" s="43">
        <v>0</v>
      </c>
      <c r="M588" s="48">
        <v>54.15</v>
      </c>
      <c r="N588" s="48" t="str">
        <f>IF(Table3[[#This Row],[Profit]]&lt;0,"Loss","Profit")</f>
        <v>Profit</v>
      </c>
    </row>
    <row r="589" spans="1:14" ht="15.6" x14ac:dyDescent="0.3">
      <c r="A589" s="31" t="s">
        <v>365</v>
      </c>
      <c r="B589" s="33">
        <v>45943</v>
      </c>
      <c r="C589" s="33">
        <v>45945</v>
      </c>
      <c r="D589" s="54" t="s">
        <v>1124</v>
      </c>
      <c r="E589" s="38" t="s">
        <v>1513</v>
      </c>
      <c r="F589" s="40" t="s">
        <v>1517</v>
      </c>
      <c r="G589" s="40" t="s">
        <v>1521</v>
      </c>
      <c r="H589" s="40" t="s">
        <v>1530</v>
      </c>
      <c r="I589" s="40" t="s">
        <v>1876</v>
      </c>
      <c r="J589" s="46">
        <v>560.85</v>
      </c>
      <c r="K589" s="3">
        <v>6</v>
      </c>
      <c r="L589" s="43">
        <v>0.1</v>
      </c>
      <c r="M589" s="48">
        <v>-69.87</v>
      </c>
      <c r="N589" s="48" t="str">
        <f>IF(Table3[[#This Row],[Profit]]&lt;0,"Loss","Profit")</f>
        <v>Loss</v>
      </c>
    </row>
    <row r="590" spans="1:14" ht="15.6" x14ac:dyDescent="0.3">
      <c r="A590" s="31" t="s">
        <v>111</v>
      </c>
      <c r="B590" s="33">
        <v>45936</v>
      </c>
      <c r="C590" s="33">
        <v>45946</v>
      </c>
      <c r="D590" s="54" t="s">
        <v>879</v>
      </c>
      <c r="E590" s="38" t="s">
        <v>1515</v>
      </c>
      <c r="F590" s="40" t="s">
        <v>1516</v>
      </c>
      <c r="G590" s="40" t="s">
        <v>1520</v>
      </c>
      <c r="H590" s="40" t="s">
        <v>1524</v>
      </c>
      <c r="I590" s="40" t="s">
        <v>1629</v>
      </c>
      <c r="J590" s="46">
        <v>1289.32</v>
      </c>
      <c r="K590" s="3">
        <v>2</v>
      </c>
      <c r="L590" s="43">
        <v>0.05</v>
      </c>
      <c r="M590" s="48">
        <v>424.25</v>
      </c>
      <c r="N590" s="48" t="str">
        <f>IF(Table3[[#This Row],[Profit]]&lt;0,"Loss","Profit")</f>
        <v>Profit</v>
      </c>
    </row>
    <row r="591" spans="1:14" ht="15.6" x14ac:dyDescent="0.3">
      <c r="A591" s="31" t="s">
        <v>66</v>
      </c>
      <c r="B591" s="33">
        <v>45939</v>
      </c>
      <c r="C591" s="33">
        <v>45947</v>
      </c>
      <c r="D591" s="54" t="s">
        <v>835</v>
      </c>
      <c r="E591" s="38" t="s">
        <v>1515</v>
      </c>
      <c r="F591" s="40" t="s">
        <v>1517</v>
      </c>
      <c r="G591" s="40" t="s">
        <v>1521</v>
      </c>
      <c r="H591" s="40" t="s">
        <v>1526</v>
      </c>
      <c r="I591" s="40" t="s">
        <v>1585</v>
      </c>
      <c r="J591" s="46">
        <v>3394.35</v>
      </c>
      <c r="K591" s="3">
        <v>9</v>
      </c>
      <c r="L591" s="43">
        <v>0.15</v>
      </c>
      <c r="M591" s="48">
        <v>802.95</v>
      </c>
      <c r="N591" s="48" t="str">
        <f>IF(Table3[[#This Row],[Profit]]&lt;0,"Loss","Profit")</f>
        <v>Profit</v>
      </c>
    </row>
    <row r="592" spans="1:14" ht="15.6" x14ac:dyDescent="0.3">
      <c r="A592" s="31" t="s">
        <v>186</v>
      </c>
      <c r="B592" s="33">
        <v>45942</v>
      </c>
      <c r="C592" s="33">
        <v>45947</v>
      </c>
      <c r="D592" s="54" t="s">
        <v>952</v>
      </c>
      <c r="E592" s="38" t="s">
        <v>1515</v>
      </c>
      <c r="F592" s="40" t="s">
        <v>1519</v>
      </c>
      <c r="G592" s="40" t="s">
        <v>1521</v>
      </c>
      <c r="H592" s="40" t="s">
        <v>1526</v>
      </c>
      <c r="I592" s="40" t="s">
        <v>1703</v>
      </c>
      <c r="J592" s="46">
        <v>1967.71</v>
      </c>
      <c r="K592" s="3">
        <v>6</v>
      </c>
      <c r="L592" s="43">
        <v>0.2</v>
      </c>
      <c r="M592" s="48">
        <v>253.51</v>
      </c>
      <c r="N592" s="48" t="str">
        <f>IF(Table3[[#This Row],[Profit]]&lt;0,"Loss","Profit")</f>
        <v>Profit</v>
      </c>
    </row>
    <row r="593" spans="1:14" ht="15.6" x14ac:dyDescent="0.3">
      <c r="A593" s="31" t="s">
        <v>643</v>
      </c>
      <c r="B593" s="33">
        <v>45943</v>
      </c>
      <c r="C593" s="33">
        <v>45948</v>
      </c>
      <c r="D593" s="54" t="s">
        <v>1397</v>
      </c>
      <c r="E593" s="38" t="s">
        <v>1514</v>
      </c>
      <c r="F593" s="40" t="s">
        <v>1516</v>
      </c>
      <c r="G593" s="40" t="s">
        <v>1522</v>
      </c>
      <c r="H593" s="40" t="s">
        <v>1531</v>
      </c>
      <c r="I593" s="40" t="s">
        <v>2139</v>
      </c>
      <c r="J593" s="46">
        <v>1867.06</v>
      </c>
      <c r="K593" s="3">
        <v>10</v>
      </c>
      <c r="L593" s="43">
        <v>0.05</v>
      </c>
      <c r="M593" s="48">
        <v>-134.15</v>
      </c>
      <c r="N593" s="48" t="str">
        <f>IF(Table3[[#This Row],[Profit]]&lt;0,"Loss","Profit")</f>
        <v>Loss</v>
      </c>
    </row>
    <row r="594" spans="1:14" ht="15.6" x14ac:dyDescent="0.3">
      <c r="A594" s="31" t="s">
        <v>405</v>
      </c>
      <c r="B594" s="33">
        <v>45948</v>
      </c>
      <c r="C594" s="33">
        <v>45954</v>
      </c>
      <c r="D594" s="54" t="s">
        <v>1163</v>
      </c>
      <c r="E594" s="38" t="s">
        <v>1513</v>
      </c>
      <c r="F594" s="40" t="s">
        <v>1516</v>
      </c>
      <c r="G594" s="40" t="s">
        <v>1520</v>
      </c>
      <c r="H594" s="40" t="s">
        <v>1525</v>
      </c>
      <c r="I594" s="40" t="s">
        <v>1914</v>
      </c>
      <c r="J594" s="46">
        <v>1972.49</v>
      </c>
      <c r="K594" s="3">
        <v>3</v>
      </c>
      <c r="L594" s="43">
        <v>0</v>
      </c>
      <c r="M594" s="48">
        <v>-48.56</v>
      </c>
      <c r="N594" s="48" t="str">
        <f>IF(Table3[[#This Row],[Profit]]&lt;0,"Loss","Profit")</f>
        <v>Loss</v>
      </c>
    </row>
    <row r="595" spans="1:14" ht="15.6" x14ac:dyDescent="0.3">
      <c r="A595" s="31" t="s">
        <v>342</v>
      </c>
      <c r="B595" s="33">
        <v>45952</v>
      </c>
      <c r="C595" s="33">
        <v>45956</v>
      </c>
      <c r="D595" s="54" t="s">
        <v>1102</v>
      </c>
      <c r="E595" s="38" t="s">
        <v>1515</v>
      </c>
      <c r="F595" s="40" t="s">
        <v>1518</v>
      </c>
      <c r="G595" s="40" t="s">
        <v>1521</v>
      </c>
      <c r="H595" s="40" t="s">
        <v>1530</v>
      </c>
      <c r="I595" s="40" t="s">
        <v>1853</v>
      </c>
      <c r="J595" s="46">
        <v>1561.63</v>
      </c>
      <c r="K595" s="3">
        <v>3</v>
      </c>
      <c r="L595" s="43">
        <v>0.1</v>
      </c>
      <c r="M595" s="48">
        <v>283.26</v>
      </c>
      <c r="N595" s="48" t="str">
        <f>IF(Table3[[#This Row],[Profit]]&lt;0,"Loss","Profit")</f>
        <v>Profit</v>
      </c>
    </row>
    <row r="596" spans="1:14" ht="15.6" x14ac:dyDescent="0.3">
      <c r="A596" s="31" t="s">
        <v>192</v>
      </c>
      <c r="B596" s="33">
        <v>45947</v>
      </c>
      <c r="C596" s="33">
        <v>45957</v>
      </c>
      <c r="D596" s="54" t="s">
        <v>957</v>
      </c>
      <c r="E596" s="38" t="s">
        <v>1515</v>
      </c>
      <c r="F596" s="40" t="s">
        <v>1517</v>
      </c>
      <c r="G596" s="40" t="s">
        <v>1520</v>
      </c>
      <c r="H596" s="40" t="s">
        <v>1524</v>
      </c>
      <c r="I596" s="40" t="s">
        <v>1709</v>
      </c>
      <c r="J596" s="46">
        <v>698.69</v>
      </c>
      <c r="K596" s="3">
        <v>7</v>
      </c>
      <c r="L596" s="43">
        <v>0.05</v>
      </c>
      <c r="M596" s="48">
        <v>-77.39</v>
      </c>
      <c r="N596" s="48" t="str">
        <f>IF(Table3[[#This Row],[Profit]]&lt;0,"Loss","Profit")</f>
        <v>Loss</v>
      </c>
    </row>
    <row r="597" spans="1:14" ht="15.6" x14ac:dyDescent="0.3">
      <c r="A597" s="31" t="s">
        <v>526</v>
      </c>
      <c r="B597" s="33">
        <v>45950</v>
      </c>
      <c r="C597" s="33">
        <v>45957</v>
      </c>
      <c r="D597" s="54" t="s">
        <v>1281</v>
      </c>
      <c r="E597" s="38" t="s">
        <v>1513</v>
      </c>
      <c r="F597" s="40" t="s">
        <v>1517</v>
      </c>
      <c r="G597" s="40" t="s">
        <v>1521</v>
      </c>
      <c r="H597" s="40" t="s">
        <v>1526</v>
      </c>
      <c r="I597" s="40" t="s">
        <v>2028</v>
      </c>
      <c r="J597" s="46">
        <v>2005.81</v>
      </c>
      <c r="K597" s="3">
        <v>1</v>
      </c>
      <c r="L597" s="43">
        <v>0.15</v>
      </c>
      <c r="M597" s="48">
        <v>-228.71</v>
      </c>
      <c r="N597" s="48" t="str">
        <f>IF(Table3[[#This Row],[Profit]]&lt;0,"Loss","Profit")</f>
        <v>Loss</v>
      </c>
    </row>
    <row r="598" spans="1:14" ht="15.6" x14ac:dyDescent="0.3">
      <c r="A598" s="31" t="s">
        <v>184</v>
      </c>
      <c r="B598" s="33">
        <v>45950</v>
      </c>
      <c r="C598" s="33">
        <v>45958</v>
      </c>
      <c r="D598" s="54" t="s">
        <v>950</v>
      </c>
      <c r="E598" s="38" t="s">
        <v>1514</v>
      </c>
      <c r="F598" s="40" t="s">
        <v>1516</v>
      </c>
      <c r="G598" s="40" t="s">
        <v>1521</v>
      </c>
      <c r="H598" s="40" t="s">
        <v>1528</v>
      </c>
      <c r="I598" s="40" t="s">
        <v>1701</v>
      </c>
      <c r="J598" s="46">
        <v>2531.77</v>
      </c>
      <c r="K598" s="3">
        <v>1</v>
      </c>
      <c r="L598" s="43">
        <v>0.15</v>
      </c>
      <c r="M598" s="48">
        <v>-362.23</v>
      </c>
      <c r="N598" s="48" t="str">
        <f>IF(Table3[[#This Row],[Profit]]&lt;0,"Loss","Profit")</f>
        <v>Loss</v>
      </c>
    </row>
    <row r="599" spans="1:14" ht="15.6" x14ac:dyDescent="0.3">
      <c r="A599" s="31" t="s">
        <v>323</v>
      </c>
      <c r="B599" s="33">
        <v>45951</v>
      </c>
      <c r="C599" s="33">
        <v>45961</v>
      </c>
      <c r="D599" s="54" t="s">
        <v>1083</v>
      </c>
      <c r="E599" s="38" t="s">
        <v>1514</v>
      </c>
      <c r="F599" s="40" t="s">
        <v>1519</v>
      </c>
      <c r="G599" s="40" t="s">
        <v>1521</v>
      </c>
      <c r="H599" s="40" t="s">
        <v>1526</v>
      </c>
      <c r="I599" s="40" t="s">
        <v>1834</v>
      </c>
      <c r="J599" s="46">
        <v>4739.03</v>
      </c>
      <c r="K599" s="3">
        <v>4</v>
      </c>
      <c r="L599" s="43">
        <v>0.15</v>
      </c>
      <c r="M599" s="48">
        <v>-128.9</v>
      </c>
      <c r="N599" s="48" t="str">
        <f>IF(Table3[[#This Row],[Profit]]&lt;0,"Loss","Profit")</f>
        <v>Loss</v>
      </c>
    </row>
    <row r="600" spans="1:14" ht="15.6" x14ac:dyDescent="0.3">
      <c r="A600" s="31" t="s">
        <v>219</v>
      </c>
      <c r="B600" s="33">
        <v>45954</v>
      </c>
      <c r="C600" s="33">
        <v>45961</v>
      </c>
      <c r="D600" s="54" t="s">
        <v>984</v>
      </c>
      <c r="E600" s="38" t="s">
        <v>1513</v>
      </c>
      <c r="F600" s="40" t="s">
        <v>1517</v>
      </c>
      <c r="G600" s="40" t="s">
        <v>1520</v>
      </c>
      <c r="H600" s="40" t="s">
        <v>1524</v>
      </c>
      <c r="I600" s="40" t="s">
        <v>1735</v>
      </c>
      <c r="J600" s="46">
        <v>1606.21</v>
      </c>
      <c r="K600" s="3">
        <v>5</v>
      </c>
      <c r="L600" s="43">
        <v>0.05</v>
      </c>
      <c r="M600" s="48">
        <v>527.29999999999995</v>
      </c>
      <c r="N600" s="48" t="str">
        <f>IF(Table3[[#This Row],[Profit]]&lt;0,"Loss","Profit")</f>
        <v>Profit</v>
      </c>
    </row>
    <row r="601" spans="1:14" ht="15.6" x14ac:dyDescent="0.3">
      <c r="A601" s="31" t="s">
        <v>703</v>
      </c>
      <c r="B601" s="33">
        <v>45955</v>
      </c>
      <c r="C601" s="33">
        <v>45961</v>
      </c>
      <c r="D601" s="54" t="s">
        <v>1455</v>
      </c>
      <c r="E601" s="38" t="s">
        <v>1514</v>
      </c>
      <c r="F601" s="40" t="s">
        <v>1518</v>
      </c>
      <c r="G601" s="40" t="s">
        <v>1520</v>
      </c>
      <c r="H601" s="40" t="s">
        <v>1525</v>
      </c>
      <c r="I601" s="40" t="s">
        <v>2192</v>
      </c>
      <c r="J601" s="46">
        <v>2798.13</v>
      </c>
      <c r="K601" s="3">
        <v>1</v>
      </c>
      <c r="L601" s="43">
        <v>0.05</v>
      </c>
      <c r="M601" s="48">
        <v>328.97</v>
      </c>
      <c r="N601" s="48" t="str">
        <f>IF(Table3[[#This Row],[Profit]]&lt;0,"Loss","Profit")</f>
        <v>Profit</v>
      </c>
    </row>
    <row r="602" spans="1:14" ht="15.6" x14ac:dyDescent="0.3">
      <c r="A602" s="31" t="s">
        <v>44</v>
      </c>
      <c r="B602" s="33">
        <v>45961</v>
      </c>
      <c r="C602" s="33">
        <v>45963</v>
      </c>
      <c r="D602" s="54" t="s">
        <v>813</v>
      </c>
      <c r="E602" s="38" t="s">
        <v>1513</v>
      </c>
      <c r="F602" s="40" t="s">
        <v>1518</v>
      </c>
      <c r="G602" s="40" t="s">
        <v>1522</v>
      </c>
      <c r="H602" s="40" t="s">
        <v>1527</v>
      </c>
      <c r="I602" s="40" t="s">
        <v>1563</v>
      </c>
      <c r="J602" s="46">
        <v>4264.1499999999996</v>
      </c>
      <c r="K602" s="3">
        <v>2</v>
      </c>
      <c r="L602" s="43">
        <v>0.2</v>
      </c>
      <c r="M602" s="48">
        <v>-693.44</v>
      </c>
      <c r="N602" s="48" t="str">
        <f>IF(Table3[[#This Row],[Profit]]&lt;0,"Loss","Profit")</f>
        <v>Loss</v>
      </c>
    </row>
    <row r="603" spans="1:14" ht="15.6" x14ac:dyDescent="0.3">
      <c r="A603" s="31" t="s">
        <v>217</v>
      </c>
      <c r="B603" s="33">
        <v>45961</v>
      </c>
      <c r="C603" s="33">
        <v>45963</v>
      </c>
      <c r="D603" s="54" t="s">
        <v>982</v>
      </c>
      <c r="E603" s="38" t="s">
        <v>1515</v>
      </c>
      <c r="F603" s="40" t="s">
        <v>1516</v>
      </c>
      <c r="G603" s="40" t="s">
        <v>1522</v>
      </c>
      <c r="H603" s="40" t="s">
        <v>1531</v>
      </c>
      <c r="I603" s="40" t="s">
        <v>1733</v>
      </c>
      <c r="J603" s="46">
        <v>1218.18</v>
      </c>
      <c r="K603" s="3">
        <v>6</v>
      </c>
      <c r="L603" s="43">
        <v>0.1</v>
      </c>
      <c r="M603" s="48">
        <v>12.88</v>
      </c>
      <c r="N603" s="48" t="str">
        <f>IF(Table3[[#This Row],[Profit]]&lt;0,"Loss","Profit")</f>
        <v>Profit</v>
      </c>
    </row>
    <row r="604" spans="1:14" ht="15.6" x14ac:dyDescent="0.3">
      <c r="A604" s="31" t="s">
        <v>133</v>
      </c>
      <c r="B604" s="33">
        <v>45961</v>
      </c>
      <c r="C604" s="33">
        <v>45966</v>
      </c>
      <c r="D604" s="54" t="s">
        <v>901</v>
      </c>
      <c r="E604" s="38" t="s">
        <v>1515</v>
      </c>
      <c r="F604" s="40" t="s">
        <v>1517</v>
      </c>
      <c r="G604" s="40" t="s">
        <v>1522</v>
      </c>
      <c r="H604" s="40" t="s">
        <v>1529</v>
      </c>
      <c r="I604" s="40" t="s">
        <v>1651</v>
      </c>
      <c r="J604" s="46">
        <v>2324.87</v>
      </c>
      <c r="K604" s="3">
        <v>1</v>
      </c>
      <c r="L604" s="43">
        <v>0.15</v>
      </c>
      <c r="M604" s="48">
        <v>687.38</v>
      </c>
      <c r="N604" s="48" t="str">
        <f>IF(Table3[[#This Row],[Profit]]&lt;0,"Loss","Profit")</f>
        <v>Profit</v>
      </c>
    </row>
    <row r="605" spans="1:14" ht="15.6" x14ac:dyDescent="0.3">
      <c r="A605" s="31" t="s">
        <v>281</v>
      </c>
      <c r="B605" s="33">
        <v>45958</v>
      </c>
      <c r="C605" s="33">
        <v>45967</v>
      </c>
      <c r="D605" s="54" t="s">
        <v>1044</v>
      </c>
      <c r="E605" s="38" t="s">
        <v>1514</v>
      </c>
      <c r="F605" s="40" t="s">
        <v>1517</v>
      </c>
      <c r="G605" s="40" t="s">
        <v>1520</v>
      </c>
      <c r="H605" s="40" t="s">
        <v>1525</v>
      </c>
      <c r="I605" s="40" t="s">
        <v>1796</v>
      </c>
      <c r="J605" s="46">
        <v>2149.4299999999998</v>
      </c>
      <c r="K605" s="3">
        <v>7</v>
      </c>
      <c r="L605" s="43">
        <v>0.05</v>
      </c>
      <c r="M605" s="48">
        <v>-137.28</v>
      </c>
      <c r="N605" s="48" t="str">
        <f>IF(Table3[[#This Row],[Profit]]&lt;0,"Loss","Profit")</f>
        <v>Loss</v>
      </c>
    </row>
    <row r="606" spans="1:14" ht="15.6" x14ac:dyDescent="0.3">
      <c r="A606" s="31" t="s">
        <v>173</v>
      </c>
      <c r="B606" s="33">
        <v>45964</v>
      </c>
      <c r="C606" s="33">
        <v>45973</v>
      </c>
      <c r="D606" s="54" t="s">
        <v>939</v>
      </c>
      <c r="E606" s="38" t="s">
        <v>1514</v>
      </c>
      <c r="F606" s="40" t="s">
        <v>1516</v>
      </c>
      <c r="G606" s="40" t="s">
        <v>1522</v>
      </c>
      <c r="H606" s="40" t="s">
        <v>1529</v>
      </c>
      <c r="I606" s="40" t="s">
        <v>1691</v>
      </c>
      <c r="J606" s="46">
        <v>3533.17</v>
      </c>
      <c r="K606" s="3">
        <v>9</v>
      </c>
      <c r="L606" s="43">
        <v>0.2</v>
      </c>
      <c r="M606" s="48">
        <v>912.78</v>
      </c>
      <c r="N606" s="48" t="str">
        <f>IF(Table3[[#This Row],[Profit]]&lt;0,"Loss","Profit")</f>
        <v>Profit</v>
      </c>
    </row>
    <row r="607" spans="1:14" ht="15.6" x14ac:dyDescent="0.3">
      <c r="A607" s="31" t="s">
        <v>179</v>
      </c>
      <c r="B607" s="33">
        <v>45970</v>
      </c>
      <c r="C607" s="33">
        <v>45973</v>
      </c>
      <c r="D607" s="54" t="s">
        <v>945</v>
      </c>
      <c r="E607" s="38" t="s">
        <v>1515</v>
      </c>
      <c r="F607" s="40" t="s">
        <v>1518</v>
      </c>
      <c r="G607" s="40" t="s">
        <v>1520</v>
      </c>
      <c r="H607" s="40" t="s">
        <v>1523</v>
      </c>
      <c r="I607" s="40" t="s">
        <v>1696</v>
      </c>
      <c r="J607" s="46">
        <v>4758.8999999999996</v>
      </c>
      <c r="K607" s="3">
        <v>8</v>
      </c>
      <c r="L607" s="43">
        <v>0.15</v>
      </c>
      <c r="M607" s="48">
        <v>1022.9</v>
      </c>
      <c r="N607" s="48" t="str">
        <f>IF(Table3[[#This Row],[Profit]]&lt;0,"Loss","Profit")</f>
        <v>Profit</v>
      </c>
    </row>
    <row r="608" spans="1:14" ht="15.6" x14ac:dyDescent="0.3">
      <c r="A608" s="31" t="s">
        <v>467</v>
      </c>
      <c r="B608" s="33">
        <v>45968</v>
      </c>
      <c r="C608" s="33">
        <v>45974</v>
      </c>
      <c r="D608" s="54" t="s">
        <v>1224</v>
      </c>
      <c r="E608" s="38" t="s">
        <v>1514</v>
      </c>
      <c r="F608" s="40" t="s">
        <v>1518</v>
      </c>
      <c r="G608" s="40" t="s">
        <v>1522</v>
      </c>
      <c r="H608" s="40" t="s">
        <v>1527</v>
      </c>
      <c r="I608" s="40" t="s">
        <v>1971</v>
      </c>
      <c r="J608" s="46">
        <v>1594.86</v>
      </c>
      <c r="K608" s="3">
        <v>2</v>
      </c>
      <c r="L608" s="43">
        <v>0.15</v>
      </c>
      <c r="M608" s="48">
        <v>122.54</v>
      </c>
      <c r="N608" s="48" t="str">
        <f>IF(Table3[[#This Row],[Profit]]&lt;0,"Loss","Profit")</f>
        <v>Profit</v>
      </c>
    </row>
    <row r="609" spans="1:14" ht="15.6" x14ac:dyDescent="0.3">
      <c r="A609" s="31" t="s">
        <v>472</v>
      </c>
      <c r="B609" s="33">
        <v>45974</v>
      </c>
      <c r="C609" s="33">
        <v>45975</v>
      </c>
      <c r="D609" s="54" t="s">
        <v>1229</v>
      </c>
      <c r="E609" s="38" t="s">
        <v>1513</v>
      </c>
      <c r="F609" s="40" t="s">
        <v>1519</v>
      </c>
      <c r="G609" s="40" t="s">
        <v>1520</v>
      </c>
      <c r="H609" s="40" t="s">
        <v>1523</v>
      </c>
      <c r="I609" s="40" t="s">
        <v>1975</v>
      </c>
      <c r="J609" s="46">
        <v>288.76</v>
      </c>
      <c r="K609" s="3">
        <v>2</v>
      </c>
      <c r="L609" s="43">
        <v>0.15</v>
      </c>
      <c r="M609" s="48">
        <v>12.81</v>
      </c>
      <c r="N609" s="48" t="str">
        <f>IF(Table3[[#This Row],[Profit]]&lt;0,"Loss","Profit")</f>
        <v>Profit</v>
      </c>
    </row>
    <row r="610" spans="1:14" ht="15.6" x14ac:dyDescent="0.3">
      <c r="A610" s="31" t="s">
        <v>202</v>
      </c>
      <c r="B610" s="33">
        <v>45975</v>
      </c>
      <c r="C610" s="33">
        <v>45979</v>
      </c>
      <c r="D610" s="54" t="s">
        <v>967</v>
      </c>
      <c r="E610" s="38" t="s">
        <v>1515</v>
      </c>
      <c r="F610" s="40" t="s">
        <v>1518</v>
      </c>
      <c r="G610" s="40" t="s">
        <v>1522</v>
      </c>
      <c r="H610" s="40" t="s">
        <v>1529</v>
      </c>
      <c r="I610" s="40" t="s">
        <v>1719</v>
      </c>
      <c r="J610" s="46">
        <v>1540.7</v>
      </c>
      <c r="K610" s="3">
        <v>1</v>
      </c>
      <c r="L610" s="43">
        <v>0.05</v>
      </c>
      <c r="M610" s="48">
        <v>47.61</v>
      </c>
      <c r="N610" s="48" t="str">
        <f>IF(Table3[[#This Row],[Profit]]&lt;0,"Loss","Profit")</f>
        <v>Profit</v>
      </c>
    </row>
    <row r="611" spans="1:14" ht="15.6" x14ac:dyDescent="0.3">
      <c r="A611" s="31" t="s">
        <v>209</v>
      </c>
      <c r="B611" s="33">
        <v>45978</v>
      </c>
      <c r="C611" s="33">
        <v>45979</v>
      </c>
      <c r="D611" s="54" t="s">
        <v>974</v>
      </c>
      <c r="E611" s="38" t="s">
        <v>1514</v>
      </c>
      <c r="F611" s="40" t="s">
        <v>1519</v>
      </c>
      <c r="G611" s="40" t="s">
        <v>1520</v>
      </c>
      <c r="H611" s="40" t="s">
        <v>1524</v>
      </c>
      <c r="I611" s="40" t="s">
        <v>1726</v>
      </c>
      <c r="J611" s="46">
        <v>1502.54</v>
      </c>
      <c r="K611" s="3">
        <v>1</v>
      </c>
      <c r="L611" s="43">
        <v>0.05</v>
      </c>
      <c r="M611" s="48">
        <v>431.51</v>
      </c>
      <c r="N611" s="48" t="str">
        <f>IF(Table3[[#This Row],[Profit]]&lt;0,"Loss","Profit")</f>
        <v>Profit</v>
      </c>
    </row>
    <row r="612" spans="1:14" ht="15.6" x14ac:dyDescent="0.3">
      <c r="A612" s="31" t="s">
        <v>579</v>
      </c>
      <c r="B612" s="33">
        <v>45976</v>
      </c>
      <c r="C612" s="33">
        <v>45980</v>
      </c>
      <c r="D612" s="54" t="s">
        <v>1333</v>
      </c>
      <c r="E612" s="38" t="s">
        <v>1514</v>
      </c>
      <c r="F612" s="40" t="s">
        <v>1517</v>
      </c>
      <c r="G612" s="40" t="s">
        <v>1522</v>
      </c>
      <c r="H612" s="40" t="s">
        <v>1527</v>
      </c>
      <c r="I612" s="40" t="s">
        <v>2079</v>
      </c>
      <c r="J612" s="46">
        <v>2520.0500000000002</v>
      </c>
      <c r="K612" s="3">
        <v>4</v>
      </c>
      <c r="L612" s="43">
        <v>0.05</v>
      </c>
      <c r="M612" s="48">
        <v>515.30999999999995</v>
      </c>
      <c r="N612" s="48" t="str">
        <f>IF(Table3[[#This Row],[Profit]]&lt;0,"Loss","Profit")</f>
        <v>Profit</v>
      </c>
    </row>
    <row r="613" spans="1:14" ht="15.6" x14ac:dyDescent="0.3">
      <c r="A613" s="31" t="s">
        <v>255</v>
      </c>
      <c r="B613" s="33">
        <v>45973</v>
      </c>
      <c r="C613" s="33">
        <v>45981</v>
      </c>
      <c r="D613" s="54" t="s">
        <v>1019</v>
      </c>
      <c r="E613" s="38" t="s">
        <v>1515</v>
      </c>
      <c r="F613" s="40" t="s">
        <v>1519</v>
      </c>
      <c r="G613" s="40" t="s">
        <v>1520</v>
      </c>
      <c r="H613" s="40" t="s">
        <v>1523</v>
      </c>
      <c r="I613" s="40" t="s">
        <v>1771</v>
      </c>
      <c r="J613" s="46">
        <v>1619.35</v>
      </c>
      <c r="K613" s="3">
        <v>6</v>
      </c>
      <c r="L613" s="43">
        <v>0.2</v>
      </c>
      <c r="M613" s="48">
        <v>507.72</v>
      </c>
      <c r="N613" s="48" t="str">
        <f>IF(Table3[[#This Row],[Profit]]&lt;0,"Loss","Profit")</f>
        <v>Profit</v>
      </c>
    </row>
    <row r="614" spans="1:14" ht="15.6" x14ac:dyDescent="0.3">
      <c r="A614" s="31" t="s">
        <v>439</v>
      </c>
      <c r="B614" s="33">
        <v>45974</v>
      </c>
      <c r="C614" s="33">
        <v>45982</v>
      </c>
      <c r="D614" s="54" t="s">
        <v>1196</v>
      </c>
      <c r="E614" s="38" t="s">
        <v>1515</v>
      </c>
      <c r="F614" s="40" t="s">
        <v>1518</v>
      </c>
      <c r="G614" s="40" t="s">
        <v>1520</v>
      </c>
      <c r="H614" s="40" t="s">
        <v>1525</v>
      </c>
      <c r="I614" s="40" t="s">
        <v>1945</v>
      </c>
      <c r="J614" s="46">
        <v>235.46</v>
      </c>
      <c r="K614" s="3">
        <v>5</v>
      </c>
      <c r="L614" s="43">
        <v>0.15</v>
      </c>
      <c r="M614" s="48">
        <v>-28.46</v>
      </c>
      <c r="N614" s="48" t="str">
        <f>IF(Table3[[#This Row],[Profit]]&lt;0,"Loss","Profit")</f>
        <v>Loss</v>
      </c>
    </row>
    <row r="615" spans="1:14" ht="15.6" x14ac:dyDescent="0.3">
      <c r="A615" s="31" t="s">
        <v>275</v>
      </c>
      <c r="B615" s="33">
        <v>45980</v>
      </c>
      <c r="C615" s="33">
        <v>45983</v>
      </c>
      <c r="D615" s="54" t="s">
        <v>1038</v>
      </c>
      <c r="E615" s="38" t="s">
        <v>1514</v>
      </c>
      <c r="F615" s="40" t="s">
        <v>1519</v>
      </c>
      <c r="G615" s="40" t="s">
        <v>1522</v>
      </c>
      <c r="H615" s="40" t="s">
        <v>1529</v>
      </c>
      <c r="I615" s="40" t="s">
        <v>1790</v>
      </c>
      <c r="J615" s="46">
        <v>2590.58</v>
      </c>
      <c r="K615" s="3">
        <v>8</v>
      </c>
      <c r="L615" s="43">
        <v>0.2</v>
      </c>
      <c r="M615" s="48">
        <v>-435.85</v>
      </c>
      <c r="N615" s="48" t="str">
        <f>IF(Table3[[#This Row],[Profit]]&lt;0,"Loss","Profit")</f>
        <v>Loss</v>
      </c>
    </row>
    <row r="616" spans="1:14" ht="15.6" x14ac:dyDescent="0.3">
      <c r="A616" s="31" t="s">
        <v>755</v>
      </c>
      <c r="B616" s="33">
        <v>45982</v>
      </c>
      <c r="C616" s="33">
        <v>45983</v>
      </c>
      <c r="D616" s="54" t="s">
        <v>1506</v>
      </c>
      <c r="E616" s="38" t="s">
        <v>1515</v>
      </c>
      <c r="F616" s="40" t="s">
        <v>1518</v>
      </c>
      <c r="G616" s="40" t="s">
        <v>1521</v>
      </c>
      <c r="H616" s="40" t="s">
        <v>1528</v>
      </c>
      <c r="I616" s="40" t="s">
        <v>2239</v>
      </c>
      <c r="J616" s="46">
        <v>3380.37</v>
      </c>
      <c r="K616" s="3">
        <v>2</v>
      </c>
      <c r="L616" s="43">
        <v>0</v>
      </c>
      <c r="M616" s="48">
        <v>88.52</v>
      </c>
      <c r="N616" s="48" t="str">
        <f>IF(Table3[[#This Row],[Profit]]&lt;0,"Loss","Profit")</f>
        <v>Profit</v>
      </c>
    </row>
    <row r="617" spans="1:14" ht="15.6" x14ac:dyDescent="0.3">
      <c r="A617" s="31" t="s">
        <v>159</v>
      </c>
      <c r="B617" s="33">
        <v>45980</v>
      </c>
      <c r="C617" s="33">
        <v>45984</v>
      </c>
      <c r="D617" s="54" t="s">
        <v>926</v>
      </c>
      <c r="E617" s="38" t="s">
        <v>1513</v>
      </c>
      <c r="F617" s="40" t="s">
        <v>1519</v>
      </c>
      <c r="G617" s="40" t="s">
        <v>1521</v>
      </c>
      <c r="H617" s="40" t="s">
        <v>1526</v>
      </c>
      <c r="I617" s="40" t="s">
        <v>1677</v>
      </c>
      <c r="J617" s="46">
        <v>2098.38</v>
      </c>
      <c r="K617" s="3">
        <v>8</v>
      </c>
      <c r="L617" s="43">
        <v>0.15</v>
      </c>
      <c r="M617" s="48">
        <v>60.42</v>
      </c>
      <c r="N617" s="48" t="str">
        <f>IF(Table3[[#This Row],[Profit]]&lt;0,"Loss","Profit")</f>
        <v>Profit</v>
      </c>
    </row>
    <row r="618" spans="1:14" ht="15.6" x14ac:dyDescent="0.3">
      <c r="A618" s="31" t="s">
        <v>640</v>
      </c>
      <c r="B618" s="33">
        <v>45983</v>
      </c>
      <c r="C618" s="33">
        <v>45990</v>
      </c>
      <c r="D618" s="54" t="s">
        <v>1394</v>
      </c>
      <c r="E618" s="38" t="s">
        <v>1515</v>
      </c>
      <c r="F618" s="40" t="s">
        <v>1517</v>
      </c>
      <c r="G618" s="40" t="s">
        <v>1521</v>
      </c>
      <c r="H618" s="40" t="s">
        <v>1526</v>
      </c>
      <c r="I618" s="40" t="s">
        <v>2136</v>
      </c>
      <c r="J618" s="46">
        <v>50.97</v>
      </c>
      <c r="K618" s="3">
        <v>1</v>
      </c>
      <c r="L618" s="43">
        <v>0.1</v>
      </c>
      <c r="M618" s="48">
        <v>6.51</v>
      </c>
      <c r="N618" s="48" t="str">
        <f>IF(Table3[[#This Row],[Profit]]&lt;0,"Loss","Profit")</f>
        <v>Profit</v>
      </c>
    </row>
    <row r="619" spans="1:14" ht="15.6" x14ac:dyDescent="0.3">
      <c r="A619" s="31" t="s">
        <v>494</v>
      </c>
      <c r="B619" s="33">
        <v>45984</v>
      </c>
      <c r="C619" s="33">
        <v>45990</v>
      </c>
      <c r="D619" s="54" t="s">
        <v>1250</v>
      </c>
      <c r="E619" s="38" t="s">
        <v>1513</v>
      </c>
      <c r="F619" s="40" t="s">
        <v>1516</v>
      </c>
      <c r="G619" s="40" t="s">
        <v>1520</v>
      </c>
      <c r="H619" s="40" t="s">
        <v>1525</v>
      </c>
      <c r="I619" s="40" t="s">
        <v>1997</v>
      </c>
      <c r="J619" s="46">
        <v>3593.77</v>
      </c>
      <c r="K619" s="3">
        <v>2</v>
      </c>
      <c r="L619" s="43">
        <v>0</v>
      </c>
      <c r="M619" s="48">
        <v>782.1</v>
      </c>
      <c r="N619" s="48" t="str">
        <f>IF(Table3[[#This Row],[Profit]]&lt;0,"Loss","Profit")</f>
        <v>Profit</v>
      </c>
    </row>
    <row r="620" spans="1:14" ht="15.6" x14ac:dyDescent="0.3">
      <c r="A620" s="31" t="s">
        <v>331</v>
      </c>
      <c r="B620" s="33">
        <v>45990</v>
      </c>
      <c r="C620" s="33">
        <v>45992</v>
      </c>
      <c r="D620" s="54" t="s">
        <v>1091</v>
      </c>
      <c r="E620" s="38" t="s">
        <v>1515</v>
      </c>
      <c r="F620" s="40" t="s">
        <v>1517</v>
      </c>
      <c r="G620" s="40" t="s">
        <v>1521</v>
      </c>
      <c r="H620" s="40" t="s">
        <v>1526</v>
      </c>
      <c r="I620" s="40" t="s">
        <v>1842</v>
      </c>
      <c r="J620" s="46">
        <v>102.21</v>
      </c>
      <c r="K620" s="3">
        <v>5</v>
      </c>
      <c r="L620" s="43">
        <v>0.05</v>
      </c>
      <c r="M620" s="48">
        <v>8.27</v>
      </c>
      <c r="N620" s="48" t="str">
        <f>IF(Table3[[#This Row],[Profit]]&lt;0,"Loss","Profit")</f>
        <v>Profit</v>
      </c>
    </row>
    <row r="621" spans="1:14" ht="15.6" x14ac:dyDescent="0.3">
      <c r="A621" s="31" t="s">
        <v>34</v>
      </c>
      <c r="B621" s="33">
        <v>45989</v>
      </c>
      <c r="C621" s="33">
        <v>45993</v>
      </c>
      <c r="D621" s="54" t="s">
        <v>803</v>
      </c>
      <c r="E621" s="38" t="s">
        <v>1515</v>
      </c>
      <c r="F621" s="40" t="s">
        <v>1517</v>
      </c>
      <c r="G621" s="40" t="s">
        <v>1522</v>
      </c>
      <c r="H621" s="40" t="s">
        <v>1531</v>
      </c>
      <c r="I621" s="40" t="s">
        <v>1553</v>
      </c>
      <c r="J621" s="46">
        <v>366.93</v>
      </c>
      <c r="K621" s="3">
        <v>1</v>
      </c>
      <c r="L621" s="43">
        <v>0.2</v>
      </c>
      <c r="M621" s="48">
        <v>38.4</v>
      </c>
      <c r="N621" s="48" t="str">
        <f>IF(Table3[[#This Row],[Profit]]&lt;0,"Loss","Profit")</f>
        <v>Profit</v>
      </c>
    </row>
    <row r="622" spans="1:14" ht="15.6" x14ac:dyDescent="0.3">
      <c r="A622" s="31" t="s">
        <v>672</v>
      </c>
      <c r="B622" s="33">
        <v>45991</v>
      </c>
      <c r="C622" s="33">
        <v>45994</v>
      </c>
      <c r="D622" s="54" t="s">
        <v>1425</v>
      </c>
      <c r="E622" s="38" t="s">
        <v>1514</v>
      </c>
      <c r="F622" s="40" t="s">
        <v>1517</v>
      </c>
      <c r="G622" s="40" t="s">
        <v>1520</v>
      </c>
      <c r="H622" s="40" t="s">
        <v>1524</v>
      </c>
      <c r="I622" s="40" t="s">
        <v>2164</v>
      </c>
      <c r="J622" s="46">
        <v>2536.5100000000002</v>
      </c>
      <c r="K622" s="3">
        <v>10</v>
      </c>
      <c r="L622" s="43">
        <v>0.15</v>
      </c>
      <c r="M622" s="48">
        <v>486.02</v>
      </c>
      <c r="N622" s="48" t="str">
        <f>IF(Table3[[#This Row],[Profit]]&lt;0,"Loss","Profit")</f>
        <v>Profit</v>
      </c>
    </row>
    <row r="623" spans="1:14" ht="15.6" x14ac:dyDescent="0.3">
      <c r="A623" s="31" t="s">
        <v>86</v>
      </c>
      <c r="B623" s="33">
        <v>45992</v>
      </c>
      <c r="C623" s="33">
        <v>45994</v>
      </c>
      <c r="D623" s="54" t="s">
        <v>855</v>
      </c>
      <c r="E623" s="38" t="s">
        <v>1514</v>
      </c>
      <c r="F623" s="40" t="s">
        <v>1516</v>
      </c>
      <c r="G623" s="40" t="s">
        <v>1520</v>
      </c>
      <c r="H623" s="40" t="s">
        <v>1523</v>
      </c>
      <c r="I623" s="40" t="s">
        <v>1605</v>
      </c>
      <c r="J623" s="46">
        <v>2980.88</v>
      </c>
      <c r="K623" s="3">
        <v>4</v>
      </c>
      <c r="L623" s="43">
        <v>0</v>
      </c>
      <c r="M623" s="48">
        <v>546.86</v>
      </c>
      <c r="N623" s="48" t="str">
        <f>IF(Table3[[#This Row],[Profit]]&lt;0,"Loss","Profit")</f>
        <v>Profit</v>
      </c>
    </row>
    <row r="624" spans="1:14" ht="15.6" x14ac:dyDescent="0.3">
      <c r="A624" s="31" t="s">
        <v>82</v>
      </c>
      <c r="B624" s="33">
        <v>45993</v>
      </c>
      <c r="C624" s="33">
        <v>45994</v>
      </c>
      <c r="D624" s="54" t="s">
        <v>851</v>
      </c>
      <c r="E624" s="38" t="s">
        <v>1513</v>
      </c>
      <c r="F624" s="40" t="s">
        <v>1516</v>
      </c>
      <c r="G624" s="40" t="s">
        <v>1522</v>
      </c>
      <c r="H624" s="40" t="s">
        <v>1529</v>
      </c>
      <c r="I624" s="40" t="s">
        <v>1601</v>
      </c>
      <c r="J624" s="46">
        <v>3757.67</v>
      </c>
      <c r="K624" s="3">
        <v>1</v>
      </c>
      <c r="L624" s="43">
        <v>0.1</v>
      </c>
      <c r="M624" s="48">
        <v>-288.13</v>
      </c>
      <c r="N624" s="48" t="str">
        <f>IF(Table3[[#This Row],[Profit]]&lt;0,"Loss","Profit")</f>
        <v>Loss</v>
      </c>
    </row>
    <row r="625" spans="1:14" ht="15.6" x14ac:dyDescent="0.3">
      <c r="A625" s="31" t="s">
        <v>630</v>
      </c>
      <c r="B625" s="33" t="s">
        <v>779</v>
      </c>
      <c r="C625" s="33">
        <v>45994</v>
      </c>
      <c r="D625" s="54" t="s">
        <v>1384</v>
      </c>
      <c r="E625" s="38" t="s">
        <v>1514</v>
      </c>
      <c r="F625" s="40" t="s">
        <v>1518</v>
      </c>
      <c r="G625" s="40" t="s">
        <v>1522</v>
      </c>
      <c r="H625" s="40" t="s">
        <v>1531</v>
      </c>
      <c r="I625" s="40" t="s">
        <v>2126</v>
      </c>
      <c r="J625" s="46">
        <v>2452.58</v>
      </c>
      <c r="K625" s="3">
        <v>2</v>
      </c>
      <c r="L625" s="43">
        <v>0</v>
      </c>
      <c r="M625" s="48">
        <v>279.73</v>
      </c>
      <c r="N625" s="48" t="str">
        <f>IF(Table3[[#This Row],[Profit]]&lt;0,"Loss","Profit")</f>
        <v>Profit</v>
      </c>
    </row>
    <row r="626" spans="1:14" ht="15.6" x14ac:dyDescent="0.3">
      <c r="A626" s="31" t="s">
        <v>457</v>
      </c>
      <c r="B626" s="33">
        <v>45991</v>
      </c>
      <c r="C626" s="33">
        <v>45999</v>
      </c>
      <c r="D626" s="54" t="s">
        <v>1214</v>
      </c>
      <c r="E626" s="38" t="s">
        <v>1513</v>
      </c>
      <c r="F626" s="40" t="s">
        <v>1517</v>
      </c>
      <c r="G626" s="40" t="s">
        <v>1520</v>
      </c>
      <c r="H626" s="40" t="s">
        <v>1525</v>
      </c>
      <c r="I626" s="40" t="s">
        <v>1962</v>
      </c>
      <c r="J626" s="46">
        <v>4537.3100000000004</v>
      </c>
      <c r="K626" s="3">
        <v>6</v>
      </c>
      <c r="L626" s="43">
        <v>0.2</v>
      </c>
      <c r="M626" s="48">
        <v>-158.32</v>
      </c>
      <c r="N626" s="48" t="str">
        <f>IF(Table3[[#This Row],[Profit]]&lt;0,"Loss","Profit")</f>
        <v>Loss</v>
      </c>
    </row>
    <row r="627" spans="1:14" ht="15.6" x14ac:dyDescent="0.3">
      <c r="A627" s="31" t="s">
        <v>375</v>
      </c>
      <c r="B627" s="33" t="s">
        <v>771</v>
      </c>
      <c r="C627" s="33">
        <v>46000</v>
      </c>
      <c r="D627" s="54" t="s">
        <v>1133</v>
      </c>
      <c r="E627" s="38" t="s">
        <v>1515</v>
      </c>
      <c r="F627" s="40" t="s">
        <v>1516</v>
      </c>
      <c r="G627" s="40" t="s">
        <v>1521</v>
      </c>
      <c r="H627" s="40" t="s">
        <v>1530</v>
      </c>
      <c r="I627" s="40" t="s">
        <v>1885</v>
      </c>
      <c r="J627" s="46">
        <v>4608.58</v>
      </c>
      <c r="K627" s="3">
        <v>3</v>
      </c>
      <c r="L627" s="43">
        <v>0.2</v>
      </c>
      <c r="M627" s="48">
        <v>-93.5</v>
      </c>
      <c r="N627" s="48" t="str">
        <f>IF(Table3[[#This Row],[Profit]]&lt;0,"Loss","Profit")</f>
        <v>Loss</v>
      </c>
    </row>
    <row r="628" spans="1:14" ht="15.6" x14ac:dyDescent="0.3">
      <c r="A628" s="31" t="s">
        <v>728</v>
      </c>
      <c r="B628" s="33">
        <v>45998</v>
      </c>
      <c r="C628" s="33">
        <v>46001</v>
      </c>
      <c r="D628" s="54" t="s">
        <v>1480</v>
      </c>
      <c r="E628" s="38" t="s">
        <v>1514</v>
      </c>
      <c r="F628" s="40" t="s">
        <v>1519</v>
      </c>
      <c r="G628" s="40" t="s">
        <v>1522</v>
      </c>
      <c r="H628" s="40" t="s">
        <v>1531</v>
      </c>
      <c r="I628" s="40" t="s">
        <v>2214</v>
      </c>
      <c r="J628" s="46">
        <v>4441.9399999999996</v>
      </c>
      <c r="K628" s="3">
        <v>1</v>
      </c>
      <c r="L628" s="43">
        <v>0.05</v>
      </c>
      <c r="M628" s="48">
        <v>726.19</v>
      </c>
      <c r="N628" s="48" t="str">
        <f>IF(Table3[[#This Row],[Profit]]&lt;0,"Loss","Profit")</f>
        <v>Profit</v>
      </c>
    </row>
    <row r="629" spans="1:14" ht="15.6" x14ac:dyDescent="0.3">
      <c r="A629" s="31" t="s">
        <v>359</v>
      </c>
      <c r="B629" s="33">
        <v>45992</v>
      </c>
      <c r="C629" s="33">
        <v>46002</v>
      </c>
      <c r="D629" s="54" t="s">
        <v>1118</v>
      </c>
      <c r="E629" s="38" t="s">
        <v>1513</v>
      </c>
      <c r="F629" s="40" t="s">
        <v>1516</v>
      </c>
      <c r="G629" s="40" t="s">
        <v>1521</v>
      </c>
      <c r="H629" s="40" t="s">
        <v>1528</v>
      </c>
      <c r="I629" s="40" t="s">
        <v>1870</v>
      </c>
      <c r="J629" s="46">
        <v>696.44</v>
      </c>
      <c r="K629" s="3">
        <v>8</v>
      </c>
      <c r="L629" s="43">
        <v>0.1</v>
      </c>
      <c r="M629" s="48">
        <v>203.21</v>
      </c>
      <c r="N629" s="48" t="str">
        <f>IF(Table3[[#This Row],[Profit]]&lt;0,"Loss","Profit")</f>
        <v>Profit</v>
      </c>
    </row>
    <row r="630" spans="1:14" ht="15.6" x14ac:dyDescent="0.3">
      <c r="A630" s="31" t="s">
        <v>500</v>
      </c>
      <c r="B630" s="33">
        <v>45992</v>
      </c>
      <c r="C630" s="33">
        <v>46002</v>
      </c>
      <c r="D630" s="54" t="s">
        <v>1256</v>
      </c>
      <c r="E630" s="38" t="s">
        <v>1514</v>
      </c>
      <c r="F630" s="40" t="s">
        <v>1517</v>
      </c>
      <c r="G630" s="40" t="s">
        <v>1522</v>
      </c>
      <c r="H630" s="40" t="s">
        <v>1529</v>
      </c>
      <c r="I630" s="40" t="s">
        <v>2003</v>
      </c>
      <c r="J630" s="46">
        <v>3050.5</v>
      </c>
      <c r="K630" s="3">
        <v>6</v>
      </c>
      <c r="L630" s="43">
        <v>0.2</v>
      </c>
      <c r="M630" s="48">
        <v>868.68</v>
      </c>
      <c r="N630" s="48" t="str">
        <f>IF(Table3[[#This Row],[Profit]]&lt;0,"Loss","Profit")</f>
        <v>Profit</v>
      </c>
    </row>
    <row r="631" spans="1:14" ht="15.6" x14ac:dyDescent="0.3">
      <c r="A631" s="31" t="s">
        <v>122</v>
      </c>
      <c r="B631" s="33">
        <v>46002</v>
      </c>
      <c r="C631" s="33">
        <v>46003</v>
      </c>
      <c r="D631" s="54" t="s">
        <v>890</v>
      </c>
      <c r="E631" s="38" t="s">
        <v>1515</v>
      </c>
      <c r="F631" s="40" t="s">
        <v>1518</v>
      </c>
      <c r="G631" s="40" t="s">
        <v>1520</v>
      </c>
      <c r="H631" s="40" t="s">
        <v>1524</v>
      </c>
      <c r="I631" s="40" t="s">
        <v>1640</v>
      </c>
      <c r="J631" s="46">
        <v>1450.05</v>
      </c>
      <c r="K631" s="3">
        <v>5</v>
      </c>
      <c r="L631" s="43">
        <v>0.2</v>
      </c>
      <c r="M631" s="48">
        <v>172.49</v>
      </c>
      <c r="N631" s="48" t="str">
        <f>IF(Table3[[#This Row],[Profit]]&lt;0,"Loss","Profit")</f>
        <v>Profit</v>
      </c>
    </row>
    <row r="632" spans="1:14" ht="15.6" x14ac:dyDescent="0.3">
      <c r="A632" s="31" t="s">
        <v>507</v>
      </c>
      <c r="B632" s="33">
        <v>46003</v>
      </c>
      <c r="C632" s="33">
        <v>46007</v>
      </c>
      <c r="D632" s="54" t="s">
        <v>1263</v>
      </c>
      <c r="E632" s="38" t="s">
        <v>1513</v>
      </c>
      <c r="F632" s="40" t="s">
        <v>1517</v>
      </c>
      <c r="G632" s="40" t="s">
        <v>1520</v>
      </c>
      <c r="H632" s="40" t="s">
        <v>1524</v>
      </c>
      <c r="I632" s="40" t="s">
        <v>2010</v>
      </c>
      <c r="J632" s="46">
        <v>3780.29</v>
      </c>
      <c r="K632" s="3">
        <v>1</v>
      </c>
      <c r="L632" s="43">
        <v>0.1</v>
      </c>
      <c r="M632" s="48">
        <v>936.43</v>
      </c>
      <c r="N632" s="48" t="str">
        <f>IF(Table3[[#This Row],[Profit]]&lt;0,"Loss","Profit")</f>
        <v>Profit</v>
      </c>
    </row>
    <row r="633" spans="1:14" ht="15.6" x14ac:dyDescent="0.3">
      <c r="A633" s="31" t="s">
        <v>678</v>
      </c>
      <c r="B633" s="33">
        <v>46000</v>
      </c>
      <c r="C633" s="33">
        <v>46009</v>
      </c>
      <c r="D633" s="54" t="s">
        <v>1431</v>
      </c>
      <c r="E633" s="38" t="s">
        <v>1514</v>
      </c>
      <c r="F633" s="40" t="s">
        <v>1519</v>
      </c>
      <c r="G633" s="40" t="s">
        <v>1520</v>
      </c>
      <c r="H633" s="40" t="s">
        <v>1524</v>
      </c>
      <c r="I633" s="40" t="s">
        <v>2170</v>
      </c>
      <c r="J633" s="46">
        <v>3837.54</v>
      </c>
      <c r="K633" s="3">
        <v>1</v>
      </c>
      <c r="L633" s="43">
        <v>0.05</v>
      </c>
      <c r="M633" s="48">
        <v>-152.93</v>
      </c>
      <c r="N633" s="48" t="str">
        <f>IF(Table3[[#This Row],[Profit]]&lt;0,"Loss","Profit")</f>
        <v>Loss</v>
      </c>
    </row>
    <row r="634" spans="1:14" ht="15.6" x14ac:dyDescent="0.3">
      <c r="A634" s="31" t="s">
        <v>61</v>
      </c>
      <c r="B634" s="33">
        <v>46007</v>
      </c>
      <c r="C634" s="33">
        <v>46009</v>
      </c>
      <c r="D634" s="54" t="s">
        <v>830</v>
      </c>
      <c r="E634" s="38" t="s">
        <v>1515</v>
      </c>
      <c r="F634" s="40" t="s">
        <v>1518</v>
      </c>
      <c r="G634" s="40" t="s">
        <v>1520</v>
      </c>
      <c r="H634" s="40" t="s">
        <v>1525</v>
      </c>
      <c r="I634" s="40" t="s">
        <v>1580</v>
      </c>
      <c r="J634" s="46">
        <v>1956.72</v>
      </c>
      <c r="K634" s="3">
        <v>10</v>
      </c>
      <c r="L634" s="43">
        <v>0.05</v>
      </c>
      <c r="M634" s="48">
        <v>-117.21</v>
      </c>
      <c r="N634" s="48" t="str">
        <f>IF(Table3[[#This Row],[Profit]]&lt;0,"Loss","Profit")</f>
        <v>Loss</v>
      </c>
    </row>
    <row r="635" spans="1:14" ht="15.6" x14ac:dyDescent="0.3">
      <c r="A635" s="31" t="s">
        <v>321</v>
      </c>
      <c r="B635" s="33">
        <v>46002</v>
      </c>
      <c r="C635" s="33">
        <v>46010</v>
      </c>
      <c r="D635" s="54" t="s">
        <v>1081</v>
      </c>
      <c r="E635" s="38" t="s">
        <v>1514</v>
      </c>
      <c r="F635" s="40" t="s">
        <v>1516</v>
      </c>
      <c r="G635" s="40" t="s">
        <v>1521</v>
      </c>
      <c r="H635" s="40" t="s">
        <v>1530</v>
      </c>
      <c r="I635" s="40" t="s">
        <v>1832</v>
      </c>
      <c r="J635" s="46">
        <v>2989.34</v>
      </c>
      <c r="K635" s="3">
        <v>4</v>
      </c>
      <c r="L635" s="43">
        <v>0.15</v>
      </c>
      <c r="M635" s="48">
        <v>-421.99</v>
      </c>
      <c r="N635" s="48" t="str">
        <f>IF(Table3[[#This Row],[Profit]]&lt;0,"Loss","Profit")</f>
        <v>Loss</v>
      </c>
    </row>
    <row r="636" spans="1:14" ht="15.6" x14ac:dyDescent="0.3">
      <c r="A636" s="31" t="s">
        <v>45</v>
      </c>
      <c r="B636" s="33">
        <v>46008</v>
      </c>
      <c r="C636" s="33">
        <v>46012</v>
      </c>
      <c r="D636" s="54" t="s">
        <v>814</v>
      </c>
      <c r="E636" s="38" t="s">
        <v>1515</v>
      </c>
      <c r="F636" s="40" t="s">
        <v>1519</v>
      </c>
      <c r="G636" s="40" t="s">
        <v>1522</v>
      </c>
      <c r="H636" s="40" t="s">
        <v>1527</v>
      </c>
      <c r="I636" s="40" t="s">
        <v>1564</v>
      </c>
      <c r="J636" s="46">
        <v>2915.65</v>
      </c>
      <c r="K636" s="3">
        <v>1</v>
      </c>
      <c r="L636" s="43">
        <v>0.2</v>
      </c>
      <c r="M636" s="48">
        <v>-451.66</v>
      </c>
      <c r="N636" s="48" t="str">
        <f>IF(Table3[[#This Row],[Profit]]&lt;0,"Loss","Profit")</f>
        <v>Loss</v>
      </c>
    </row>
    <row r="637" spans="1:14" ht="15.6" x14ac:dyDescent="0.3">
      <c r="A637" s="31" t="s">
        <v>233</v>
      </c>
      <c r="B637" s="33">
        <v>46006</v>
      </c>
      <c r="C637" s="33">
        <v>46013</v>
      </c>
      <c r="D637" s="54" t="s">
        <v>997</v>
      </c>
      <c r="E637" s="38" t="s">
        <v>1514</v>
      </c>
      <c r="F637" s="40" t="s">
        <v>1518</v>
      </c>
      <c r="G637" s="40" t="s">
        <v>1522</v>
      </c>
      <c r="H637" s="40" t="s">
        <v>1527</v>
      </c>
      <c r="I637" s="40" t="s">
        <v>1749</v>
      </c>
      <c r="J637" s="46">
        <v>1522.3</v>
      </c>
      <c r="K637" s="3">
        <v>2</v>
      </c>
      <c r="L637" s="43">
        <v>0.2</v>
      </c>
      <c r="M637" s="48">
        <v>-254.3</v>
      </c>
      <c r="N637" s="48" t="str">
        <f>IF(Table3[[#This Row],[Profit]]&lt;0,"Loss","Profit")</f>
        <v>Loss</v>
      </c>
    </row>
    <row r="638" spans="1:14" ht="15.6" x14ac:dyDescent="0.3">
      <c r="A638" s="31" t="s">
        <v>517</v>
      </c>
      <c r="B638" s="33">
        <v>46009</v>
      </c>
      <c r="C638" s="33">
        <v>46015</v>
      </c>
      <c r="D638" s="54" t="s">
        <v>1273</v>
      </c>
      <c r="E638" s="38" t="s">
        <v>1513</v>
      </c>
      <c r="F638" s="40" t="s">
        <v>1519</v>
      </c>
      <c r="G638" s="40" t="s">
        <v>1522</v>
      </c>
      <c r="H638" s="40" t="s">
        <v>1527</v>
      </c>
      <c r="I638" s="40" t="s">
        <v>2019</v>
      </c>
      <c r="J638" s="46">
        <v>2256.0500000000002</v>
      </c>
      <c r="K638" s="3">
        <v>10</v>
      </c>
      <c r="L638" s="43">
        <v>0.2</v>
      </c>
      <c r="M638" s="48">
        <v>-148.66</v>
      </c>
      <c r="N638" s="48" t="str">
        <f>IF(Table3[[#This Row],[Profit]]&lt;0,"Loss","Profit")</f>
        <v>Loss</v>
      </c>
    </row>
    <row r="639" spans="1:14" ht="15.6" x14ac:dyDescent="0.3">
      <c r="A639" s="31" t="s">
        <v>181</v>
      </c>
      <c r="B639" s="33">
        <v>46010</v>
      </c>
      <c r="C639" s="33">
        <v>46015</v>
      </c>
      <c r="D639" s="54" t="s">
        <v>947</v>
      </c>
      <c r="E639" s="38" t="s">
        <v>1514</v>
      </c>
      <c r="F639" s="40" t="s">
        <v>1518</v>
      </c>
      <c r="G639" s="40" t="s">
        <v>1520</v>
      </c>
      <c r="H639" s="40" t="s">
        <v>1524</v>
      </c>
      <c r="I639" s="40" t="s">
        <v>1698</v>
      </c>
      <c r="J639" s="46">
        <v>2977.53</v>
      </c>
      <c r="K639" s="3">
        <v>6</v>
      </c>
      <c r="L639" s="43">
        <v>0.2</v>
      </c>
      <c r="M639" s="48">
        <v>-474.01</v>
      </c>
      <c r="N639" s="48" t="str">
        <f>IF(Table3[[#This Row],[Profit]]&lt;0,"Loss","Profit")</f>
        <v>Loss</v>
      </c>
    </row>
    <row r="640" spans="1:14" ht="15.6" x14ac:dyDescent="0.3">
      <c r="A640" s="31" t="s">
        <v>374</v>
      </c>
      <c r="B640" s="33">
        <v>46009</v>
      </c>
      <c r="C640" s="33">
        <v>46016</v>
      </c>
      <c r="D640" s="54" t="s">
        <v>1132</v>
      </c>
      <c r="E640" s="38" t="s">
        <v>1514</v>
      </c>
      <c r="F640" s="40" t="s">
        <v>1516</v>
      </c>
      <c r="G640" s="40" t="s">
        <v>1521</v>
      </c>
      <c r="H640" s="40" t="s">
        <v>1528</v>
      </c>
      <c r="I640" s="40" t="s">
        <v>1884</v>
      </c>
      <c r="J640" s="46">
        <v>458.02</v>
      </c>
      <c r="K640" s="3">
        <v>9</v>
      </c>
      <c r="L640" s="43">
        <v>0.2</v>
      </c>
      <c r="M640" s="48">
        <v>63.59</v>
      </c>
      <c r="N640" s="48" t="str">
        <f>IF(Table3[[#This Row],[Profit]]&lt;0,"Loss","Profit")</f>
        <v>Profit</v>
      </c>
    </row>
    <row r="641" spans="1:14" ht="15.6" x14ac:dyDescent="0.3">
      <c r="A641" s="31" t="s">
        <v>653</v>
      </c>
      <c r="B641" s="33">
        <v>46009</v>
      </c>
      <c r="C641" s="33">
        <v>46016</v>
      </c>
      <c r="D641" s="54" t="s">
        <v>1406</v>
      </c>
      <c r="E641" s="38" t="s">
        <v>1515</v>
      </c>
      <c r="F641" s="40" t="s">
        <v>1516</v>
      </c>
      <c r="G641" s="40" t="s">
        <v>1522</v>
      </c>
      <c r="H641" s="40" t="s">
        <v>1527</v>
      </c>
      <c r="I641" s="40" t="s">
        <v>2149</v>
      </c>
      <c r="J641" s="46">
        <v>2146.5300000000002</v>
      </c>
      <c r="K641" s="3">
        <v>6</v>
      </c>
      <c r="L641" s="43">
        <v>0.05</v>
      </c>
      <c r="M641" s="48">
        <v>-50.65</v>
      </c>
      <c r="N641" s="48" t="str">
        <f>IF(Table3[[#This Row],[Profit]]&lt;0,"Loss","Profit")</f>
        <v>Loss</v>
      </c>
    </row>
    <row r="642" spans="1:14" ht="15.6" x14ac:dyDescent="0.3">
      <c r="A642" s="31" t="s">
        <v>19</v>
      </c>
      <c r="B642" s="33">
        <v>46018</v>
      </c>
      <c r="C642" s="33">
        <v>46022</v>
      </c>
      <c r="D642" s="54" t="s">
        <v>788</v>
      </c>
      <c r="E642" s="38" t="s">
        <v>1514</v>
      </c>
      <c r="F642" s="40" t="s">
        <v>1519</v>
      </c>
      <c r="G642" s="40" t="s">
        <v>1522</v>
      </c>
      <c r="H642" s="40" t="s">
        <v>1527</v>
      </c>
      <c r="I642" s="40" t="s">
        <v>1538</v>
      </c>
      <c r="J642" s="46">
        <v>3876.69</v>
      </c>
      <c r="K642" s="3">
        <v>2</v>
      </c>
      <c r="L642" s="43">
        <v>0.05</v>
      </c>
      <c r="M642" s="48">
        <v>1072.1600000000001</v>
      </c>
      <c r="N642" s="48" t="str">
        <f>IF(Table3[[#This Row],[Profit]]&lt;0,"Loss","Profit")</f>
        <v>Profit</v>
      </c>
    </row>
    <row r="643" spans="1:14" ht="15.6" x14ac:dyDescent="0.3">
      <c r="A643" s="31" t="s">
        <v>492</v>
      </c>
      <c r="B643" s="33">
        <v>46013</v>
      </c>
      <c r="C643" s="33">
        <v>46023</v>
      </c>
      <c r="D643" s="54" t="s">
        <v>1248</v>
      </c>
      <c r="E643" s="38" t="s">
        <v>1515</v>
      </c>
      <c r="F643" s="40" t="s">
        <v>1518</v>
      </c>
      <c r="G643" s="40" t="s">
        <v>1522</v>
      </c>
      <c r="H643" s="40" t="s">
        <v>1527</v>
      </c>
      <c r="I643" s="40" t="s">
        <v>1995</v>
      </c>
      <c r="J643" s="46">
        <v>3205.81</v>
      </c>
      <c r="K643" s="3">
        <v>9</v>
      </c>
      <c r="L643" s="43">
        <v>0.2</v>
      </c>
      <c r="M643" s="48">
        <v>-276.44</v>
      </c>
      <c r="N643" s="48" t="str">
        <f>IF(Table3[[#This Row],[Profit]]&lt;0,"Loss","Profit")</f>
        <v>Loss</v>
      </c>
    </row>
    <row r="644" spans="1:14" ht="15.6" x14ac:dyDescent="0.3">
      <c r="A644" s="31" t="s">
        <v>100</v>
      </c>
      <c r="B644" s="33">
        <v>46021</v>
      </c>
      <c r="C644" s="33">
        <v>46023</v>
      </c>
      <c r="D644" s="54" t="s">
        <v>869</v>
      </c>
      <c r="E644" s="38" t="s">
        <v>1514</v>
      </c>
      <c r="F644" s="40" t="s">
        <v>1519</v>
      </c>
      <c r="G644" s="40" t="s">
        <v>1520</v>
      </c>
      <c r="H644" s="40" t="s">
        <v>1524</v>
      </c>
      <c r="I644" s="40" t="s">
        <v>1619</v>
      </c>
      <c r="J644" s="46">
        <v>4369.96</v>
      </c>
      <c r="K644" s="3">
        <v>10</v>
      </c>
      <c r="L644" s="43">
        <v>0.1</v>
      </c>
      <c r="M644" s="48">
        <v>254.19</v>
      </c>
      <c r="N644" s="48" t="str">
        <f>IF(Table3[[#This Row],[Profit]]&lt;0,"Loss","Profit")</f>
        <v>Profit</v>
      </c>
    </row>
    <row r="645" spans="1:14" ht="15.6" x14ac:dyDescent="0.3">
      <c r="A645" s="31" t="s">
        <v>290</v>
      </c>
      <c r="B645" s="33">
        <v>46016</v>
      </c>
      <c r="C645" s="33">
        <v>46025</v>
      </c>
      <c r="D645" s="54" t="s">
        <v>1053</v>
      </c>
      <c r="E645" s="38" t="s">
        <v>1515</v>
      </c>
      <c r="F645" s="40" t="s">
        <v>1516</v>
      </c>
      <c r="G645" s="40" t="s">
        <v>1521</v>
      </c>
      <c r="H645" s="40" t="s">
        <v>1528</v>
      </c>
      <c r="I645" s="40" t="s">
        <v>1804</v>
      </c>
      <c r="J645" s="46">
        <v>713.76</v>
      </c>
      <c r="K645" s="3">
        <v>4</v>
      </c>
      <c r="L645" s="43">
        <v>0.1</v>
      </c>
      <c r="M645" s="48">
        <v>-62.93</v>
      </c>
      <c r="N645" s="48" t="str">
        <f>IF(Table3[[#This Row],[Profit]]&lt;0,"Loss","Profit")</f>
        <v>Loss</v>
      </c>
    </row>
    <row r="646" spans="1:14" ht="15.6" x14ac:dyDescent="0.3">
      <c r="A646" s="31" t="s">
        <v>189</v>
      </c>
      <c r="B646" s="33">
        <v>46023</v>
      </c>
      <c r="C646" s="33">
        <v>46025</v>
      </c>
      <c r="D646" s="54" t="s">
        <v>955</v>
      </c>
      <c r="E646" s="38" t="s">
        <v>1513</v>
      </c>
      <c r="F646" s="40" t="s">
        <v>1516</v>
      </c>
      <c r="G646" s="40" t="s">
        <v>1522</v>
      </c>
      <c r="H646" s="40" t="s">
        <v>1527</v>
      </c>
      <c r="I646" s="40" t="s">
        <v>1706</v>
      </c>
      <c r="J646" s="46">
        <v>1582.43</v>
      </c>
      <c r="K646" s="3">
        <v>7</v>
      </c>
      <c r="L646" s="43">
        <v>0.2</v>
      </c>
      <c r="M646" s="48">
        <v>372.53</v>
      </c>
      <c r="N646" s="48" t="str">
        <f>IF(Table3[[#This Row],[Profit]]&lt;0,"Loss","Profit")</f>
        <v>Profit</v>
      </c>
    </row>
    <row r="647" spans="1:14" ht="15.6" x14ac:dyDescent="0.3">
      <c r="A647" s="31" t="s">
        <v>346</v>
      </c>
      <c r="B647" s="33">
        <v>46020</v>
      </c>
      <c r="C647" s="33">
        <v>46027</v>
      </c>
      <c r="D647" s="54" t="s">
        <v>1106</v>
      </c>
      <c r="E647" s="38" t="s">
        <v>1515</v>
      </c>
      <c r="F647" s="40" t="s">
        <v>1516</v>
      </c>
      <c r="G647" s="40" t="s">
        <v>1520</v>
      </c>
      <c r="H647" s="40" t="s">
        <v>1524</v>
      </c>
      <c r="I647" s="40" t="s">
        <v>1857</v>
      </c>
      <c r="J647" s="46">
        <v>3565.2</v>
      </c>
      <c r="K647" s="3">
        <v>8</v>
      </c>
      <c r="L647" s="43">
        <v>0.15</v>
      </c>
      <c r="M647" s="48">
        <v>-385.08</v>
      </c>
      <c r="N647" s="48" t="str">
        <f>IF(Table3[[#This Row],[Profit]]&lt;0,"Loss","Profit")</f>
        <v>Loss</v>
      </c>
    </row>
    <row r="648" spans="1:14" ht="15.6" x14ac:dyDescent="0.3">
      <c r="A648" s="31" t="s">
        <v>589</v>
      </c>
      <c r="B648" s="33">
        <v>46024</v>
      </c>
      <c r="C648" s="33">
        <v>46027</v>
      </c>
      <c r="D648" s="54" t="s">
        <v>1343</v>
      </c>
      <c r="E648" s="38" t="s">
        <v>1515</v>
      </c>
      <c r="F648" s="40" t="s">
        <v>1519</v>
      </c>
      <c r="G648" s="40" t="s">
        <v>1521</v>
      </c>
      <c r="H648" s="40" t="s">
        <v>1530</v>
      </c>
      <c r="I648" s="40" t="s">
        <v>2088</v>
      </c>
      <c r="J648" s="46">
        <v>2136.5300000000002</v>
      </c>
      <c r="K648" s="3">
        <v>3</v>
      </c>
      <c r="L648" s="43">
        <v>0.2</v>
      </c>
      <c r="M648" s="48">
        <v>180.22</v>
      </c>
      <c r="N648" s="48" t="str">
        <f>IF(Table3[[#This Row],[Profit]]&lt;0,"Loss","Profit")</f>
        <v>Profit</v>
      </c>
    </row>
    <row r="649" spans="1:14" ht="15.6" x14ac:dyDescent="0.3">
      <c r="A649" s="31" t="s">
        <v>569</v>
      </c>
      <c r="B649" s="33">
        <v>46026</v>
      </c>
      <c r="C649" s="33">
        <v>46030</v>
      </c>
      <c r="D649" s="54" t="s">
        <v>1323</v>
      </c>
      <c r="E649" s="38" t="s">
        <v>1515</v>
      </c>
      <c r="F649" s="40" t="s">
        <v>1517</v>
      </c>
      <c r="G649" s="40" t="s">
        <v>1521</v>
      </c>
      <c r="H649" s="40" t="s">
        <v>1530</v>
      </c>
      <c r="I649" s="40" t="s">
        <v>2069</v>
      </c>
      <c r="J649" s="46">
        <v>4260.3100000000004</v>
      </c>
      <c r="K649" s="3">
        <v>9</v>
      </c>
      <c r="L649" s="43">
        <v>0.1</v>
      </c>
      <c r="M649" s="48">
        <v>-395.74</v>
      </c>
      <c r="N649" s="48" t="str">
        <f>IF(Table3[[#This Row],[Profit]]&lt;0,"Loss","Profit")</f>
        <v>Loss</v>
      </c>
    </row>
    <row r="650" spans="1:14" ht="15.6" x14ac:dyDescent="0.3">
      <c r="A650" s="31" t="s">
        <v>717</v>
      </c>
      <c r="B650" s="33">
        <v>46026</v>
      </c>
      <c r="C650" s="33">
        <v>46031</v>
      </c>
      <c r="D650" s="54" t="s">
        <v>1469</v>
      </c>
      <c r="E650" s="38" t="s">
        <v>1515</v>
      </c>
      <c r="F650" s="40" t="s">
        <v>1516</v>
      </c>
      <c r="G650" s="40" t="s">
        <v>1520</v>
      </c>
      <c r="H650" s="40" t="s">
        <v>1524</v>
      </c>
      <c r="I650" s="40" t="s">
        <v>2204</v>
      </c>
      <c r="J650" s="46">
        <v>1695.04</v>
      </c>
      <c r="K650" s="3">
        <v>4</v>
      </c>
      <c r="L650" s="43">
        <v>0.2</v>
      </c>
      <c r="M650" s="48">
        <v>368.03</v>
      </c>
      <c r="N650" s="48" t="str">
        <f>IF(Table3[[#This Row],[Profit]]&lt;0,"Loss","Profit")</f>
        <v>Profit</v>
      </c>
    </row>
    <row r="651" spans="1:14" ht="15.6" x14ac:dyDescent="0.3">
      <c r="A651" s="31" t="s">
        <v>286</v>
      </c>
      <c r="B651" s="33">
        <v>46031</v>
      </c>
      <c r="C651" s="33">
        <v>46034</v>
      </c>
      <c r="D651" s="54" t="s">
        <v>2289</v>
      </c>
      <c r="E651" s="38" t="s">
        <v>1514</v>
      </c>
      <c r="F651" s="40" t="s">
        <v>1516</v>
      </c>
      <c r="G651" s="40" t="s">
        <v>1522</v>
      </c>
      <c r="H651" s="40" t="s">
        <v>1529</v>
      </c>
      <c r="I651" s="40" t="s">
        <v>1800</v>
      </c>
      <c r="J651" s="46">
        <v>4929.1899999999996</v>
      </c>
      <c r="K651" s="3">
        <v>9</v>
      </c>
      <c r="L651" s="43">
        <v>0.05</v>
      </c>
      <c r="M651" s="48">
        <v>135.35</v>
      </c>
      <c r="N651" s="48" t="str">
        <f>IF(Table3[[#This Row],[Profit]]&lt;0,"Loss","Profit")</f>
        <v>Profit</v>
      </c>
    </row>
    <row r="652" spans="1:14" ht="15.6" x14ac:dyDescent="0.3">
      <c r="A652" s="31" t="s">
        <v>325</v>
      </c>
      <c r="B652" s="33">
        <v>46031</v>
      </c>
      <c r="C652" s="33">
        <v>46035</v>
      </c>
      <c r="D652" s="54" t="s">
        <v>1085</v>
      </c>
      <c r="E652" s="38" t="s">
        <v>1515</v>
      </c>
      <c r="F652" s="40" t="s">
        <v>1516</v>
      </c>
      <c r="G652" s="40" t="s">
        <v>1522</v>
      </c>
      <c r="H652" s="40" t="s">
        <v>1527</v>
      </c>
      <c r="I652" s="40" t="s">
        <v>1836</v>
      </c>
      <c r="J652" s="46">
        <v>2981.52</v>
      </c>
      <c r="K652" s="3">
        <v>9</v>
      </c>
      <c r="L652" s="43">
        <v>0.05</v>
      </c>
      <c r="M652" s="48">
        <v>521.59</v>
      </c>
      <c r="N652" s="48" t="str">
        <f>IF(Table3[[#This Row],[Profit]]&lt;0,"Loss","Profit")</f>
        <v>Profit</v>
      </c>
    </row>
    <row r="653" spans="1:14" ht="15.6" x14ac:dyDescent="0.3">
      <c r="A653" s="31" t="s">
        <v>542</v>
      </c>
      <c r="B653" s="33">
        <v>46031</v>
      </c>
      <c r="C653" s="33">
        <v>46035</v>
      </c>
      <c r="D653" s="54" t="s">
        <v>1296</v>
      </c>
      <c r="E653" s="38" t="s">
        <v>1513</v>
      </c>
      <c r="F653" s="40" t="s">
        <v>1516</v>
      </c>
      <c r="G653" s="40" t="s">
        <v>1521</v>
      </c>
      <c r="H653" s="40" t="s">
        <v>1530</v>
      </c>
      <c r="I653" s="40" t="s">
        <v>2042</v>
      </c>
      <c r="J653" s="46">
        <v>3819.29</v>
      </c>
      <c r="K653" s="3">
        <v>4</v>
      </c>
      <c r="L653" s="43">
        <v>0</v>
      </c>
      <c r="M653" s="48">
        <v>-208.55</v>
      </c>
      <c r="N653" s="48" t="str">
        <f>IF(Table3[[#This Row],[Profit]]&lt;0,"Loss","Profit")</f>
        <v>Loss</v>
      </c>
    </row>
    <row r="654" spans="1:14" ht="15.6" x14ac:dyDescent="0.3">
      <c r="A654" s="31" t="s">
        <v>654</v>
      </c>
      <c r="B654" s="33">
        <v>46031</v>
      </c>
      <c r="C654" s="33">
        <v>46037</v>
      </c>
      <c r="D654" s="54" t="s">
        <v>1407</v>
      </c>
      <c r="E654" s="38" t="s">
        <v>1513</v>
      </c>
      <c r="F654" s="40" t="s">
        <v>1517</v>
      </c>
      <c r="G654" s="40" t="s">
        <v>1521</v>
      </c>
      <c r="H654" s="40" t="s">
        <v>1530</v>
      </c>
      <c r="I654" s="40" t="s">
        <v>2150</v>
      </c>
      <c r="J654" s="46">
        <v>3100.29</v>
      </c>
      <c r="K654" s="3">
        <v>8</v>
      </c>
      <c r="L654" s="43">
        <v>0.2</v>
      </c>
      <c r="M654" s="48">
        <v>-371.41</v>
      </c>
      <c r="N654" s="48" t="str">
        <f>IF(Table3[[#This Row],[Profit]]&lt;0,"Loss","Profit")</f>
        <v>Loss</v>
      </c>
    </row>
    <row r="655" spans="1:14" ht="15.6" x14ac:dyDescent="0.3">
      <c r="A655" s="31" t="s">
        <v>404</v>
      </c>
      <c r="B655" s="33">
        <v>46036</v>
      </c>
      <c r="C655" s="33">
        <v>46037</v>
      </c>
      <c r="D655" s="54" t="s">
        <v>1162</v>
      </c>
      <c r="E655" s="38" t="s">
        <v>1514</v>
      </c>
      <c r="F655" s="40" t="s">
        <v>1519</v>
      </c>
      <c r="G655" s="40" t="s">
        <v>1520</v>
      </c>
      <c r="H655" s="40" t="s">
        <v>1525</v>
      </c>
      <c r="I655" s="40" t="s">
        <v>1913</v>
      </c>
      <c r="J655" s="46">
        <v>4947.55</v>
      </c>
      <c r="K655" s="3">
        <v>6</v>
      </c>
      <c r="L655" s="43">
        <v>0.15</v>
      </c>
      <c r="M655" s="48">
        <v>492.21</v>
      </c>
      <c r="N655" s="48" t="str">
        <f>IF(Table3[[#This Row],[Profit]]&lt;0,"Loss","Profit")</f>
        <v>Profit</v>
      </c>
    </row>
    <row r="656" spans="1:14" ht="15.6" x14ac:dyDescent="0.3">
      <c r="A656" s="31" t="s">
        <v>742</v>
      </c>
      <c r="B656" s="33">
        <v>46029</v>
      </c>
      <c r="C656" s="33">
        <v>46038</v>
      </c>
      <c r="D656" s="54" t="s">
        <v>1494</v>
      </c>
      <c r="E656" s="38" t="s">
        <v>1514</v>
      </c>
      <c r="F656" s="40" t="s">
        <v>1519</v>
      </c>
      <c r="G656" s="40" t="s">
        <v>1521</v>
      </c>
      <c r="H656" s="40" t="s">
        <v>1526</v>
      </c>
      <c r="I656" s="40" t="s">
        <v>2227</v>
      </c>
      <c r="J656" s="46">
        <v>4534.97</v>
      </c>
      <c r="K656" s="3">
        <v>10</v>
      </c>
      <c r="L656" s="43">
        <v>0.2</v>
      </c>
      <c r="M656" s="48">
        <v>-80.12</v>
      </c>
      <c r="N656" s="48" t="str">
        <f>IF(Table3[[#This Row],[Profit]]&lt;0,"Loss","Profit")</f>
        <v>Loss</v>
      </c>
    </row>
    <row r="657" spans="1:14" ht="15.6" x14ac:dyDescent="0.3">
      <c r="A657" s="31" t="s">
        <v>443</v>
      </c>
      <c r="B657" s="33">
        <v>46034</v>
      </c>
      <c r="C657" s="33">
        <v>46038</v>
      </c>
      <c r="D657" s="54" t="s">
        <v>1200</v>
      </c>
      <c r="E657" s="38" t="s">
        <v>1515</v>
      </c>
      <c r="F657" s="40" t="s">
        <v>1519</v>
      </c>
      <c r="G657" s="40" t="s">
        <v>1522</v>
      </c>
      <c r="H657" s="40" t="s">
        <v>1529</v>
      </c>
      <c r="I657" s="40" t="s">
        <v>1949</v>
      </c>
      <c r="J657" s="46">
        <v>4571.49</v>
      </c>
      <c r="K657" s="3">
        <v>7</v>
      </c>
      <c r="L657" s="43">
        <v>0.2</v>
      </c>
      <c r="M657" s="48">
        <v>303.79000000000002</v>
      </c>
      <c r="N657" s="48" t="str">
        <f>IF(Table3[[#This Row],[Profit]]&lt;0,"Loss","Profit")</f>
        <v>Profit</v>
      </c>
    </row>
    <row r="658" spans="1:14" ht="15.6" x14ac:dyDescent="0.3">
      <c r="A658" s="31" t="s">
        <v>485</v>
      </c>
      <c r="B658" s="33" t="s">
        <v>774</v>
      </c>
      <c r="C658" s="33">
        <v>46039</v>
      </c>
      <c r="D658" s="54" t="s">
        <v>1241</v>
      </c>
      <c r="E658" s="38" t="s">
        <v>1515</v>
      </c>
      <c r="F658" s="40" t="s">
        <v>1519</v>
      </c>
      <c r="G658" s="40" t="s">
        <v>1521</v>
      </c>
      <c r="H658" s="40" t="s">
        <v>1526</v>
      </c>
      <c r="I658" s="40" t="s">
        <v>1988</v>
      </c>
      <c r="J658" s="46">
        <v>4443.59</v>
      </c>
      <c r="K658" s="3">
        <v>8</v>
      </c>
      <c r="L658" s="43">
        <v>0</v>
      </c>
      <c r="M658" s="48">
        <v>-733.93</v>
      </c>
      <c r="N658" s="48" t="str">
        <f>IF(Table3[[#This Row],[Profit]]&lt;0,"Loss","Profit")</f>
        <v>Loss</v>
      </c>
    </row>
    <row r="659" spans="1:14" ht="15.6" x14ac:dyDescent="0.3">
      <c r="A659" s="31" t="s">
        <v>712</v>
      </c>
      <c r="B659" s="33">
        <v>46036</v>
      </c>
      <c r="C659" s="33">
        <v>46040</v>
      </c>
      <c r="D659" s="54" t="s">
        <v>1464</v>
      </c>
      <c r="E659" s="38" t="s">
        <v>1515</v>
      </c>
      <c r="F659" s="40" t="s">
        <v>1516</v>
      </c>
      <c r="G659" s="40" t="s">
        <v>1521</v>
      </c>
      <c r="H659" s="40" t="s">
        <v>1530</v>
      </c>
      <c r="I659" s="40" t="s">
        <v>2200</v>
      </c>
      <c r="J659" s="46">
        <v>1468.51</v>
      </c>
      <c r="K659" s="3">
        <v>9</v>
      </c>
      <c r="L659" s="43">
        <v>0.1</v>
      </c>
      <c r="M659" s="48">
        <v>330.46</v>
      </c>
      <c r="N659" s="48" t="str">
        <f>IF(Table3[[#This Row],[Profit]]&lt;0,"Loss","Profit")</f>
        <v>Profit</v>
      </c>
    </row>
    <row r="660" spans="1:14" ht="15.6" x14ac:dyDescent="0.3">
      <c r="A660" s="31" t="s">
        <v>479</v>
      </c>
      <c r="B660" s="33">
        <v>46039</v>
      </c>
      <c r="C660" s="33">
        <v>46040</v>
      </c>
      <c r="D660" s="54" t="s">
        <v>1236</v>
      </c>
      <c r="E660" s="38" t="s">
        <v>1514</v>
      </c>
      <c r="F660" s="40" t="s">
        <v>1519</v>
      </c>
      <c r="G660" s="40" t="s">
        <v>1521</v>
      </c>
      <c r="H660" s="40" t="s">
        <v>1526</v>
      </c>
      <c r="I660" s="40" t="s">
        <v>1982</v>
      </c>
      <c r="J660" s="46">
        <v>544.04999999999995</v>
      </c>
      <c r="K660" s="3">
        <v>3</v>
      </c>
      <c r="L660" s="43">
        <v>0</v>
      </c>
      <c r="M660" s="48">
        <v>146.21</v>
      </c>
      <c r="N660" s="48" t="str">
        <f>IF(Table3[[#This Row],[Profit]]&lt;0,"Loss","Profit")</f>
        <v>Profit</v>
      </c>
    </row>
    <row r="661" spans="1:14" ht="15.6" x14ac:dyDescent="0.3">
      <c r="A661" s="31" t="s">
        <v>429</v>
      </c>
      <c r="B661" s="33">
        <v>46033</v>
      </c>
      <c r="C661" s="33">
        <v>46041</v>
      </c>
      <c r="D661" s="54" t="s">
        <v>1186</v>
      </c>
      <c r="E661" s="38" t="s">
        <v>1514</v>
      </c>
      <c r="F661" s="40" t="s">
        <v>1517</v>
      </c>
      <c r="G661" s="40" t="s">
        <v>1521</v>
      </c>
      <c r="H661" s="40" t="s">
        <v>1526</v>
      </c>
      <c r="I661" s="40" t="s">
        <v>1935</v>
      </c>
      <c r="J661" s="46">
        <v>4479.6400000000003</v>
      </c>
      <c r="K661" s="3">
        <v>5</v>
      </c>
      <c r="L661" s="43">
        <v>0</v>
      </c>
      <c r="M661" s="48">
        <v>685.5</v>
      </c>
      <c r="N661" s="48" t="str">
        <f>IF(Table3[[#This Row],[Profit]]&lt;0,"Loss","Profit")</f>
        <v>Profit</v>
      </c>
    </row>
    <row r="662" spans="1:14" ht="15.6" x14ac:dyDescent="0.3">
      <c r="A662" s="31" t="s">
        <v>147</v>
      </c>
      <c r="B662" s="33">
        <v>46033</v>
      </c>
      <c r="C662" s="33">
        <v>46042</v>
      </c>
      <c r="D662" s="54" t="s">
        <v>914</v>
      </c>
      <c r="E662" s="38" t="s">
        <v>1514</v>
      </c>
      <c r="F662" s="40" t="s">
        <v>1518</v>
      </c>
      <c r="G662" s="40" t="s">
        <v>1520</v>
      </c>
      <c r="H662" s="40" t="s">
        <v>1525</v>
      </c>
      <c r="I662" s="40" t="s">
        <v>1665</v>
      </c>
      <c r="J662" s="46">
        <v>2124.6799999999998</v>
      </c>
      <c r="K662" s="3">
        <v>3</v>
      </c>
      <c r="L662" s="43">
        <v>0.15</v>
      </c>
      <c r="M662" s="48">
        <v>340.39</v>
      </c>
      <c r="N662" s="48" t="str">
        <f>IF(Table3[[#This Row],[Profit]]&lt;0,"Loss","Profit")</f>
        <v>Profit</v>
      </c>
    </row>
    <row r="663" spans="1:14" ht="15.6" x14ac:dyDescent="0.3">
      <c r="A663" s="31" t="s">
        <v>696</v>
      </c>
      <c r="B663" s="33">
        <v>46035</v>
      </c>
      <c r="C663" s="33">
        <v>46045</v>
      </c>
      <c r="D663" s="54" t="s">
        <v>1448</v>
      </c>
      <c r="E663" s="38" t="s">
        <v>1515</v>
      </c>
      <c r="F663" s="40" t="s">
        <v>1518</v>
      </c>
      <c r="G663" s="40" t="s">
        <v>1520</v>
      </c>
      <c r="H663" s="40" t="s">
        <v>1525</v>
      </c>
      <c r="I663" s="40" t="s">
        <v>1665</v>
      </c>
      <c r="J663" s="46">
        <v>1801.57</v>
      </c>
      <c r="K663" s="3">
        <v>3</v>
      </c>
      <c r="L663" s="43">
        <v>0.2</v>
      </c>
      <c r="M663" s="48">
        <v>197.18</v>
      </c>
      <c r="N663" s="48" t="str">
        <f>IF(Table3[[#This Row],[Profit]]&lt;0,"Loss","Profit")</f>
        <v>Profit</v>
      </c>
    </row>
    <row r="664" spans="1:14" ht="15.6" x14ac:dyDescent="0.3">
      <c r="A664" s="31" t="s">
        <v>734</v>
      </c>
      <c r="B664" s="33">
        <v>46042</v>
      </c>
      <c r="C664" s="33">
        <v>46045</v>
      </c>
      <c r="D664" s="54" t="s">
        <v>1486</v>
      </c>
      <c r="E664" s="38" t="s">
        <v>1515</v>
      </c>
      <c r="F664" s="40" t="s">
        <v>1516</v>
      </c>
      <c r="G664" s="40" t="s">
        <v>1521</v>
      </c>
      <c r="H664" s="40" t="s">
        <v>1526</v>
      </c>
      <c r="I664" s="40" t="s">
        <v>2220</v>
      </c>
      <c r="J664" s="46">
        <v>1477.93</v>
      </c>
      <c r="K664" s="3">
        <v>3</v>
      </c>
      <c r="L664" s="43">
        <v>0.05</v>
      </c>
      <c r="M664" s="48">
        <v>-286.14999999999998</v>
      </c>
      <c r="N664" s="48" t="str">
        <f>IF(Table3[[#This Row],[Profit]]&lt;0,"Loss","Profit")</f>
        <v>Loss</v>
      </c>
    </row>
    <row r="665" spans="1:14" ht="15.6" x14ac:dyDescent="0.3">
      <c r="A665" s="31" t="s">
        <v>605</v>
      </c>
      <c r="B665" s="33">
        <v>46039</v>
      </c>
      <c r="C665" s="33">
        <v>46046</v>
      </c>
      <c r="D665" s="54" t="s">
        <v>1359</v>
      </c>
      <c r="E665" s="38" t="s">
        <v>1513</v>
      </c>
      <c r="F665" s="40" t="s">
        <v>1519</v>
      </c>
      <c r="G665" s="40" t="s">
        <v>1521</v>
      </c>
      <c r="H665" s="40" t="s">
        <v>1526</v>
      </c>
      <c r="I665" s="40" t="s">
        <v>2103</v>
      </c>
      <c r="J665" s="46">
        <v>1336.04</v>
      </c>
      <c r="K665" s="3">
        <v>5</v>
      </c>
      <c r="L665" s="43">
        <v>0</v>
      </c>
      <c r="M665" s="48">
        <v>-267.14</v>
      </c>
      <c r="N665" s="48" t="str">
        <f>IF(Table3[[#This Row],[Profit]]&lt;0,"Loss","Profit")</f>
        <v>Loss</v>
      </c>
    </row>
    <row r="666" spans="1:14" ht="15.6" x14ac:dyDescent="0.3">
      <c r="A666" s="31" t="s">
        <v>408</v>
      </c>
      <c r="B666" s="33">
        <v>46052</v>
      </c>
      <c r="C666" s="33">
        <v>46056</v>
      </c>
      <c r="D666" s="54" t="s">
        <v>1166</v>
      </c>
      <c r="E666" s="38" t="s">
        <v>1515</v>
      </c>
      <c r="F666" s="40" t="s">
        <v>1519</v>
      </c>
      <c r="G666" s="40" t="s">
        <v>1522</v>
      </c>
      <c r="H666" s="40" t="s">
        <v>1531</v>
      </c>
      <c r="I666" s="40" t="s">
        <v>1917</v>
      </c>
      <c r="J666" s="46">
        <v>2982.97</v>
      </c>
      <c r="K666" s="3">
        <v>6</v>
      </c>
      <c r="L666" s="43">
        <v>0.2</v>
      </c>
      <c r="M666" s="48">
        <v>-550.32000000000005</v>
      </c>
      <c r="N666" s="48" t="str">
        <f>IF(Table3[[#This Row],[Profit]]&lt;0,"Loss","Profit")</f>
        <v>Loss</v>
      </c>
    </row>
    <row r="667" spans="1:14" ht="15.6" x14ac:dyDescent="0.3">
      <c r="A667" s="31" t="s">
        <v>279</v>
      </c>
      <c r="B667" s="33">
        <v>46054</v>
      </c>
      <c r="C667" s="33">
        <v>46056</v>
      </c>
      <c r="D667" s="54" t="s">
        <v>1042</v>
      </c>
      <c r="E667" s="38" t="s">
        <v>1514</v>
      </c>
      <c r="F667" s="40" t="s">
        <v>1516</v>
      </c>
      <c r="G667" s="40" t="s">
        <v>1521</v>
      </c>
      <c r="H667" s="40" t="s">
        <v>1526</v>
      </c>
      <c r="I667" s="40" t="s">
        <v>1794</v>
      </c>
      <c r="J667" s="46">
        <v>3429.52</v>
      </c>
      <c r="K667" s="3">
        <v>9</v>
      </c>
      <c r="L667" s="43">
        <v>0.05</v>
      </c>
      <c r="M667" s="48">
        <v>546.82000000000005</v>
      </c>
      <c r="N667" s="48" t="str">
        <f>IF(Table3[[#This Row],[Profit]]&lt;0,"Loss","Profit")</f>
        <v>Profit</v>
      </c>
    </row>
    <row r="668" spans="1:14" ht="15.6" x14ac:dyDescent="0.3">
      <c r="A668" s="31" t="s">
        <v>502</v>
      </c>
      <c r="B668" s="33">
        <v>46054</v>
      </c>
      <c r="C668" s="33">
        <v>46060</v>
      </c>
      <c r="D668" s="54" t="s">
        <v>1258</v>
      </c>
      <c r="E668" s="38" t="s">
        <v>1513</v>
      </c>
      <c r="F668" s="40" t="s">
        <v>1519</v>
      </c>
      <c r="G668" s="40" t="s">
        <v>1520</v>
      </c>
      <c r="H668" s="40" t="s">
        <v>1525</v>
      </c>
      <c r="I668" s="40" t="s">
        <v>2005</v>
      </c>
      <c r="J668" s="46">
        <v>3573.78</v>
      </c>
      <c r="K668" s="3">
        <v>9</v>
      </c>
      <c r="L668" s="43">
        <v>0.2</v>
      </c>
      <c r="M668" s="48">
        <v>-287.55</v>
      </c>
      <c r="N668" s="48" t="str">
        <f>IF(Table3[[#This Row],[Profit]]&lt;0,"Loss","Profit")</f>
        <v>Loss</v>
      </c>
    </row>
    <row r="669" spans="1:14" ht="15.6" x14ac:dyDescent="0.3">
      <c r="A669" s="31" t="s">
        <v>326</v>
      </c>
      <c r="B669" s="33">
        <v>46056</v>
      </c>
      <c r="C669" s="33">
        <v>46060</v>
      </c>
      <c r="D669" s="54" t="s">
        <v>1086</v>
      </c>
      <c r="E669" s="38" t="s">
        <v>1514</v>
      </c>
      <c r="F669" s="40" t="s">
        <v>1518</v>
      </c>
      <c r="G669" s="40" t="s">
        <v>1520</v>
      </c>
      <c r="H669" s="40" t="s">
        <v>1524</v>
      </c>
      <c r="I669" s="40" t="s">
        <v>1837</v>
      </c>
      <c r="J669" s="46">
        <v>2220.35</v>
      </c>
      <c r="K669" s="3">
        <v>5</v>
      </c>
      <c r="L669" s="43">
        <v>0.2</v>
      </c>
      <c r="M669" s="48">
        <v>-359.61</v>
      </c>
      <c r="N669" s="48" t="str">
        <f>IF(Table3[[#This Row],[Profit]]&lt;0,"Loss","Profit")</f>
        <v>Loss</v>
      </c>
    </row>
    <row r="670" spans="1:14" ht="15.6" x14ac:dyDescent="0.3">
      <c r="A670" s="31" t="s">
        <v>261</v>
      </c>
      <c r="B670" s="33">
        <v>46058</v>
      </c>
      <c r="C670" s="33">
        <v>46063</v>
      </c>
      <c r="D670" s="54" t="s">
        <v>1025</v>
      </c>
      <c r="E670" s="38" t="s">
        <v>1513</v>
      </c>
      <c r="F670" s="40" t="s">
        <v>1516</v>
      </c>
      <c r="G670" s="40" t="s">
        <v>1520</v>
      </c>
      <c r="H670" s="40" t="s">
        <v>1523</v>
      </c>
      <c r="I670" s="40" t="s">
        <v>1777</v>
      </c>
      <c r="J670" s="46">
        <v>1639.78</v>
      </c>
      <c r="K670" s="3">
        <v>1</v>
      </c>
      <c r="L670" s="43">
        <v>0</v>
      </c>
      <c r="M670" s="48">
        <v>260.33999999999997</v>
      </c>
      <c r="N670" s="48" t="str">
        <f>IF(Table3[[#This Row],[Profit]]&lt;0,"Loss","Profit")</f>
        <v>Profit</v>
      </c>
    </row>
    <row r="671" spans="1:14" ht="15.6" x14ac:dyDescent="0.3">
      <c r="A671" s="31" t="s">
        <v>448</v>
      </c>
      <c r="B671" s="33">
        <v>46061</v>
      </c>
      <c r="C671" s="33">
        <v>46063</v>
      </c>
      <c r="D671" s="54" t="s">
        <v>1205</v>
      </c>
      <c r="E671" s="38" t="s">
        <v>1515</v>
      </c>
      <c r="F671" s="40" t="s">
        <v>1517</v>
      </c>
      <c r="G671" s="40" t="s">
        <v>1521</v>
      </c>
      <c r="H671" s="40" t="s">
        <v>1528</v>
      </c>
      <c r="I671" s="40" t="s">
        <v>1954</v>
      </c>
      <c r="J671" s="46">
        <v>1461.09</v>
      </c>
      <c r="K671" s="3">
        <v>7</v>
      </c>
      <c r="L671" s="43">
        <v>0</v>
      </c>
      <c r="M671" s="48">
        <v>-161.31</v>
      </c>
      <c r="N671" s="48" t="str">
        <f>IF(Table3[[#This Row],[Profit]]&lt;0,"Loss","Profit")</f>
        <v>Loss</v>
      </c>
    </row>
    <row r="672" spans="1:14" ht="15.6" x14ac:dyDescent="0.3">
      <c r="A672" s="31" t="s">
        <v>610</v>
      </c>
      <c r="B672" s="33">
        <v>46061</v>
      </c>
      <c r="C672" s="33">
        <v>46063</v>
      </c>
      <c r="D672" s="54" t="s">
        <v>1364</v>
      </c>
      <c r="E672" s="38" t="s">
        <v>1515</v>
      </c>
      <c r="F672" s="40" t="s">
        <v>1518</v>
      </c>
      <c r="G672" s="40" t="s">
        <v>1522</v>
      </c>
      <c r="H672" s="40" t="s">
        <v>1529</v>
      </c>
      <c r="I672" s="40" t="s">
        <v>2108</v>
      </c>
      <c r="J672" s="46">
        <v>3202.62</v>
      </c>
      <c r="K672" s="3">
        <v>10</v>
      </c>
      <c r="L672" s="43">
        <v>0.15</v>
      </c>
      <c r="M672" s="48">
        <v>-161.18</v>
      </c>
      <c r="N672" s="48" t="str">
        <f>IF(Table3[[#This Row],[Profit]]&lt;0,"Loss","Profit")</f>
        <v>Loss</v>
      </c>
    </row>
    <row r="673" spans="1:14" ht="15.6" x14ac:dyDescent="0.3">
      <c r="A673" s="31" t="s">
        <v>103</v>
      </c>
      <c r="B673" s="33">
        <v>46054</v>
      </c>
      <c r="C673" s="33">
        <v>46064</v>
      </c>
      <c r="D673" s="54" t="s">
        <v>872</v>
      </c>
      <c r="E673" s="38" t="s">
        <v>1514</v>
      </c>
      <c r="F673" s="40" t="s">
        <v>1518</v>
      </c>
      <c r="G673" s="40" t="s">
        <v>1520</v>
      </c>
      <c r="H673" s="40" t="s">
        <v>1524</v>
      </c>
      <c r="I673" s="40" t="s">
        <v>1622</v>
      </c>
      <c r="J673" s="46">
        <v>3000.83</v>
      </c>
      <c r="K673" s="3">
        <v>10</v>
      </c>
      <c r="L673" s="43">
        <v>0.05</v>
      </c>
      <c r="M673" s="48">
        <v>680.08</v>
      </c>
      <c r="N673" s="48" t="str">
        <f>IF(Table3[[#This Row],[Profit]]&lt;0,"Loss","Profit")</f>
        <v>Profit</v>
      </c>
    </row>
    <row r="674" spans="1:14" ht="15.6" x14ac:dyDescent="0.3">
      <c r="A674" s="31" t="s">
        <v>55</v>
      </c>
      <c r="B674" s="33">
        <v>46057</v>
      </c>
      <c r="C674" s="33">
        <v>46064</v>
      </c>
      <c r="D674" s="54" t="s">
        <v>824</v>
      </c>
      <c r="E674" s="38" t="s">
        <v>1513</v>
      </c>
      <c r="F674" s="40" t="s">
        <v>1518</v>
      </c>
      <c r="G674" s="40" t="s">
        <v>1521</v>
      </c>
      <c r="H674" s="40" t="s">
        <v>1528</v>
      </c>
      <c r="I674" s="40" t="s">
        <v>1574</v>
      </c>
      <c r="J674" s="46">
        <v>4870.49</v>
      </c>
      <c r="K674" s="3">
        <v>3</v>
      </c>
      <c r="L674" s="43">
        <v>0.05</v>
      </c>
      <c r="M674" s="48">
        <v>1341.98</v>
      </c>
      <c r="N674" s="48" t="str">
        <f>IF(Table3[[#This Row],[Profit]]&lt;0,"Loss","Profit")</f>
        <v>Profit</v>
      </c>
    </row>
    <row r="675" spans="1:14" ht="15.6" x14ac:dyDescent="0.3">
      <c r="A675" s="31" t="s">
        <v>741</v>
      </c>
      <c r="B675" s="33">
        <v>46057</v>
      </c>
      <c r="C675" s="33">
        <v>46066</v>
      </c>
      <c r="D675" s="54" t="s">
        <v>1493</v>
      </c>
      <c r="E675" s="38" t="s">
        <v>1514</v>
      </c>
      <c r="F675" s="40" t="s">
        <v>1516</v>
      </c>
      <c r="G675" s="40" t="s">
        <v>1520</v>
      </c>
      <c r="H675" s="40" t="s">
        <v>1525</v>
      </c>
      <c r="I675" s="40" t="s">
        <v>2226</v>
      </c>
      <c r="J675" s="46">
        <v>4000.59</v>
      </c>
      <c r="K675" s="3">
        <v>5</v>
      </c>
      <c r="L675" s="43">
        <v>0.2</v>
      </c>
      <c r="M675" s="48">
        <v>-684</v>
      </c>
      <c r="N675" s="48" t="str">
        <f>IF(Table3[[#This Row],[Profit]]&lt;0,"Loss","Profit")</f>
        <v>Loss</v>
      </c>
    </row>
    <row r="676" spans="1:14" ht="15.6" x14ac:dyDescent="0.3">
      <c r="A676" s="31" t="s">
        <v>759</v>
      </c>
      <c r="B676" s="33">
        <v>46064</v>
      </c>
      <c r="C676" s="33">
        <v>46066</v>
      </c>
      <c r="D676" s="54" t="s">
        <v>2257</v>
      </c>
      <c r="E676" s="38" t="s">
        <v>1515</v>
      </c>
      <c r="F676" s="40" t="s">
        <v>1519</v>
      </c>
      <c r="G676" s="40" t="s">
        <v>1521</v>
      </c>
      <c r="H676" s="40" t="s">
        <v>1528</v>
      </c>
      <c r="I676" s="40" t="s">
        <v>2243</v>
      </c>
      <c r="J676" s="46">
        <v>3211.96</v>
      </c>
      <c r="K676" s="3">
        <v>5</v>
      </c>
      <c r="L676" s="43">
        <v>0.15</v>
      </c>
      <c r="M676" s="48">
        <v>580.47</v>
      </c>
      <c r="N676" s="48" t="str">
        <f>IF(Table3[[#This Row],[Profit]]&lt;0,"Loss","Profit")</f>
        <v>Profit</v>
      </c>
    </row>
    <row r="677" spans="1:14" ht="15.6" x14ac:dyDescent="0.3">
      <c r="A677" s="31" t="s">
        <v>739</v>
      </c>
      <c r="B677" s="33">
        <v>46066</v>
      </c>
      <c r="C677" s="33">
        <v>46068</v>
      </c>
      <c r="D677" s="54" t="s">
        <v>2280</v>
      </c>
      <c r="E677" s="38" t="s">
        <v>1515</v>
      </c>
      <c r="F677" s="40" t="s">
        <v>1519</v>
      </c>
      <c r="G677" s="40" t="s">
        <v>1520</v>
      </c>
      <c r="H677" s="40" t="s">
        <v>1524</v>
      </c>
      <c r="I677" s="40" t="s">
        <v>2006</v>
      </c>
      <c r="J677" s="46">
        <v>2922.33</v>
      </c>
      <c r="K677" s="3">
        <v>2</v>
      </c>
      <c r="L677" s="43">
        <v>0.05</v>
      </c>
      <c r="M677" s="48">
        <v>589.15</v>
      </c>
      <c r="N677" s="48" t="str">
        <f>IF(Table3[[#This Row],[Profit]]&lt;0,"Loss","Profit")</f>
        <v>Profit</v>
      </c>
    </row>
    <row r="678" spans="1:14" ht="15.6" x14ac:dyDescent="0.3">
      <c r="A678" s="31" t="s">
        <v>182</v>
      </c>
      <c r="B678" s="33">
        <v>46065</v>
      </c>
      <c r="C678" s="33">
        <v>46071</v>
      </c>
      <c r="D678" s="54" t="s">
        <v>948</v>
      </c>
      <c r="E678" s="38" t="s">
        <v>1513</v>
      </c>
      <c r="F678" s="40" t="s">
        <v>1518</v>
      </c>
      <c r="G678" s="40" t="s">
        <v>1522</v>
      </c>
      <c r="H678" s="40" t="s">
        <v>1531</v>
      </c>
      <c r="I678" s="40" t="s">
        <v>1699</v>
      </c>
      <c r="J678" s="46">
        <v>4166.8999999999996</v>
      </c>
      <c r="K678" s="3">
        <v>2</v>
      </c>
      <c r="L678" s="43">
        <v>0.2</v>
      </c>
      <c r="M678" s="48">
        <v>1147.3</v>
      </c>
      <c r="N678" s="48" t="str">
        <f>IF(Table3[[#This Row],[Profit]]&lt;0,"Loss","Profit")</f>
        <v>Profit</v>
      </c>
    </row>
    <row r="679" spans="1:14" ht="15.6" x14ac:dyDescent="0.3">
      <c r="A679" s="31" t="s">
        <v>453</v>
      </c>
      <c r="B679" s="33">
        <v>46069</v>
      </c>
      <c r="C679" s="33">
        <v>46071</v>
      </c>
      <c r="D679" s="54" t="s">
        <v>1210</v>
      </c>
      <c r="E679" s="38" t="s">
        <v>1514</v>
      </c>
      <c r="F679" s="40" t="s">
        <v>1519</v>
      </c>
      <c r="G679" s="40" t="s">
        <v>1521</v>
      </c>
      <c r="H679" s="40" t="s">
        <v>1528</v>
      </c>
      <c r="I679" s="40" t="s">
        <v>1959</v>
      </c>
      <c r="J679" s="46">
        <v>2434.61</v>
      </c>
      <c r="K679" s="3">
        <v>6</v>
      </c>
      <c r="L679" s="43">
        <v>0.1</v>
      </c>
      <c r="M679" s="48">
        <v>370.86</v>
      </c>
      <c r="N679" s="48" t="str">
        <f>IF(Table3[[#This Row],[Profit]]&lt;0,"Loss","Profit")</f>
        <v>Profit</v>
      </c>
    </row>
    <row r="680" spans="1:14" ht="15.6" x14ac:dyDescent="0.3">
      <c r="A680" s="31" t="s">
        <v>708</v>
      </c>
      <c r="B680" s="33">
        <v>46069</v>
      </c>
      <c r="C680" s="33">
        <v>46072</v>
      </c>
      <c r="D680" s="54" t="s">
        <v>1460</v>
      </c>
      <c r="E680" s="38" t="s">
        <v>1514</v>
      </c>
      <c r="F680" s="40" t="s">
        <v>1519</v>
      </c>
      <c r="G680" s="40" t="s">
        <v>1521</v>
      </c>
      <c r="H680" s="40" t="s">
        <v>1528</v>
      </c>
      <c r="I680" s="40" t="s">
        <v>2197</v>
      </c>
      <c r="J680" s="46">
        <v>991.55</v>
      </c>
      <c r="K680" s="3">
        <v>8</v>
      </c>
      <c r="L680" s="43">
        <v>0.2</v>
      </c>
      <c r="M680" s="48">
        <v>278.26</v>
      </c>
      <c r="N680" s="48" t="str">
        <f>IF(Table3[[#This Row],[Profit]]&lt;0,"Loss","Profit")</f>
        <v>Profit</v>
      </c>
    </row>
    <row r="681" spans="1:14" ht="15.6" x14ac:dyDescent="0.3">
      <c r="A681" s="31" t="s">
        <v>128</v>
      </c>
      <c r="B681" s="33">
        <v>46065</v>
      </c>
      <c r="C681" s="33">
        <v>46073</v>
      </c>
      <c r="D681" s="54" t="s">
        <v>896</v>
      </c>
      <c r="E681" s="38" t="s">
        <v>1515</v>
      </c>
      <c r="F681" s="40" t="s">
        <v>1519</v>
      </c>
      <c r="G681" s="40" t="s">
        <v>1521</v>
      </c>
      <c r="H681" s="40" t="s">
        <v>1528</v>
      </c>
      <c r="I681" s="40" t="s">
        <v>1646</v>
      </c>
      <c r="J681" s="46">
        <v>4368.3</v>
      </c>
      <c r="K681" s="3">
        <v>1</v>
      </c>
      <c r="L681" s="43">
        <v>0.2</v>
      </c>
      <c r="M681" s="48">
        <v>-709.27</v>
      </c>
      <c r="N681" s="48" t="str">
        <f>IF(Table3[[#This Row],[Profit]]&lt;0,"Loss","Profit")</f>
        <v>Loss</v>
      </c>
    </row>
    <row r="682" spans="1:14" ht="15.6" x14ac:dyDescent="0.3">
      <c r="A682" s="31" t="s">
        <v>104</v>
      </c>
      <c r="B682" s="33">
        <v>46066</v>
      </c>
      <c r="C682" s="33">
        <v>46076</v>
      </c>
      <c r="D682" s="54" t="s">
        <v>873</v>
      </c>
      <c r="E682" s="38" t="s">
        <v>1515</v>
      </c>
      <c r="F682" s="40" t="s">
        <v>1516</v>
      </c>
      <c r="G682" s="40" t="s">
        <v>1521</v>
      </c>
      <c r="H682" s="40" t="s">
        <v>1526</v>
      </c>
      <c r="I682" s="40" t="s">
        <v>1623</v>
      </c>
      <c r="J682" s="46">
        <v>4950.6499999999996</v>
      </c>
      <c r="K682" s="3">
        <v>5</v>
      </c>
      <c r="L682" s="43">
        <v>0.2</v>
      </c>
      <c r="M682" s="48">
        <v>700.84</v>
      </c>
      <c r="N682" s="48" t="str">
        <f>IF(Table3[[#This Row],[Profit]]&lt;0,"Loss","Profit")</f>
        <v>Profit</v>
      </c>
    </row>
    <row r="683" spans="1:14" ht="15.6" x14ac:dyDescent="0.3">
      <c r="A683" s="31" t="s">
        <v>612</v>
      </c>
      <c r="B683" s="33">
        <v>46070</v>
      </c>
      <c r="C683" s="33">
        <v>46078</v>
      </c>
      <c r="D683" s="54" t="s">
        <v>1366</v>
      </c>
      <c r="E683" s="38" t="s">
        <v>1514</v>
      </c>
      <c r="F683" s="40" t="s">
        <v>1517</v>
      </c>
      <c r="G683" s="40" t="s">
        <v>1521</v>
      </c>
      <c r="H683" s="40" t="s">
        <v>1530</v>
      </c>
      <c r="I683" s="40" t="s">
        <v>2110</v>
      </c>
      <c r="J683" s="46">
        <v>3649.18</v>
      </c>
      <c r="K683" s="3">
        <v>4</v>
      </c>
      <c r="L683" s="43">
        <v>0</v>
      </c>
      <c r="M683" s="48">
        <v>-427.41</v>
      </c>
      <c r="N683" s="48" t="str">
        <f>IF(Table3[[#This Row],[Profit]]&lt;0,"Loss","Profit")</f>
        <v>Loss</v>
      </c>
    </row>
    <row r="684" spans="1:14" ht="15.6" x14ac:dyDescent="0.3">
      <c r="A684" s="31" t="s">
        <v>338</v>
      </c>
      <c r="B684" s="33">
        <v>46070</v>
      </c>
      <c r="C684" s="33">
        <v>46080</v>
      </c>
      <c r="D684" s="54" t="s">
        <v>1098</v>
      </c>
      <c r="E684" s="38" t="s">
        <v>1513</v>
      </c>
      <c r="F684" s="40" t="s">
        <v>1517</v>
      </c>
      <c r="G684" s="40" t="s">
        <v>1521</v>
      </c>
      <c r="H684" s="40" t="s">
        <v>1530</v>
      </c>
      <c r="I684" s="40" t="s">
        <v>1849</v>
      </c>
      <c r="J684" s="46">
        <v>4421.33</v>
      </c>
      <c r="K684" s="3">
        <v>8</v>
      </c>
      <c r="L684" s="43">
        <v>0.2</v>
      </c>
      <c r="M684" s="48">
        <v>160.29</v>
      </c>
      <c r="N684" s="48" t="str">
        <f>IF(Table3[[#This Row],[Profit]]&lt;0,"Loss","Profit")</f>
        <v>Profit</v>
      </c>
    </row>
    <row r="685" spans="1:14" ht="15.6" x14ac:dyDescent="0.3">
      <c r="A685" s="31" t="s">
        <v>700</v>
      </c>
      <c r="B685" s="33">
        <v>46075</v>
      </c>
      <c r="C685" s="33">
        <v>46081</v>
      </c>
      <c r="D685" s="54" t="s">
        <v>1452</v>
      </c>
      <c r="E685" s="38" t="s">
        <v>1513</v>
      </c>
      <c r="F685" s="40" t="s">
        <v>1517</v>
      </c>
      <c r="G685" s="40" t="s">
        <v>1522</v>
      </c>
      <c r="H685" s="40" t="s">
        <v>1531</v>
      </c>
      <c r="I685" s="40" t="s">
        <v>2189</v>
      </c>
      <c r="J685" s="46">
        <v>1739.74</v>
      </c>
      <c r="K685" s="3">
        <v>10</v>
      </c>
      <c r="L685" s="43">
        <v>0.2</v>
      </c>
      <c r="M685" s="48">
        <v>570.74</v>
      </c>
      <c r="N685" s="48" t="str">
        <f>IF(Table3[[#This Row],[Profit]]&lt;0,"Loss","Profit")</f>
        <v>Profit</v>
      </c>
    </row>
    <row r="686" spans="1:14" ht="15.6" x14ac:dyDescent="0.3">
      <c r="A686" s="31" t="s">
        <v>22</v>
      </c>
      <c r="B686" s="33">
        <v>46080</v>
      </c>
      <c r="C686" s="33">
        <v>46081</v>
      </c>
      <c r="D686" s="54" t="s">
        <v>791</v>
      </c>
      <c r="E686" s="38" t="s">
        <v>1513</v>
      </c>
      <c r="F686" s="40" t="s">
        <v>1517</v>
      </c>
      <c r="G686" s="40" t="s">
        <v>1520</v>
      </c>
      <c r="H686" s="40" t="s">
        <v>1524</v>
      </c>
      <c r="I686" s="40" t="s">
        <v>1541</v>
      </c>
      <c r="J686" s="46">
        <v>1183.79</v>
      </c>
      <c r="K686" s="3">
        <v>1</v>
      </c>
      <c r="L686" s="43">
        <v>0.1</v>
      </c>
      <c r="M686" s="48">
        <v>24.43</v>
      </c>
      <c r="N686" s="48" t="str">
        <f>IF(Table3[[#This Row],[Profit]]&lt;0,"Loss","Profit")</f>
        <v>Profit</v>
      </c>
    </row>
    <row r="687" spans="1:14" ht="15.6" x14ac:dyDescent="0.3">
      <c r="A687" s="31" t="s">
        <v>288</v>
      </c>
      <c r="B687" s="33">
        <v>46075</v>
      </c>
      <c r="C687" s="33">
        <v>46082</v>
      </c>
      <c r="D687" s="54" t="s">
        <v>1051</v>
      </c>
      <c r="E687" s="38" t="s">
        <v>1515</v>
      </c>
      <c r="F687" s="40" t="s">
        <v>1518</v>
      </c>
      <c r="G687" s="40" t="s">
        <v>1520</v>
      </c>
      <c r="H687" s="40" t="s">
        <v>1524</v>
      </c>
      <c r="I687" s="40" t="s">
        <v>1802</v>
      </c>
      <c r="J687" s="46">
        <v>2070.88</v>
      </c>
      <c r="K687" s="3">
        <v>5</v>
      </c>
      <c r="L687" s="43">
        <v>0.15</v>
      </c>
      <c r="M687" s="48">
        <v>-204.74</v>
      </c>
      <c r="N687" s="48" t="str">
        <f>IF(Table3[[#This Row],[Profit]]&lt;0,"Loss","Profit")</f>
        <v>Loss</v>
      </c>
    </row>
    <row r="688" spans="1:14" ht="15.6" x14ac:dyDescent="0.3">
      <c r="A688" s="31" t="s">
        <v>314</v>
      </c>
      <c r="B688" s="33">
        <v>46073</v>
      </c>
      <c r="C688" s="33">
        <v>46083</v>
      </c>
      <c r="D688" s="54" t="s">
        <v>1075</v>
      </c>
      <c r="E688" s="38" t="s">
        <v>1513</v>
      </c>
      <c r="F688" s="40" t="s">
        <v>1516</v>
      </c>
      <c r="G688" s="40" t="s">
        <v>1521</v>
      </c>
      <c r="H688" s="40" t="s">
        <v>1530</v>
      </c>
      <c r="I688" s="40" t="s">
        <v>1826</v>
      </c>
      <c r="J688" s="46">
        <v>3320.33</v>
      </c>
      <c r="K688" s="3">
        <v>2</v>
      </c>
      <c r="L688" s="43">
        <v>0.2</v>
      </c>
      <c r="M688" s="48">
        <v>-124.65</v>
      </c>
      <c r="N688" s="48" t="str">
        <f>IF(Table3[[#This Row],[Profit]]&lt;0,"Loss","Profit")</f>
        <v>Loss</v>
      </c>
    </row>
    <row r="689" spans="1:14" ht="15.6" x14ac:dyDescent="0.3">
      <c r="A689" s="31" t="s">
        <v>638</v>
      </c>
      <c r="B689" s="33">
        <v>46081</v>
      </c>
      <c r="C689" s="33">
        <v>46087</v>
      </c>
      <c r="D689" s="54" t="s">
        <v>1392</v>
      </c>
      <c r="E689" s="38" t="s">
        <v>1515</v>
      </c>
      <c r="F689" s="40" t="s">
        <v>1519</v>
      </c>
      <c r="G689" s="40" t="s">
        <v>1521</v>
      </c>
      <c r="H689" s="40" t="s">
        <v>1528</v>
      </c>
      <c r="I689" s="40" t="s">
        <v>2134</v>
      </c>
      <c r="J689" s="46">
        <v>4232.03</v>
      </c>
      <c r="K689" s="3">
        <v>7</v>
      </c>
      <c r="L689" s="43">
        <v>0.2</v>
      </c>
      <c r="M689" s="48">
        <v>155.84</v>
      </c>
      <c r="N689" s="48" t="str">
        <f>IF(Table3[[#This Row],[Profit]]&lt;0,"Loss","Profit")</f>
        <v>Profit</v>
      </c>
    </row>
    <row r="690" spans="1:14" ht="15.6" x14ac:dyDescent="0.3">
      <c r="A690" s="31" t="s">
        <v>14</v>
      </c>
      <c r="B690" s="33">
        <v>46086</v>
      </c>
      <c r="C690" s="33">
        <v>46087</v>
      </c>
      <c r="D690" s="54" t="s">
        <v>783</v>
      </c>
      <c r="E690" s="38" t="s">
        <v>1513</v>
      </c>
      <c r="F690" s="40" t="s">
        <v>1517</v>
      </c>
      <c r="G690" s="40" t="s">
        <v>1520</v>
      </c>
      <c r="H690" s="40" t="s">
        <v>1524</v>
      </c>
      <c r="I690" s="40" t="s">
        <v>1533</v>
      </c>
      <c r="J690" s="46">
        <v>197.5</v>
      </c>
      <c r="K690" s="3">
        <v>4</v>
      </c>
      <c r="L690" s="43">
        <v>0.05</v>
      </c>
      <c r="M690" s="48">
        <v>15.39</v>
      </c>
      <c r="N690" s="48" t="str">
        <f>IF(Table3[[#This Row],[Profit]]&lt;0,"Loss","Profit")</f>
        <v>Profit</v>
      </c>
    </row>
    <row r="691" spans="1:14" ht="15.6" x14ac:dyDescent="0.3">
      <c r="A691" s="31" t="s">
        <v>620</v>
      </c>
      <c r="B691" s="33">
        <v>46081</v>
      </c>
      <c r="C691" s="33">
        <v>46089</v>
      </c>
      <c r="D691" s="54" t="s">
        <v>1374</v>
      </c>
      <c r="E691" s="38" t="s">
        <v>1513</v>
      </c>
      <c r="F691" s="40" t="s">
        <v>1517</v>
      </c>
      <c r="G691" s="40" t="s">
        <v>1522</v>
      </c>
      <c r="H691" s="40" t="s">
        <v>1527</v>
      </c>
      <c r="I691" s="40" t="s">
        <v>2116</v>
      </c>
      <c r="J691" s="46">
        <v>3457.61</v>
      </c>
      <c r="K691" s="3">
        <v>3</v>
      </c>
      <c r="L691" s="43">
        <v>0.1</v>
      </c>
      <c r="M691" s="48">
        <v>774.29</v>
      </c>
      <c r="N691" s="48" t="str">
        <f>IF(Table3[[#This Row],[Profit]]&lt;0,"Loss","Profit")</f>
        <v>Profit</v>
      </c>
    </row>
    <row r="692" spans="1:14" ht="15.6" x14ac:dyDescent="0.3">
      <c r="A692" s="31" t="s">
        <v>524</v>
      </c>
      <c r="B692" s="33">
        <v>46087</v>
      </c>
      <c r="C692" s="33">
        <v>46089</v>
      </c>
      <c r="D692" s="54" t="s">
        <v>2281</v>
      </c>
      <c r="E692" s="38" t="s">
        <v>1515</v>
      </c>
      <c r="F692" s="40" t="s">
        <v>1516</v>
      </c>
      <c r="G692" s="40" t="s">
        <v>1521</v>
      </c>
      <c r="H692" s="40" t="s">
        <v>1528</v>
      </c>
      <c r="I692" s="40" t="s">
        <v>2026</v>
      </c>
      <c r="J692" s="46">
        <v>2697.43</v>
      </c>
      <c r="K692" s="3">
        <v>10</v>
      </c>
      <c r="L692" s="43">
        <v>0</v>
      </c>
      <c r="M692" s="48">
        <v>582.04999999999995</v>
      </c>
      <c r="N692" s="48" t="str">
        <f>IF(Table3[[#This Row],[Profit]]&lt;0,"Loss","Profit")</f>
        <v>Profit</v>
      </c>
    </row>
    <row r="693" spans="1:14" ht="15.6" x14ac:dyDescent="0.3">
      <c r="A693" s="31" t="s">
        <v>600</v>
      </c>
      <c r="B693" s="33">
        <v>46087</v>
      </c>
      <c r="C693" s="33">
        <v>46089</v>
      </c>
      <c r="D693" s="54" t="s">
        <v>1354</v>
      </c>
      <c r="E693" s="38" t="s">
        <v>1514</v>
      </c>
      <c r="F693" s="40" t="s">
        <v>1519</v>
      </c>
      <c r="G693" s="40" t="s">
        <v>1520</v>
      </c>
      <c r="H693" s="40" t="s">
        <v>1523</v>
      </c>
      <c r="I693" s="40" t="s">
        <v>2098</v>
      </c>
      <c r="J693" s="46">
        <v>1349.14</v>
      </c>
      <c r="K693" s="3">
        <v>3</v>
      </c>
      <c r="L693" s="43">
        <v>0</v>
      </c>
      <c r="M693" s="48">
        <v>216.08</v>
      </c>
      <c r="N693" s="48" t="str">
        <f>IF(Table3[[#This Row],[Profit]]&lt;0,"Loss","Profit")</f>
        <v>Profit</v>
      </c>
    </row>
    <row r="694" spans="1:14" ht="15.6" x14ac:dyDescent="0.3">
      <c r="A694" s="31" t="s">
        <v>430</v>
      </c>
      <c r="B694" s="33">
        <v>46084</v>
      </c>
      <c r="C694" s="33">
        <v>46090</v>
      </c>
      <c r="D694" s="54" t="s">
        <v>1187</v>
      </c>
      <c r="E694" s="38" t="s">
        <v>1514</v>
      </c>
      <c r="F694" s="40" t="s">
        <v>1517</v>
      </c>
      <c r="G694" s="40" t="s">
        <v>1521</v>
      </c>
      <c r="H694" s="40" t="s">
        <v>1526</v>
      </c>
      <c r="I694" s="40" t="s">
        <v>1936</v>
      </c>
      <c r="J694" s="46">
        <v>973.59</v>
      </c>
      <c r="K694" s="3">
        <v>1</v>
      </c>
      <c r="L694" s="43">
        <v>0.1</v>
      </c>
      <c r="M694" s="48">
        <v>40.75</v>
      </c>
      <c r="N694" s="48" t="str">
        <f>IF(Table3[[#This Row],[Profit]]&lt;0,"Loss","Profit")</f>
        <v>Profit</v>
      </c>
    </row>
    <row r="695" spans="1:14" ht="15.6" x14ac:dyDescent="0.3">
      <c r="A695" s="31" t="s">
        <v>305</v>
      </c>
      <c r="B695" s="33">
        <v>46089</v>
      </c>
      <c r="C695" s="33">
        <v>46091</v>
      </c>
      <c r="D695" s="54" t="s">
        <v>1067</v>
      </c>
      <c r="E695" s="38" t="s">
        <v>1515</v>
      </c>
      <c r="F695" s="40" t="s">
        <v>1517</v>
      </c>
      <c r="G695" s="40" t="s">
        <v>1521</v>
      </c>
      <c r="H695" s="40" t="s">
        <v>1526</v>
      </c>
      <c r="I695" s="40" t="s">
        <v>1818</v>
      </c>
      <c r="J695" s="46">
        <v>1896.61</v>
      </c>
      <c r="K695" s="3">
        <v>7</v>
      </c>
      <c r="L695" s="43">
        <v>0.15</v>
      </c>
      <c r="M695" s="48">
        <v>210.05</v>
      </c>
      <c r="N695" s="48" t="str">
        <f>IF(Table3[[#This Row],[Profit]]&lt;0,"Loss","Profit")</f>
        <v>Profit</v>
      </c>
    </row>
    <row r="696" spans="1:14" ht="15.6" x14ac:dyDescent="0.3">
      <c r="A696" s="31" t="s">
        <v>525</v>
      </c>
      <c r="B696" s="33" t="s">
        <v>775</v>
      </c>
      <c r="C696" s="33">
        <v>46091</v>
      </c>
      <c r="D696" s="54" t="s">
        <v>1280</v>
      </c>
      <c r="E696" s="38" t="s">
        <v>1514</v>
      </c>
      <c r="F696" s="40" t="s">
        <v>1516</v>
      </c>
      <c r="G696" s="40" t="s">
        <v>1520</v>
      </c>
      <c r="H696" s="40" t="s">
        <v>1523</v>
      </c>
      <c r="I696" s="40" t="s">
        <v>2027</v>
      </c>
      <c r="J696" s="46">
        <v>4643.84</v>
      </c>
      <c r="K696" s="3">
        <v>2</v>
      </c>
      <c r="L696" s="43">
        <v>0.1</v>
      </c>
      <c r="M696" s="48">
        <v>1081.04</v>
      </c>
      <c r="N696" s="48" t="str">
        <f>IF(Table3[[#This Row],[Profit]]&lt;0,"Loss","Profit")</f>
        <v>Profit</v>
      </c>
    </row>
    <row r="697" spans="1:14" ht="15.6" x14ac:dyDescent="0.3">
      <c r="A697" s="31" t="s">
        <v>185</v>
      </c>
      <c r="B697" s="33">
        <v>46090</v>
      </c>
      <c r="C697" s="33">
        <v>46093</v>
      </c>
      <c r="D697" s="54" t="s">
        <v>951</v>
      </c>
      <c r="E697" s="38" t="s">
        <v>1515</v>
      </c>
      <c r="F697" s="40" t="s">
        <v>1517</v>
      </c>
      <c r="G697" s="40" t="s">
        <v>1520</v>
      </c>
      <c r="H697" s="40" t="s">
        <v>1525</v>
      </c>
      <c r="I697" s="40" t="s">
        <v>1702</v>
      </c>
      <c r="J697" s="46">
        <v>243.75</v>
      </c>
      <c r="K697" s="3">
        <v>8</v>
      </c>
      <c r="L697" s="43">
        <v>0.15</v>
      </c>
      <c r="M697" s="48">
        <v>21.51</v>
      </c>
      <c r="N697" s="48" t="str">
        <f>IF(Table3[[#This Row],[Profit]]&lt;0,"Loss","Profit")</f>
        <v>Profit</v>
      </c>
    </row>
    <row r="698" spans="1:14" ht="15.6" x14ac:dyDescent="0.3">
      <c r="A698" s="31" t="s">
        <v>423</v>
      </c>
      <c r="B698" s="33">
        <v>46090</v>
      </c>
      <c r="C698" s="33">
        <v>46093</v>
      </c>
      <c r="D698" s="54" t="s">
        <v>1180</v>
      </c>
      <c r="E698" s="38" t="s">
        <v>1515</v>
      </c>
      <c r="F698" s="40" t="s">
        <v>1518</v>
      </c>
      <c r="G698" s="40" t="s">
        <v>1522</v>
      </c>
      <c r="H698" s="40" t="s">
        <v>1529</v>
      </c>
      <c r="I698" s="40" t="s">
        <v>1930</v>
      </c>
      <c r="J698" s="46">
        <v>3673.33</v>
      </c>
      <c r="K698" s="3">
        <v>9</v>
      </c>
      <c r="L698" s="43">
        <v>0</v>
      </c>
      <c r="M698" s="48">
        <v>-51.89</v>
      </c>
      <c r="N698" s="48" t="str">
        <f>IF(Table3[[#This Row],[Profit]]&lt;0,"Loss","Profit")</f>
        <v>Loss</v>
      </c>
    </row>
    <row r="699" spans="1:14" ht="15.6" x14ac:dyDescent="0.3">
      <c r="A699" s="31" t="s">
        <v>52</v>
      </c>
      <c r="B699" s="33">
        <v>46089</v>
      </c>
      <c r="C699" s="33">
        <v>46095</v>
      </c>
      <c r="D699" s="54" t="s">
        <v>821</v>
      </c>
      <c r="E699" s="38" t="s">
        <v>1515</v>
      </c>
      <c r="F699" s="40" t="s">
        <v>1518</v>
      </c>
      <c r="G699" s="40" t="s">
        <v>1522</v>
      </c>
      <c r="H699" s="40" t="s">
        <v>1531</v>
      </c>
      <c r="I699" s="40" t="s">
        <v>1571</v>
      </c>
      <c r="J699" s="46">
        <v>3867.04</v>
      </c>
      <c r="K699" s="3">
        <v>5</v>
      </c>
      <c r="L699" s="43">
        <v>0.05</v>
      </c>
      <c r="M699" s="48">
        <v>803.1</v>
      </c>
      <c r="N699" s="48" t="str">
        <f>IF(Table3[[#This Row],[Profit]]&lt;0,"Loss","Profit")</f>
        <v>Profit</v>
      </c>
    </row>
    <row r="700" spans="1:14" ht="15.6" x14ac:dyDescent="0.3">
      <c r="A700" s="31" t="s">
        <v>691</v>
      </c>
      <c r="B700" s="33">
        <v>46094</v>
      </c>
      <c r="C700" s="33">
        <v>46097</v>
      </c>
      <c r="D700" s="54" t="s">
        <v>1444</v>
      </c>
      <c r="E700" s="38" t="s">
        <v>1515</v>
      </c>
      <c r="F700" s="40" t="s">
        <v>1517</v>
      </c>
      <c r="G700" s="40" t="s">
        <v>1522</v>
      </c>
      <c r="H700" s="40" t="s">
        <v>1529</v>
      </c>
      <c r="I700" s="40" t="s">
        <v>2181</v>
      </c>
      <c r="J700" s="46">
        <v>848.61</v>
      </c>
      <c r="K700" s="3">
        <v>5</v>
      </c>
      <c r="L700" s="43">
        <v>0.2</v>
      </c>
      <c r="M700" s="48">
        <v>138.75</v>
      </c>
      <c r="N700" s="48" t="str">
        <f>IF(Table3[[#This Row],[Profit]]&lt;0,"Loss","Profit")</f>
        <v>Profit</v>
      </c>
    </row>
    <row r="701" spans="1:14" ht="15.6" x14ac:dyDescent="0.3">
      <c r="A701" s="31" t="s">
        <v>674</v>
      </c>
      <c r="B701" s="33">
        <v>46094</v>
      </c>
      <c r="C701" s="33">
        <v>46098</v>
      </c>
      <c r="D701" s="54" t="s">
        <v>1427</v>
      </c>
      <c r="E701" s="38" t="s">
        <v>1514</v>
      </c>
      <c r="F701" s="40" t="s">
        <v>1518</v>
      </c>
      <c r="G701" s="40" t="s">
        <v>1521</v>
      </c>
      <c r="H701" s="40" t="s">
        <v>1530</v>
      </c>
      <c r="I701" s="40" t="s">
        <v>2166</v>
      </c>
      <c r="J701" s="46">
        <v>3800.99</v>
      </c>
      <c r="K701" s="3">
        <v>2</v>
      </c>
      <c r="L701" s="43">
        <v>0.05</v>
      </c>
      <c r="M701" s="48">
        <v>1177.95</v>
      </c>
      <c r="N701" s="48" t="str">
        <f>IF(Table3[[#This Row],[Profit]]&lt;0,"Loss","Profit")</f>
        <v>Profit</v>
      </c>
    </row>
    <row r="702" spans="1:14" ht="15.6" x14ac:dyDescent="0.3">
      <c r="A702" s="31" t="s">
        <v>262</v>
      </c>
      <c r="B702" s="33">
        <v>46096</v>
      </c>
      <c r="C702" s="33">
        <v>46099</v>
      </c>
      <c r="D702" s="54" t="s">
        <v>1026</v>
      </c>
      <c r="E702" s="38" t="s">
        <v>1513</v>
      </c>
      <c r="F702" s="40" t="s">
        <v>1519</v>
      </c>
      <c r="G702" s="40" t="s">
        <v>1522</v>
      </c>
      <c r="H702" s="40" t="s">
        <v>1529</v>
      </c>
      <c r="I702" s="40" t="s">
        <v>1778</v>
      </c>
      <c r="J702" s="46">
        <v>4672.92</v>
      </c>
      <c r="K702" s="3">
        <v>1</v>
      </c>
      <c r="L702" s="43">
        <v>0.15</v>
      </c>
      <c r="M702" s="48">
        <v>1090.56</v>
      </c>
      <c r="N702" s="48" t="str">
        <f>IF(Table3[[#This Row],[Profit]]&lt;0,"Loss","Profit")</f>
        <v>Profit</v>
      </c>
    </row>
    <row r="703" spans="1:14" ht="15.6" x14ac:dyDescent="0.3">
      <c r="A703" s="31" t="s">
        <v>266</v>
      </c>
      <c r="B703" s="33">
        <v>46093</v>
      </c>
      <c r="C703" s="33">
        <v>46100</v>
      </c>
      <c r="D703" s="54" t="s">
        <v>1029</v>
      </c>
      <c r="E703" s="38" t="s">
        <v>1515</v>
      </c>
      <c r="F703" s="40" t="s">
        <v>1516</v>
      </c>
      <c r="G703" s="40" t="s">
        <v>1520</v>
      </c>
      <c r="H703" s="40" t="s">
        <v>1525</v>
      </c>
      <c r="I703" s="40" t="s">
        <v>1782</v>
      </c>
      <c r="J703" s="46">
        <v>4143.6000000000004</v>
      </c>
      <c r="K703" s="3">
        <v>9</v>
      </c>
      <c r="L703" s="43">
        <v>0.1</v>
      </c>
      <c r="M703" s="48">
        <v>-631.04999999999995</v>
      </c>
      <c r="N703" s="48" t="str">
        <f>IF(Table3[[#This Row],[Profit]]&lt;0,"Loss","Profit")</f>
        <v>Loss</v>
      </c>
    </row>
    <row r="704" spans="1:14" ht="15.6" x14ac:dyDescent="0.3">
      <c r="A704" s="31" t="s">
        <v>368</v>
      </c>
      <c r="B704" s="33">
        <v>46097</v>
      </c>
      <c r="C704" s="33">
        <v>46103</v>
      </c>
      <c r="D704" s="54" t="s">
        <v>1127</v>
      </c>
      <c r="E704" s="38" t="s">
        <v>1513</v>
      </c>
      <c r="F704" s="40" t="s">
        <v>1519</v>
      </c>
      <c r="G704" s="40" t="s">
        <v>1521</v>
      </c>
      <c r="H704" s="40" t="s">
        <v>1526</v>
      </c>
      <c r="I704" s="40" t="s">
        <v>1879</v>
      </c>
      <c r="J704" s="46">
        <v>3965.83</v>
      </c>
      <c r="K704" s="3">
        <v>4</v>
      </c>
      <c r="L704" s="43">
        <v>0.1</v>
      </c>
      <c r="M704" s="48">
        <v>612.88</v>
      </c>
      <c r="N704" s="48" t="str">
        <f>IF(Table3[[#This Row],[Profit]]&lt;0,"Loss","Profit")</f>
        <v>Profit</v>
      </c>
    </row>
    <row r="705" spans="1:14" ht="15.6" x14ac:dyDescent="0.3">
      <c r="A705" s="31" t="s">
        <v>311</v>
      </c>
      <c r="B705" s="33">
        <v>46096</v>
      </c>
      <c r="C705" s="33">
        <v>46105</v>
      </c>
      <c r="D705" s="54" t="s">
        <v>1073</v>
      </c>
      <c r="E705" s="38" t="s">
        <v>1515</v>
      </c>
      <c r="F705" s="40" t="s">
        <v>1519</v>
      </c>
      <c r="G705" s="40" t="s">
        <v>1520</v>
      </c>
      <c r="H705" s="40" t="s">
        <v>1524</v>
      </c>
      <c r="I705" s="40" t="s">
        <v>1629</v>
      </c>
      <c r="J705" s="46">
        <v>1692.06</v>
      </c>
      <c r="K705" s="3">
        <v>3</v>
      </c>
      <c r="L705" s="43">
        <v>0.2</v>
      </c>
      <c r="M705" s="48">
        <v>335.52</v>
      </c>
      <c r="N705" s="48" t="str">
        <f>IF(Table3[[#This Row],[Profit]]&lt;0,"Loss","Profit")</f>
        <v>Profit</v>
      </c>
    </row>
    <row r="706" spans="1:14" ht="15.6" x14ac:dyDescent="0.3">
      <c r="A706" s="31" t="s">
        <v>753</v>
      </c>
      <c r="B706" s="33">
        <v>46103</v>
      </c>
      <c r="C706" s="33">
        <v>46108</v>
      </c>
      <c r="D706" s="54" t="s">
        <v>1504</v>
      </c>
      <c r="E706" s="38" t="s">
        <v>1515</v>
      </c>
      <c r="F706" s="40" t="s">
        <v>1518</v>
      </c>
      <c r="G706" s="40" t="s">
        <v>1521</v>
      </c>
      <c r="H706" s="40" t="s">
        <v>1528</v>
      </c>
      <c r="I706" s="40" t="s">
        <v>2238</v>
      </c>
      <c r="J706" s="46">
        <v>1708.09</v>
      </c>
      <c r="K706" s="3">
        <v>5</v>
      </c>
      <c r="L706" s="43">
        <v>0</v>
      </c>
      <c r="M706" s="48">
        <v>-101.74</v>
      </c>
      <c r="N706" s="48" t="str">
        <f>IF(Table3[[#This Row],[Profit]]&lt;0,"Loss","Profit")</f>
        <v>Loss</v>
      </c>
    </row>
    <row r="707" spans="1:14" ht="15.6" x14ac:dyDescent="0.3">
      <c r="A707" s="31" t="s">
        <v>150</v>
      </c>
      <c r="B707" s="33">
        <v>46099</v>
      </c>
      <c r="C707" s="33">
        <v>46109</v>
      </c>
      <c r="D707" s="54" t="s">
        <v>917</v>
      </c>
      <c r="E707" s="38" t="s">
        <v>1513</v>
      </c>
      <c r="F707" s="40" t="s">
        <v>1517</v>
      </c>
      <c r="G707" s="40" t="s">
        <v>1520</v>
      </c>
      <c r="H707" s="40" t="s">
        <v>1523</v>
      </c>
      <c r="I707" s="40" t="s">
        <v>1668</v>
      </c>
      <c r="J707" s="46">
        <v>4856.91</v>
      </c>
      <c r="K707" s="3">
        <v>1</v>
      </c>
      <c r="L707" s="43">
        <v>0.1</v>
      </c>
      <c r="M707" s="48">
        <v>-320.74</v>
      </c>
      <c r="N707" s="48" t="str">
        <f>IF(Table3[[#This Row],[Profit]]&lt;0,"Loss","Profit")</f>
        <v>Loss</v>
      </c>
    </row>
    <row r="708" spans="1:14" ht="15.6" x14ac:dyDescent="0.3">
      <c r="A708" s="31" t="s">
        <v>333</v>
      </c>
      <c r="B708" s="33">
        <v>46104</v>
      </c>
      <c r="C708" s="33">
        <v>46109</v>
      </c>
      <c r="D708" s="54" t="s">
        <v>1093</v>
      </c>
      <c r="E708" s="38" t="s">
        <v>1515</v>
      </c>
      <c r="F708" s="40" t="s">
        <v>1517</v>
      </c>
      <c r="G708" s="40" t="s">
        <v>1521</v>
      </c>
      <c r="H708" s="40" t="s">
        <v>1530</v>
      </c>
      <c r="I708" s="40" t="s">
        <v>1844</v>
      </c>
      <c r="J708" s="46">
        <v>2109.08</v>
      </c>
      <c r="K708" s="3">
        <v>2</v>
      </c>
      <c r="L708" s="43">
        <v>0</v>
      </c>
      <c r="M708" s="48">
        <v>542.51</v>
      </c>
      <c r="N708" s="48" t="str">
        <f>IF(Table3[[#This Row],[Profit]]&lt;0,"Loss","Profit")</f>
        <v>Profit</v>
      </c>
    </row>
    <row r="709" spans="1:14" ht="15.6" x14ac:dyDescent="0.3">
      <c r="A709" s="31" t="s">
        <v>211</v>
      </c>
      <c r="B709" s="33">
        <v>46105</v>
      </c>
      <c r="C709" s="33">
        <v>46110</v>
      </c>
      <c r="D709" s="54" t="s">
        <v>976</v>
      </c>
      <c r="E709" s="38" t="s">
        <v>1515</v>
      </c>
      <c r="F709" s="40" t="s">
        <v>1518</v>
      </c>
      <c r="G709" s="40" t="s">
        <v>1520</v>
      </c>
      <c r="H709" s="40" t="s">
        <v>1524</v>
      </c>
      <c r="I709" s="40" t="s">
        <v>1728</v>
      </c>
      <c r="J709" s="46">
        <v>666.15</v>
      </c>
      <c r="K709" s="3">
        <v>6</v>
      </c>
      <c r="L709" s="43">
        <v>0.15</v>
      </c>
      <c r="M709" s="48">
        <v>192.66</v>
      </c>
      <c r="N709" s="48" t="str">
        <f>IF(Table3[[#This Row],[Profit]]&lt;0,"Loss","Profit")</f>
        <v>Profit</v>
      </c>
    </row>
    <row r="710" spans="1:14" ht="15.6" x14ac:dyDescent="0.3">
      <c r="A710" s="31" t="s">
        <v>737</v>
      </c>
      <c r="B710" s="33">
        <v>46109</v>
      </c>
      <c r="C710" s="33">
        <v>46112</v>
      </c>
      <c r="D710" s="54" t="s">
        <v>1489</v>
      </c>
      <c r="E710" s="38" t="s">
        <v>1515</v>
      </c>
      <c r="F710" s="40" t="s">
        <v>1517</v>
      </c>
      <c r="G710" s="40" t="s">
        <v>1521</v>
      </c>
      <c r="H710" s="40" t="s">
        <v>1530</v>
      </c>
      <c r="I710" s="40" t="s">
        <v>2223</v>
      </c>
      <c r="J710" s="46">
        <v>2152.62</v>
      </c>
      <c r="K710" s="3">
        <v>1</v>
      </c>
      <c r="L710" s="43">
        <v>0.2</v>
      </c>
      <c r="M710" s="48">
        <v>159.26</v>
      </c>
      <c r="N710" s="48" t="str">
        <f>IF(Table3[[#This Row],[Profit]]&lt;0,"Loss","Profit")</f>
        <v>Profit</v>
      </c>
    </row>
    <row r="711" spans="1:14" ht="15.6" x14ac:dyDescent="0.3">
      <c r="A711" s="31" t="s">
        <v>762</v>
      </c>
      <c r="B711" s="33">
        <v>46104</v>
      </c>
      <c r="C711" s="33">
        <v>46113</v>
      </c>
      <c r="D711" s="54" t="s">
        <v>1512</v>
      </c>
      <c r="E711" s="38" t="s">
        <v>1514</v>
      </c>
      <c r="F711" s="40" t="s">
        <v>1519</v>
      </c>
      <c r="G711" s="40" t="s">
        <v>1522</v>
      </c>
      <c r="H711" s="40" t="s">
        <v>1531</v>
      </c>
      <c r="I711" s="40" t="s">
        <v>2246</v>
      </c>
      <c r="J711" s="46">
        <v>3855.1</v>
      </c>
      <c r="K711" s="3">
        <v>4</v>
      </c>
      <c r="L711" s="43">
        <v>0.2</v>
      </c>
      <c r="M711" s="48">
        <v>593.04999999999995</v>
      </c>
      <c r="N711" s="48" t="str">
        <f>IF(Table3[[#This Row],[Profit]]&lt;0,"Loss","Profit")</f>
        <v>Profit</v>
      </c>
    </row>
    <row r="712" spans="1:14" ht="15.6" x14ac:dyDescent="0.3">
      <c r="A712" s="31" t="s">
        <v>527</v>
      </c>
      <c r="B712" s="33">
        <v>46107</v>
      </c>
      <c r="C712" s="33">
        <v>46116</v>
      </c>
      <c r="D712" s="54" t="s">
        <v>1282</v>
      </c>
      <c r="E712" s="38" t="s">
        <v>1515</v>
      </c>
      <c r="F712" s="40" t="s">
        <v>1519</v>
      </c>
      <c r="G712" s="40" t="s">
        <v>1520</v>
      </c>
      <c r="H712" s="40" t="s">
        <v>1524</v>
      </c>
      <c r="I712" s="40" t="s">
        <v>1599</v>
      </c>
      <c r="J712" s="46">
        <v>1510.14</v>
      </c>
      <c r="K712" s="3">
        <v>3</v>
      </c>
      <c r="L712" s="43">
        <v>0.1</v>
      </c>
      <c r="M712" s="48">
        <v>260.51</v>
      </c>
      <c r="N712" s="48" t="str">
        <f>IF(Table3[[#This Row],[Profit]]&lt;0,"Loss","Profit")</f>
        <v>Profit</v>
      </c>
    </row>
    <row r="713" spans="1:14" ht="15.6" x14ac:dyDescent="0.3">
      <c r="A713" s="31" t="s">
        <v>112</v>
      </c>
      <c r="B713" s="33">
        <v>46108</v>
      </c>
      <c r="C713" s="33">
        <v>46118</v>
      </c>
      <c r="D713" s="54" t="s">
        <v>880</v>
      </c>
      <c r="E713" s="38" t="s">
        <v>1514</v>
      </c>
      <c r="F713" s="40" t="s">
        <v>1519</v>
      </c>
      <c r="G713" s="40" t="s">
        <v>1520</v>
      </c>
      <c r="H713" s="40" t="s">
        <v>1524</v>
      </c>
      <c r="I713" s="40" t="s">
        <v>1630</v>
      </c>
      <c r="J713" s="46">
        <v>249.15</v>
      </c>
      <c r="K713" s="3">
        <v>3</v>
      </c>
      <c r="L713" s="43">
        <v>0.15</v>
      </c>
      <c r="M713" s="48">
        <v>21.28</v>
      </c>
      <c r="N713" s="48" t="str">
        <f>IF(Table3[[#This Row],[Profit]]&lt;0,"Loss","Profit")</f>
        <v>Profit</v>
      </c>
    </row>
    <row r="714" spans="1:14" ht="15.6" x14ac:dyDescent="0.3">
      <c r="A714" s="31" t="s">
        <v>121</v>
      </c>
      <c r="B714" s="33">
        <v>46109</v>
      </c>
      <c r="C714" s="33">
        <v>46119</v>
      </c>
      <c r="D714" s="54" t="s">
        <v>889</v>
      </c>
      <c r="E714" s="38" t="s">
        <v>1515</v>
      </c>
      <c r="F714" s="40" t="s">
        <v>1519</v>
      </c>
      <c r="G714" s="40" t="s">
        <v>1521</v>
      </c>
      <c r="H714" s="40" t="s">
        <v>1530</v>
      </c>
      <c r="I714" s="40" t="s">
        <v>1639</v>
      </c>
      <c r="J714" s="46">
        <v>2565.79</v>
      </c>
      <c r="K714" s="3">
        <v>3</v>
      </c>
      <c r="L714" s="43">
        <v>0</v>
      </c>
      <c r="M714" s="48">
        <v>-123.32</v>
      </c>
      <c r="N714" s="48" t="str">
        <f>IF(Table3[[#This Row],[Profit]]&lt;0,"Loss","Profit")</f>
        <v>Loss</v>
      </c>
    </row>
    <row r="715" spans="1:14" ht="15.6" x14ac:dyDescent="0.3">
      <c r="A715" s="31" t="s">
        <v>447</v>
      </c>
      <c r="B715" s="33">
        <v>46117</v>
      </c>
      <c r="C715" s="33">
        <v>46120</v>
      </c>
      <c r="D715" s="54" t="s">
        <v>1204</v>
      </c>
      <c r="E715" s="38" t="s">
        <v>1515</v>
      </c>
      <c r="F715" s="40" t="s">
        <v>1517</v>
      </c>
      <c r="G715" s="40" t="s">
        <v>1520</v>
      </c>
      <c r="H715" s="40" t="s">
        <v>1524</v>
      </c>
      <c r="I715" s="40" t="s">
        <v>1953</v>
      </c>
      <c r="J715" s="46">
        <v>4804.58</v>
      </c>
      <c r="K715" s="3">
        <v>8</v>
      </c>
      <c r="L715" s="43">
        <v>0.2</v>
      </c>
      <c r="M715" s="48">
        <v>495.99</v>
      </c>
      <c r="N715" s="48" t="str">
        <f>IF(Table3[[#This Row],[Profit]]&lt;0,"Loss","Profit")</f>
        <v>Profit</v>
      </c>
    </row>
    <row r="716" spans="1:14" ht="15.6" x14ac:dyDescent="0.3">
      <c r="A716" s="31" t="s">
        <v>129</v>
      </c>
      <c r="B716" s="33">
        <v>46120</v>
      </c>
      <c r="C716" s="33">
        <v>46122</v>
      </c>
      <c r="D716" s="54" t="s">
        <v>1239</v>
      </c>
      <c r="E716" s="38" t="s">
        <v>1513</v>
      </c>
      <c r="F716" s="40" t="s">
        <v>1518</v>
      </c>
      <c r="G716" s="40" t="s">
        <v>1522</v>
      </c>
      <c r="H716" s="40" t="s">
        <v>1527</v>
      </c>
      <c r="I716" s="40" t="s">
        <v>1647</v>
      </c>
      <c r="J716" s="46">
        <v>2198.16</v>
      </c>
      <c r="K716" s="3">
        <v>2</v>
      </c>
      <c r="L716" s="43">
        <v>0.2</v>
      </c>
      <c r="M716" s="48">
        <v>411.36</v>
      </c>
      <c r="N716" s="48" t="str">
        <f>IF(Table3[[#This Row],[Profit]]&lt;0,"Loss","Profit")</f>
        <v>Profit</v>
      </c>
    </row>
    <row r="717" spans="1:14" ht="15.6" x14ac:dyDescent="0.3">
      <c r="A717" s="31" t="s">
        <v>493</v>
      </c>
      <c r="B717" s="33">
        <v>46124</v>
      </c>
      <c r="C717" s="33">
        <v>46125</v>
      </c>
      <c r="D717" s="54" t="s">
        <v>1249</v>
      </c>
      <c r="E717" s="38" t="s">
        <v>1515</v>
      </c>
      <c r="F717" s="40" t="s">
        <v>1518</v>
      </c>
      <c r="G717" s="40" t="s">
        <v>1521</v>
      </c>
      <c r="H717" s="40" t="s">
        <v>1526</v>
      </c>
      <c r="I717" s="40" t="s">
        <v>1996</v>
      </c>
      <c r="J717" s="46">
        <v>4092.11</v>
      </c>
      <c r="K717" s="3">
        <v>8</v>
      </c>
      <c r="L717" s="43">
        <v>0.1</v>
      </c>
      <c r="M717" s="48">
        <v>442.29</v>
      </c>
      <c r="N717" s="48" t="str">
        <f>IF(Table3[[#This Row],[Profit]]&lt;0,"Loss","Profit")</f>
        <v>Profit</v>
      </c>
    </row>
    <row r="718" spans="1:14" ht="15.6" x14ac:dyDescent="0.3">
      <c r="A718" s="31" t="s">
        <v>642</v>
      </c>
      <c r="B718" s="33">
        <v>46117</v>
      </c>
      <c r="C718" s="33">
        <v>46126</v>
      </c>
      <c r="D718" s="54" t="s">
        <v>1396</v>
      </c>
      <c r="E718" s="38" t="s">
        <v>1514</v>
      </c>
      <c r="F718" s="40" t="s">
        <v>1519</v>
      </c>
      <c r="G718" s="40" t="s">
        <v>1520</v>
      </c>
      <c r="H718" s="40" t="s">
        <v>1525</v>
      </c>
      <c r="I718" s="40" t="s">
        <v>2138</v>
      </c>
      <c r="J718" s="46">
        <v>2874.81</v>
      </c>
      <c r="K718" s="3">
        <v>10</v>
      </c>
      <c r="L718" s="43">
        <v>0.05</v>
      </c>
      <c r="M718" s="48">
        <v>-425.88</v>
      </c>
      <c r="N718" s="48" t="str">
        <f>IF(Table3[[#This Row],[Profit]]&lt;0,"Loss","Profit")</f>
        <v>Loss</v>
      </c>
    </row>
    <row r="719" spans="1:14" ht="15.6" x14ac:dyDescent="0.3">
      <c r="A719" s="31" t="s">
        <v>80</v>
      </c>
      <c r="B719" s="33">
        <v>46123</v>
      </c>
      <c r="C719" s="33">
        <v>46126</v>
      </c>
      <c r="D719" s="54" t="s">
        <v>849</v>
      </c>
      <c r="E719" s="38" t="s">
        <v>1514</v>
      </c>
      <c r="F719" s="40" t="s">
        <v>1517</v>
      </c>
      <c r="G719" s="40" t="s">
        <v>1520</v>
      </c>
      <c r="H719" s="40" t="s">
        <v>1524</v>
      </c>
      <c r="I719" s="40" t="s">
        <v>1599</v>
      </c>
      <c r="J719" s="46">
        <v>4340.91</v>
      </c>
      <c r="K719" s="3">
        <v>3</v>
      </c>
      <c r="L719" s="43">
        <v>0</v>
      </c>
      <c r="M719" s="48">
        <v>-247.06</v>
      </c>
      <c r="N719" s="48" t="str">
        <f>IF(Table3[[#This Row],[Profit]]&lt;0,"Loss","Profit")</f>
        <v>Loss</v>
      </c>
    </row>
    <row r="720" spans="1:14" ht="15.6" x14ac:dyDescent="0.3">
      <c r="A720" s="31" t="s">
        <v>582</v>
      </c>
      <c r="B720" s="33">
        <v>46122</v>
      </c>
      <c r="C720" s="33">
        <v>46127</v>
      </c>
      <c r="D720" s="54" t="s">
        <v>1336</v>
      </c>
      <c r="E720" s="38" t="s">
        <v>1515</v>
      </c>
      <c r="F720" s="40" t="s">
        <v>1517</v>
      </c>
      <c r="G720" s="40" t="s">
        <v>1521</v>
      </c>
      <c r="H720" s="40" t="s">
        <v>1528</v>
      </c>
      <c r="I720" s="40" t="s">
        <v>1756</v>
      </c>
      <c r="J720" s="46">
        <v>2479.4899999999998</v>
      </c>
      <c r="K720" s="3">
        <v>9</v>
      </c>
      <c r="L720" s="43">
        <v>0.1</v>
      </c>
      <c r="M720" s="48">
        <v>46.7</v>
      </c>
      <c r="N720" s="48" t="str">
        <f>IF(Table3[[#This Row],[Profit]]&lt;0,"Loss","Profit")</f>
        <v>Profit</v>
      </c>
    </row>
    <row r="721" spans="1:14" ht="15.6" x14ac:dyDescent="0.3">
      <c r="A721" s="31" t="s">
        <v>165</v>
      </c>
      <c r="B721" s="33">
        <v>46123</v>
      </c>
      <c r="C721" s="33">
        <v>46128</v>
      </c>
      <c r="D721" s="54" t="s">
        <v>932</v>
      </c>
      <c r="E721" s="38" t="s">
        <v>1514</v>
      </c>
      <c r="F721" s="40" t="s">
        <v>1519</v>
      </c>
      <c r="G721" s="40" t="s">
        <v>1520</v>
      </c>
      <c r="H721" s="40" t="s">
        <v>1525</v>
      </c>
      <c r="I721" s="40" t="s">
        <v>1683</v>
      </c>
      <c r="J721" s="46">
        <v>193.32</v>
      </c>
      <c r="K721" s="3">
        <v>5</v>
      </c>
      <c r="L721" s="43">
        <v>0.2</v>
      </c>
      <c r="M721" s="48">
        <v>42.4</v>
      </c>
      <c r="N721" s="48" t="str">
        <f>IF(Table3[[#This Row],[Profit]]&lt;0,"Loss","Profit")</f>
        <v>Profit</v>
      </c>
    </row>
    <row r="722" spans="1:14" ht="15.6" x14ac:dyDescent="0.3">
      <c r="A722" s="31" t="s">
        <v>411</v>
      </c>
      <c r="B722" s="33">
        <v>46125</v>
      </c>
      <c r="C722" s="33">
        <v>46128</v>
      </c>
      <c r="D722" s="54" t="s">
        <v>1169</v>
      </c>
      <c r="E722" s="38" t="s">
        <v>1513</v>
      </c>
      <c r="F722" s="40" t="s">
        <v>1517</v>
      </c>
      <c r="G722" s="40" t="s">
        <v>1520</v>
      </c>
      <c r="H722" s="40" t="s">
        <v>1523</v>
      </c>
      <c r="I722" s="40" t="s">
        <v>1920</v>
      </c>
      <c r="J722" s="46">
        <v>1736.76</v>
      </c>
      <c r="K722" s="3">
        <v>3</v>
      </c>
      <c r="L722" s="43">
        <v>0.1</v>
      </c>
      <c r="M722" s="48">
        <v>-290.45999999999998</v>
      </c>
      <c r="N722" s="48" t="str">
        <f>IF(Table3[[#This Row],[Profit]]&lt;0,"Loss","Profit")</f>
        <v>Loss</v>
      </c>
    </row>
    <row r="723" spans="1:14" ht="15.6" x14ac:dyDescent="0.3">
      <c r="A723" s="31" t="s">
        <v>466</v>
      </c>
      <c r="B723" s="33">
        <v>46129</v>
      </c>
      <c r="C723" s="33">
        <v>46130</v>
      </c>
      <c r="D723" s="54" t="s">
        <v>1223</v>
      </c>
      <c r="E723" s="38" t="s">
        <v>1513</v>
      </c>
      <c r="F723" s="40" t="s">
        <v>1517</v>
      </c>
      <c r="G723" s="40" t="s">
        <v>1520</v>
      </c>
      <c r="H723" s="40" t="s">
        <v>1524</v>
      </c>
      <c r="I723" s="40" t="s">
        <v>1970</v>
      </c>
      <c r="J723" s="46">
        <v>4465.43</v>
      </c>
      <c r="K723" s="3">
        <v>9</v>
      </c>
      <c r="L723" s="43">
        <v>0.05</v>
      </c>
      <c r="M723" s="48">
        <v>-849.08</v>
      </c>
      <c r="N723" s="48" t="str">
        <f>IF(Table3[[#This Row],[Profit]]&lt;0,"Loss","Profit")</f>
        <v>Loss</v>
      </c>
    </row>
    <row r="724" spans="1:14" ht="15.6" x14ac:dyDescent="0.3">
      <c r="A724" s="31" t="s">
        <v>77</v>
      </c>
      <c r="B724" s="33">
        <v>46122</v>
      </c>
      <c r="C724" s="33">
        <v>46131</v>
      </c>
      <c r="D724" s="54" t="s">
        <v>846</v>
      </c>
      <c r="E724" s="38" t="s">
        <v>1514</v>
      </c>
      <c r="F724" s="40" t="s">
        <v>1517</v>
      </c>
      <c r="G724" s="40" t="s">
        <v>1521</v>
      </c>
      <c r="H724" s="40" t="s">
        <v>1526</v>
      </c>
      <c r="I724" s="40" t="s">
        <v>1596</v>
      </c>
      <c r="J724" s="46">
        <v>3750.2</v>
      </c>
      <c r="K724" s="3">
        <v>9</v>
      </c>
      <c r="L724" s="43">
        <v>0.2</v>
      </c>
      <c r="M724" s="48">
        <v>1101.79</v>
      </c>
      <c r="N724" s="48" t="str">
        <f>IF(Table3[[#This Row],[Profit]]&lt;0,"Loss","Profit")</f>
        <v>Profit</v>
      </c>
    </row>
    <row r="725" spans="1:14" ht="15.6" x14ac:dyDescent="0.3">
      <c r="A725" s="31" t="s">
        <v>421</v>
      </c>
      <c r="B725" s="33" t="s">
        <v>772</v>
      </c>
      <c r="C725" s="33">
        <v>46133</v>
      </c>
      <c r="D725" s="54" t="s">
        <v>1178</v>
      </c>
      <c r="E725" s="38" t="s">
        <v>1513</v>
      </c>
      <c r="F725" s="40" t="s">
        <v>1517</v>
      </c>
      <c r="G725" s="40" t="s">
        <v>1520</v>
      </c>
      <c r="H725" s="40" t="s">
        <v>1524</v>
      </c>
      <c r="I725" s="40" t="s">
        <v>1928</v>
      </c>
      <c r="J725" s="46">
        <v>4152.59</v>
      </c>
      <c r="K725" s="3">
        <v>10</v>
      </c>
      <c r="L725" s="43">
        <v>0.2</v>
      </c>
      <c r="M725" s="48">
        <v>901.25</v>
      </c>
      <c r="N725" s="48" t="str">
        <f>IF(Table3[[#This Row],[Profit]]&lt;0,"Loss","Profit")</f>
        <v>Profit</v>
      </c>
    </row>
    <row r="726" spans="1:14" ht="15.6" x14ac:dyDescent="0.3">
      <c r="A726" s="31" t="s">
        <v>226</v>
      </c>
      <c r="B726" s="33">
        <v>46134</v>
      </c>
      <c r="C726" s="33">
        <v>46136</v>
      </c>
      <c r="D726" s="54" t="s">
        <v>990</v>
      </c>
      <c r="E726" s="38" t="s">
        <v>1515</v>
      </c>
      <c r="F726" s="40" t="s">
        <v>1517</v>
      </c>
      <c r="G726" s="40" t="s">
        <v>1522</v>
      </c>
      <c r="H726" s="40" t="s">
        <v>1529</v>
      </c>
      <c r="I726" s="40" t="s">
        <v>1742</v>
      </c>
      <c r="J726" s="46">
        <v>2277.37</v>
      </c>
      <c r="K726" s="3">
        <v>9</v>
      </c>
      <c r="L726" s="43">
        <v>0.1</v>
      </c>
      <c r="M726" s="48">
        <v>-294.73</v>
      </c>
      <c r="N726" s="48" t="str">
        <f>IF(Table3[[#This Row],[Profit]]&lt;0,"Loss","Profit")</f>
        <v>Loss</v>
      </c>
    </row>
    <row r="727" spans="1:14" ht="15.6" x14ac:dyDescent="0.3">
      <c r="A727" s="31" t="s">
        <v>716</v>
      </c>
      <c r="B727" s="33">
        <v>46135</v>
      </c>
      <c r="C727" s="33">
        <v>46136</v>
      </c>
      <c r="D727" s="54" t="s">
        <v>1468</v>
      </c>
      <c r="E727" s="38" t="s">
        <v>1513</v>
      </c>
      <c r="F727" s="40" t="s">
        <v>1518</v>
      </c>
      <c r="G727" s="40" t="s">
        <v>1521</v>
      </c>
      <c r="H727" s="40" t="s">
        <v>1528</v>
      </c>
      <c r="I727" s="40" t="s">
        <v>2203</v>
      </c>
      <c r="J727" s="46">
        <v>574.34</v>
      </c>
      <c r="K727" s="3">
        <v>1</v>
      </c>
      <c r="L727" s="43">
        <v>0</v>
      </c>
      <c r="M727" s="48">
        <v>19.850000000000001</v>
      </c>
      <c r="N727" s="48" t="str">
        <f>IF(Table3[[#This Row],[Profit]]&lt;0,"Loss","Profit")</f>
        <v>Profit</v>
      </c>
    </row>
    <row r="728" spans="1:14" ht="15.6" x14ac:dyDescent="0.3">
      <c r="A728" s="31" t="s">
        <v>345</v>
      </c>
      <c r="B728" s="33">
        <v>46129</v>
      </c>
      <c r="C728" s="33">
        <v>46137</v>
      </c>
      <c r="D728" s="54" t="s">
        <v>1105</v>
      </c>
      <c r="E728" s="38" t="s">
        <v>1514</v>
      </c>
      <c r="F728" s="40" t="s">
        <v>1518</v>
      </c>
      <c r="G728" s="40" t="s">
        <v>1521</v>
      </c>
      <c r="H728" s="40" t="s">
        <v>1530</v>
      </c>
      <c r="I728" s="40" t="s">
        <v>1856</v>
      </c>
      <c r="J728" s="46">
        <v>725.85</v>
      </c>
      <c r="K728" s="3">
        <v>7</v>
      </c>
      <c r="L728" s="43">
        <v>0.2</v>
      </c>
      <c r="M728" s="48">
        <v>56.61</v>
      </c>
      <c r="N728" s="48" t="str">
        <f>IF(Table3[[#This Row],[Profit]]&lt;0,"Loss","Profit")</f>
        <v>Profit</v>
      </c>
    </row>
    <row r="729" spans="1:14" ht="15.6" x14ac:dyDescent="0.3">
      <c r="A729" s="31" t="s">
        <v>736</v>
      </c>
      <c r="B729" s="33">
        <v>46130</v>
      </c>
      <c r="C729" s="33">
        <v>46137</v>
      </c>
      <c r="D729" s="54" t="s">
        <v>1488</v>
      </c>
      <c r="E729" s="38" t="s">
        <v>1514</v>
      </c>
      <c r="F729" s="40" t="s">
        <v>1518</v>
      </c>
      <c r="G729" s="40" t="s">
        <v>1520</v>
      </c>
      <c r="H729" s="40" t="s">
        <v>1525</v>
      </c>
      <c r="I729" s="40" t="s">
        <v>2222</v>
      </c>
      <c r="J729" s="46">
        <v>3135.08</v>
      </c>
      <c r="K729" s="3">
        <v>8</v>
      </c>
      <c r="L729" s="43">
        <v>0.2</v>
      </c>
      <c r="M729" s="48">
        <v>104.3</v>
      </c>
      <c r="N729" s="48" t="str">
        <f>IF(Table3[[#This Row],[Profit]]&lt;0,"Loss","Profit")</f>
        <v>Profit</v>
      </c>
    </row>
    <row r="730" spans="1:14" ht="15.6" x14ac:dyDescent="0.3">
      <c r="A730" s="31" t="s">
        <v>534</v>
      </c>
      <c r="B730" s="33">
        <v>46137</v>
      </c>
      <c r="C730" s="33">
        <v>46140</v>
      </c>
      <c r="D730" s="54" t="s">
        <v>1289</v>
      </c>
      <c r="E730" s="38" t="s">
        <v>1515</v>
      </c>
      <c r="F730" s="40" t="s">
        <v>1518</v>
      </c>
      <c r="G730" s="40" t="s">
        <v>1521</v>
      </c>
      <c r="H730" s="40" t="s">
        <v>1526</v>
      </c>
      <c r="I730" s="40" t="s">
        <v>2035</v>
      </c>
      <c r="J730" s="46">
        <v>73.92</v>
      </c>
      <c r="K730" s="3">
        <v>4</v>
      </c>
      <c r="L730" s="43">
        <v>0.05</v>
      </c>
      <c r="M730" s="48">
        <v>14.17</v>
      </c>
      <c r="N730" s="48" t="str">
        <f>IF(Table3[[#This Row],[Profit]]&lt;0,"Loss","Profit")</f>
        <v>Profit</v>
      </c>
    </row>
    <row r="731" spans="1:14" ht="15.6" x14ac:dyDescent="0.3">
      <c r="A731" s="31" t="s">
        <v>677</v>
      </c>
      <c r="B731" s="33">
        <v>46133</v>
      </c>
      <c r="C731" s="33">
        <v>46141</v>
      </c>
      <c r="D731" s="54" t="s">
        <v>1430</v>
      </c>
      <c r="E731" s="38" t="s">
        <v>1514</v>
      </c>
      <c r="F731" s="40" t="s">
        <v>1516</v>
      </c>
      <c r="G731" s="40" t="s">
        <v>1520</v>
      </c>
      <c r="H731" s="40" t="s">
        <v>1523</v>
      </c>
      <c r="I731" s="40" t="s">
        <v>2169</v>
      </c>
      <c r="J731" s="46">
        <v>2311.66</v>
      </c>
      <c r="K731" s="3">
        <v>1</v>
      </c>
      <c r="L731" s="43">
        <v>0.05</v>
      </c>
      <c r="M731" s="48">
        <v>197.15</v>
      </c>
      <c r="N731" s="48" t="str">
        <f>IF(Table3[[#This Row],[Profit]]&lt;0,"Loss","Profit")</f>
        <v>Profit</v>
      </c>
    </row>
    <row r="732" spans="1:14" ht="15.6" x14ac:dyDescent="0.3">
      <c r="A732" s="31" t="s">
        <v>177</v>
      </c>
      <c r="B732" s="33">
        <v>46139</v>
      </c>
      <c r="C732" s="33">
        <v>46145</v>
      </c>
      <c r="D732" s="54" t="s">
        <v>943</v>
      </c>
      <c r="E732" s="38" t="s">
        <v>1513</v>
      </c>
      <c r="F732" s="40" t="s">
        <v>1517</v>
      </c>
      <c r="G732" s="40" t="s">
        <v>1521</v>
      </c>
      <c r="H732" s="40" t="s">
        <v>1526</v>
      </c>
      <c r="I732" s="40" t="s">
        <v>1695</v>
      </c>
      <c r="J732" s="46">
        <v>1146.78</v>
      </c>
      <c r="K732" s="3">
        <v>3</v>
      </c>
      <c r="L732" s="43">
        <v>0</v>
      </c>
      <c r="M732" s="48">
        <v>92.62</v>
      </c>
      <c r="N732" s="48" t="str">
        <f>IF(Table3[[#This Row],[Profit]]&lt;0,"Loss","Profit")</f>
        <v>Profit</v>
      </c>
    </row>
    <row r="733" spans="1:14" ht="15.6" x14ac:dyDescent="0.3">
      <c r="A733" s="31" t="s">
        <v>174</v>
      </c>
      <c r="B733" s="33">
        <v>46145</v>
      </c>
      <c r="C733" s="33">
        <v>46146</v>
      </c>
      <c r="D733" s="54" t="s">
        <v>940</v>
      </c>
      <c r="E733" s="38" t="s">
        <v>1515</v>
      </c>
      <c r="F733" s="40" t="s">
        <v>1518</v>
      </c>
      <c r="G733" s="40" t="s">
        <v>1521</v>
      </c>
      <c r="H733" s="40" t="s">
        <v>1528</v>
      </c>
      <c r="I733" s="40" t="s">
        <v>1692</v>
      </c>
      <c r="J733" s="46">
        <v>2209.29</v>
      </c>
      <c r="K733" s="3">
        <v>8</v>
      </c>
      <c r="L733" s="43">
        <v>0</v>
      </c>
      <c r="M733" s="48">
        <v>605.70000000000005</v>
      </c>
      <c r="N733" s="48" t="str">
        <f>IF(Table3[[#This Row],[Profit]]&lt;0,"Loss","Profit")</f>
        <v>Profit</v>
      </c>
    </row>
    <row r="734" spans="1:14" ht="15.6" x14ac:dyDescent="0.3">
      <c r="A734" s="31" t="s">
        <v>352</v>
      </c>
      <c r="B734" s="33">
        <v>46145</v>
      </c>
      <c r="C734" s="33">
        <v>46146</v>
      </c>
      <c r="D734" s="54" t="s">
        <v>1111</v>
      </c>
      <c r="E734" s="38" t="s">
        <v>1513</v>
      </c>
      <c r="F734" s="40" t="s">
        <v>1519</v>
      </c>
      <c r="G734" s="40" t="s">
        <v>1522</v>
      </c>
      <c r="H734" s="40" t="s">
        <v>1531</v>
      </c>
      <c r="I734" s="40" t="s">
        <v>1863</v>
      </c>
      <c r="J734" s="46">
        <v>2871.87</v>
      </c>
      <c r="K734" s="3">
        <v>9</v>
      </c>
      <c r="L734" s="43">
        <v>0.1</v>
      </c>
      <c r="M734" s="48">
        <v>368.38</v>
      </c>
      <c r="N734" s="48" t="str">
        <f>IF(Table3[[#This Row],[Profit]]&lt;0,"Loss","Profit")</f>
        <v>Profit</v>
      </c>
    </row>
    <row r="735" spans="1:14" ht="15.6" x14ac:dyDescent="0.3">
      <c r="A735" s="31" t="s">
        <v>570</v>
      </c>
      <c r="B735" s="33">
        <v>46146</v>
      </c>
      <c r="C735" s="33">
        <v>46147</v>
      </c>
      <c r="D735" s="54" t="s">
        <v>1324</v>
      </c>
      <c r="E735" s="38" t="s">
        <v>1514</v>
      </c>
      <c r="F735" s="40" t="s">
        <v>1518</v>
      </c>
      <c r="G735" s="40" t="s">
        <v>1520</v>
      </c>
      <c r="H735" s="40" t="s">
        <v>1523</v>
      </c>
      <c r="I735" s="40" t="s">
        <v>2070</v>
      </c>
      <c r="J735" s="46">
        <v>1830.71</v>
      </c>
      <c r="K735" s="3">
        <v>1</v>
      </c>
      <c r="L735" s="43">
        <v>0.05</v>
      </c>
      <c r="M735" s="48">
        <v>-278.7</v>
      </c>
      <c r="N735" s="48" t="str">
        <f>IF(Table3[[#This Row],[Profit]]&lt;0,"Loss","Profit")</f>
        <v>Loss</v>
      </c>
    </row>
    <row r="736" spans="1:14" ht="15.6" x14ac:dyDescent="0.3">
      <c r="A736" s="31" t="s">
        <v>660</v>
      </c>
      <c r="B736" s="33">
        <v>46144</v>
      </c>
      <c r="C736" s="33">
        <v>46149</v>
      </c>
      <c r="D736" s="54" t="s">
        <v>1413</v>
      </c>
      <c r="E736" s="38" t="s">
        <v>1515</v>
      </c>
      <c r="F736" s="40" t="s">
        <v>1518</v>
      </c>
      <c r="G736" s="40" t="s">
        <v>1522</v>
      </c>
      <c r="H736" s="40" t="s">
        <v>1529</v>
      </c>
      <c r="I736" s="40" t="s">
        <v>2154</v>
      </c>
      <c r="J736" s="46">
        <v>3331.76</v>
      </c>
      <c r="K736" s="3">
        <v>6</v>
      </c>
      <c r="L736" s="43">
        <v>0</v>
      </c>
      <c r="M736" s="48">
        <v>-631.39</v>
      </c>
      <c r="N736" s="48" t="str">
        <f>IF(Table3[[#This Row],[Profit]]&lt;0,"Loss","Profit")</f>
        <v>Loss</v>
      </c>
    </row>
    <row r="737" spans="1:14" ht="15.6" x14ac:dyDescent="0.3">
      <c r="A737" s="31" t="s">
        <v>232</v>
      </c>
      <c r="B737" s="33">
        <v>46149</v>
      </c>
      <c r="C737" s="33">
        <v>46150</v>
      </c>
      <c r="D737" s="54" t="s">
        <v>996</v>
      </c>
      <c r="E737" s="38" t="s">
        <v>1514</v>
      </c>
      <c r="F737" s="40" t="s">
        <v>1518</v>
      </c>
      <c r="G737" s="40" t="s">
        <v>1520</v>
      </c>
      <c r="H737" s="40" t="s">
        <v>1525</v>
      </c>
      <c r="I737" s="40" t="s">
        <v>1748</v>
      </c>
      <c r="J737" s="46">
        <v>2515.29</v>
      </c>
      <c r="K737" s="3">
        <v>9</v>
      </c>
      <c r="L737" s="43">
        <v>0.1</v>
      </c>
      <c r="M737" s="48">
        <v>384.96</v>
      </c>
      <c r="N737" s="48" t="str">
        <f>IF(Table3[[#This Row],[Profit]]&lt;0,"Loss","Profit")</f>
        <v>Profit</v>
      </c>
    </row>
    <row r="738" spans="1:14" ht="15.6" x14ac:dyDescent="0.3">
      <c r="A738" s="31" t="s">
        <v>43</v>
      </c>
      <c r="B738" s="33">
        <v>46145</v>
      </c>
      <c r="C738" s="33">
        <v>46154</v>
      </c>
      <c r="D738" s="54" t="s">
        <v>812</v>
      </c>
      <c r="E738" s="38" t="s">
        <v>1514</v>
      </c>
      <c r="F738" s="40" t="s">
        <v>1517</v>
      </c>
      <c r="G738" s="40" t="s">
        <v>1520</v>
      </c>
      <c r="H738" s="40" t="s">
        <v>1525</v>
      </c>
      <c r="I738" s="40" t="s">
        <v>1562</v>
      </c>
      <c r="J738" s="46">
        <v>351.74</v>
      </c>
      <c r="K738" s="3">
        <v>6</v>
      </c>
      <c r="L738" s="43">
        <v>0</v>
      </c>
      <c r="M738" s="48">
        <v>-60.65</v>
      </c>
      <c r="N738" s="48" t="str">
        <f>IF(Table3[[#This Row],[Profit]]&lt;0,"Loss","Profit")</f>
        <v>Loss</v>
      </c>
    </row>
    <row r="739" spans="1:14" ht="15.6" x14ac:dyDescent="0.3">
      <c r="A739" s="31" t="s">
        <v>639</v>
      </c>
      <c r="B739" s="33">
        <v>46145</v>
      </c>
      <c r="C739" s="33">
        <v>46155</v>
      </c>
      <c r="D739" s="54" t="s">
        <v>1393</v>
      </c>
      <c r="E739" s="38" t="s">
        <v>1514</v>
      </c>
      <c r="F739" s="40" t="s">
        <v>1519</v>
      </c>
      <c r="G739" s="40" t="s">
        <v>1520</v>
      </c>
      <c r="H739" s="40" t="s">
        <v>1523</v>
      </c>
      <c r="I739" s="40" t="s">
        <v>2135</v>
      </c>
      <c r="J739" s="46">
        <v>2750.85</v>
      </c>
      <c r="K739" s="3">
        <v>7</v>
      </c>
      <c r="L739" s="43">
        <v>0.2</v>
      </c>
      <c r="M739" s="48">
        <v>851.06</v>
      </c>
      <c r="N739" s="48" t="str">
        <f>IF(Table3[[#This Row],[Profit]]&lt;0,"Loss","Profit")</f>
        <v>Profit</v>
      </c>
    </row>
    <row r="740" spans="1:14" ht="15.6" x14ac:dyDescent="0.3">
      <c r="A740" s="31" t="s">
        <v>665</v>
      </c>
      <c r="B740" s="33">
        <v>46149</v>
      </c>
      <c r="C740" s="33">
        <v>46155</v>
      </c>
      <c r="D740" s="54" t="s">
        <v>1418</v>
      </c>
      <c r="E740" s="38" t="s">
        <v>1515</v>
      </c>
      <c r="F740" s="40" t="s">
        <v>1517</v>
      </c>
      <c r="G740" s="40" t="s">
        <v>1522</v>
      </c>
      <c r="H740" s="40" t="s">
        <v>1531</v>
      </c>
      <c r="I740" s="40" t="s">
        <v>2158</v>
      </c>
      <c r="J740" s="46">
        <v>4491.0200000000004</v>
      </c>
      <c r="K740" s="3">
        <v>3</v>
      </c>
      <c r="L740" s="43">
        <v>0</v>
      </c>
      <c r="M740" s="48">
        <v>904.67</v>
      </c>
      <c r="N740" s="48" t="str">
        <f>IF(Table3[[#This Row],[Profit]]&lt;0,"Loss","Profit")</f>
        <v>Profit</v>
      </c>
    </row>
    <row r="741" spans="1:14" ht="15.6" x14ac:dyDescent="0.3">
      <c r="A741" s="31" t="s">
        <v>241</v>
      </c>
      <c r="B741" s="33">
        <v>46156</v>
      </c>
      <c r="C741" s="33">
        <v>46157</v>
      </c>
      <c r="D741" s="54" t="s">
        <v>1005</v>
      </c>
      <c r="E741" s="38" t="s">
        <v>1515</v>
      </c>
      <c r="F741" s="40" t="s">
        <v>1519</v>
      </c>
      <c r="G741" s="40" t="s">
        <v>1521</v>
      </c>
      <c r="H741" s="40" t="s">
        <v>1526</v>
      </c>
      <c r="I741" s="40" t="s">
        <v>1757</v>
      </c>
      <c r="J741" s="46">
        <v>2032.88</v>
      </c>
      <c r="K741" s="3">
        <v>10</v>
      </c>
      <c r="L741" s="43">
        <v>0.2</v>
      </c>
      <c r="M741" s="48">
        <v>-188.94</v>
      </c>
      <c r="N741" s="48" t="str">
        <f>IF(Table3[[#This Row],[Profit]]&lt;0,"Loss","Profit")</f>
        <v>Loss</v>
      </c>
    </row>
    <row r="742" spans="1:14" ht="15.6" x14ac:dyDescent="0.3">
      <c r="A742" s="31" t="s">
        <v>116</v>
      </c>
      <c r="B742" s="33">
        <v>46150</v>
      </c>
      <c r="C742" s="33">
        <v>46158</v>
      </c>
      <c r="D742" s="54" t="s">
        <v>884</v>
      </c>
      <c r="E742" s="38" t="s">
        <v>1514</v>
      </c>
      <c r="F742" s="40" t="s">
        <v>1518</v>
      </c>
      <c r="G742" s="40" t="s">
        <v>1520</v>
      </c>
      <c r="H742" s="40" t="s">
        <v>1525</v>
      </c>
      <c r="I742" s="40" t="s">
        <v>1634</v>
      </c>
      <c r="J742" s="46">
        <v>2095.58</v>
      </c>
      <c r="K742" s="3">
        <v>4</v>
      </c>
      <c r="L742" s="43">
        <v>0.2</v>
      </c>
      <c r="M742" s="48">
        <v>-2.14</v>
      </c>
      <c r="N742" s="48" t="str">
        <f>IF(Table3[[#This Row],[Profit]]&lt;0,"Loss","Profit")</f>
        <v>Loss</v>
      </c>
    </row>
    <row r="743" spans="1:14" ht="15.6" x14ac:dyDescent="0.3">
      <c r="A743" s="31" t="s">
        <v>33</v>
      </c>
      <c r="B743" s="33">
        <v>46154</v>
      </c>
      <c r="C743" s="33">
        <v>46158</v>
      </c>
      <c r="D743" s="54" t="s">
        <v>802</v>
      </c>
      <c r="E743" s="38" t="s">
        <v>1514</v>
      </c>
      <c r="F743" s="40" t="s">
        <v>1518</v>
      </c>
      <c r="G743" s="40" t="s">
        <v>1522</v>
      </c>
      <c r="H743" s="40" t="s">
        <v>1527</v>
      </c>
      <c r="I743" s="40" t="s">
        <v>1552</v>
      </c>
      <c r="J743" s="46">
        <v>3579.1</v>
      </c>
      <c r="K743" s="3">
        <v>7</v>
      </c>
      <c r="L743" s="43">
        <v>0.2</v>
      </c>
      <c r="M743" s="48">
        <v>563.47</v>
      </c>
      <c r="N743" s="48" t="str">
        <f>IF(Table3[[#This Row],[Profit]]&lt;0,"Loss","Profit")</f>
        <v>Profit</v>
      </c>
    </row>
    <row r="744" spans="1:14" ht="15.6" x14ac:dyDescent="0.3">
      <c r="A744" s="31" t="s">
        <v>54</v>
      </c>
      <c r="B744" s="33">
        <v>46158</v>
      </c>
      <c r="C744" s="33">
        <v>46159</v>
      </c>
      <c r="D744" s="54" t="s">
        <v>823</v>
      </c>
      <c r="E744" s="38" t="s">
        <v>1513</v>
      </c>
      <c r="F744" s="40" t="s">
        <v>1516</v>
      </c>
      <c r="G744" s="40" t="s">
        <v>1521</v>
      </c>
      <c r="H744" s="40" t="s">
        <v>1530</v>
      </c>
      <c r="I744" s="40" t="s">
        <v>1573</v>
      </c>
      <c r="J744" s="46">
        <v>1575.88</v>
      </c>
      <c r="K744" s="3">
        <v>1</v>
      </c>
      <c r="L744" s="43">
        <v>0.1</v>
      </c>
      <c r="M744" s="48">
        <v>-133.1</v>
      </c>
      <c r="N744" s="48" t="str">
        <f>IF(Table3[[#This Row],[Profit]]&lt;0,"Loss","Profit")</f>
        <v>Loss</v>
      </c>
    </row>
    <row r="745" spans="1:14" ht="15.6" x14ac:dyDescent="0.3">
      <c r="A745" s="31" t="s">
        <v>636</v>
      </c>
      <c r="B745" s="33">
        <v>46154</v>
      </c>
      <c r="C745" s="33">
        <v>46164</v>
      </c>
      <c r="D745" s="54" t="s">
        <v>1390</v>
      </c>
      <c r="E745" s="38" t="s">
        <v>1513</v>
      </c>
      <c r="F745" s="40" t="s">
        <v>1517</v>
      </c>
      <c r="G745" s="40" t="s">
        <v>1520</v>
      </c>
      <c r="H745" s="40" t="s">
        <v>1523</v>
      </c>
      <c r="I745" s="40" t="s">
        <v>2132</v>
      </c>
      <c r="J745" s="46">
        <v>1821.92</v>
      </c>
      <c r="K745" s="3">
        <v>8</v>
      </c>
      <c r="L745" s="43">
        <v>0.2</v>
      </c>
      <c r="M745" s="48">
        <v>302.23</v>
      </c>
      <c r="N745" s="48" t="str">
        <f>IF(Table3[[#This Row],[Profit]]&lt;0,"Loss","Profit")</f>
        <v>Profit</v>
      </c>
    </row>
    <row r="746" spans="1:14" ht="15.6" x14ac:dyDescent="0.3">
      <c r="A746" s="31" t="s">
        <v>315</v>
      </c>
      <c r="B746" s="33">
        <v>46161</v>
      </c>
      <c r="C746" s="33">
        <v>46164</v>
      </c>
      <c r="D746" s="54" t="s">
        <v>1076</v>
      </c>
      <c r="E746" s="38" t="s">
        <v>1514</v>
      </c>
      <c r="F746" s="40" t="s">
        <v>1516</v>
      </c>
      <c r="G746" s="40" t="s">
        <v>1522</v>
      </c>
      <c r="H746" s="40" t="s">
        <v>1529</v>
      </c>
      <c r="I746" s="40" t="s">
        <v>1827</v>
      </c>
      <c r="J746" s="46">
        <v>1931</v>
      </c>
      <c r="K746" s="3">
        <v>3</v>
      </c>
      <c r="L746" s="43">
        <v>0.2</v>
      </c>
      <c r="M746" s="48">
        <v>27.6</v>
      </c>
      <c r="N746" s="48" t="str">
        <f>IF(Table3[[#This Row],[Profit]]&lt;0,"Loss","Profit")</f>
        <v>Profit</v>
      </c>
    </row>
    <row r="747" spans="1:14" ht="15.6" x14ac:dyDescent="0.3">
      <c r="A747" s="31" t="s">
        <v>529</v>
      </c>
      <c r="B747" s="33">
        <v>46159</v>
      </c>
      <c r="C747" s="33">
        <v>46165</v>
      </c>
      <c r="D747" s="54" t="s">
        <v>1284</v>
      </c>
      <c r="E747" s="38" t="s">
        <v>1513</v>
      </c>
      <c r="F747" s="40" t="s">
        <v>1519</v>
      </c>
      <c r="G747" s="40" t="s">
        <v>1521</v>
      </c>
      <c r="H747" s="40" t="s">
        <v>1530</v>
      </c>
      <c r="I747" s="40" t="s">
        <v>2030</v>
      </c>
      <c r="J747" s="46">
        <v>1098.0999999999999</v>
      </c>
      <c r="K747" s="3">
        <v>9</v>
      </c>
      <c r="L747" s="43">
        <v>0.05</v>
      </c>
      <c r="M747" s="48">
        <v>-122.41</v>
      </c>
      <c r="N747" s="48" t="str">
        <f>IF(Table3[[#This Row],[Profit]]&lt;0,"Loss","Profit")</f>
        <v>Loss</v>
      </c>
    </row>
    <row r="748" spans="1:14" ht="15.6" x14ac:dyDescent="0.3">
      <c r="A748" s="31" t="s">
        <v>744</v>
      </c>
      <c r="B748" s="33">
        <v>46159</v>
      </c>
      <c r="C748" s="33">
        <v>46167</v>
      </c>
      <c r="D748" s="54" t="s">
        <v>1496</v>
      </c>
      <c r="E748" s="38" t="s">
        <v>1514</v>
      </c>
      <c r="F748" s="40" t="s">
        <v>1516</v>
      </c>
      <c r="G748" s="40" t="s">
        <v>1522</v>
      </c>
      <c r="H748" s="40" t="s">
        <v>1527</v>
      </c>
      <c r="I748" s="40" t="s">
        <v>2229</v>
      </c>
      <c r="J748" s="46">
        <v>2911.8</v>
      </c>
      <c r="K748" s="3">
        <v>10</v>
      </c>
      <c r="L748" s="43">
        <v>0</v>
      </c>
      <c r="M748" s="48">
        <v>468.73</v>
      </c>
      <c r="N748" s="48" t="str">
        <f>IF(Table3[[#This Row],[Profit]]&lt;0,"Loss","Profit")</f>
        <v>Profit</v>
      </c>
    </row>
    <row r="749" spans="1:14" ht="15.6" x14ac:dyDescent="0.3">
      <c r="A749" s="31" t="s">
        <v>486</v>
      </c>
      <c r="B749" s="33">
        <v>46160</v>
      </c>
      <c r="C749" s="33">
        <v>46169</v>
      </c>
      <c r="D749" s="54" t="s">
        <v>1242</v>
      </c>
      <c r="E749" s="38" t="s">
        <v>1515</v>
      </c>
      <c r="F749" s="40" t="s">
        <v>1519</v>
      </c>
      <c r="G749" s="40" t="s">
        <v>1522</v>
      </c>
      <c r="H749" s="40" t="s">
        <v>1527</v>
      </c>
      <c r="I749" s="40" t="s">
        <v>1989</v>
      </c>
      <c r="J749" s="46">
        <v>3849.27</v>
      </c>
      <c r="K749" s="3">
        <v>10</v>
      </c>
      <c r="L749" s="43">
        <v>0.2</v>
      </c>
      <c r="M749" s="48">
        <v>426.33</v>
      </c>
      <c r="N749" s="48" t="str">
        <f>IF(Table3[[#This Row],[Profit]]&lt;0,"Loss","Profit")</f>
        <v>Profit</v>
      </c>
    </row>
    <row r="750" spans="1:14" ht="15.6" x14ac:dyDescent="0.3">
      <c r="A750" s="31" t="s">
        <v>360</v>
      </c>
      <c r="B750" s="33">
        <v>46163</v>
      </c>
      <c r="C750" s="33">
        <v>46171</v>
      </c>
      <c r="D750" s="54" t="s">
        <v>1119</v>
      </c>
      <c r="E750" s="38" t="s">
        <v>1514</v>
      </c>
      <c r="F750" s="40" t="s">
        <v>1517</v>
      </c>
      <c r="G750" s="40" t="s">
        <v>1522</v>
      </c>
      <c r="H750" s="40" t="s">
        <v>1527</v>
      </c>
      <c r="I750" s="40" t="s">
        <v>1871</v>
      </c>
      <c r="J750" s="46">
        <v>130.59</v>
      </c>
      <c r="K750" s="3">
        <v>3</v>
      </c>
      <c r="L750" s="43">
        <v>0.15</v>
      </c>
      <c r="M750" s="48">
        <v>6.67</v>
      </c>
      <c r="N750" s="48" t="str">
        <f>IF(Table3[[#This Row],[Profit]]&lt;0,"Loss","Profit")</f>
        <v>Profit</v>
      </c>
    </row>
    <row r="751" spans="1:14" ht="15.6" x14ac:dyDescent="0.3">
      <c r="A751" s="31" t="s">
        <v>475</v>
      </c>
      <c r="B751" s="33">
        <v>46165</v>
      </c>
      <c r="C751" s="33">
        <v>46173</v>
      </c>
      <c r="D751" s="54" t="s">
        <v>1232</v>
      </c>
      <c r="E751" s="38" t="s">
        <v>1513</v>
      </c>
      <c r="F751" s="40" t="s">
        <v>1519</v>
      </c>
      <c r="G751" s="40" t="s">
        <v>1522</v>
      </c>
      <c r="H751" s="40" t="s">
        <v>1531</v>
      </c>
      <c r="I751" s="40" t="s">
        <v>1978</v>
      </c>
      <c r="J751" s="46">
        <v>1033.3</v>
      </c>
      <c r="K751" s="3">
        <v>4</v>
      </c>
      <c r="L751" s="43">
        <v>0.1</v>
      </c>
      <c r="M751" s="48">
        <v>265.89</v>
      </c>
      <c r="N751" s="49" t="str">
        <f>IF(Table3[[#This Row],[Profit]]&lt;0,"Loss","Profit")</f>
        <v>Profit</v>
      </c>
    </row>
    <row r="752" spans="1:14" x14ac:dyDescent="0.3">
      <c r="A752"/>
      <c r="B752"/>
      <c r="C752"/>
      <c r="D752" s="9"/>
      <c r="E752"/>
      <c r="F752"/>
      <c r="G752"/>
      <c r="H752"/>
      <c r="I752"/>
      <c r="J752"/>
      <c r="L752"/>
      <c r="M752"/>
    </row>
    <row r="753" spans="1:13" x14ac:dyDescent="0.3">
      <c r="A753"/>
      <c r="B753"/>
      <c r="C753"/>
      <c r="D753" s="9"/>
      <c r="E753"/>
      <c r="F753"/>
      <c r="G753"/>
      <c r="H753"/>
      <c r="I753"/>
      <c r="J753"/>
      <c r="L753"/>
      <c r="M753"/>
    </row>
    <row r="754" spans="1:13" x14ac:dyDescent="0.3">
      <c r="A754"/>
      <c r="B754"/>
      <c r="C754"/>
      <c r="D754" s="9"/>
      <c r="E754"/>
      <c r="F754"/>
      <c r="G754"/>
      <c r="H754"/>
      <c r="I754"/>
      <c r="J754"/>
      <c r="L754"/>
      <c r="M754"/>
    </row>
    <row r="755" spans="1:13" x14ac:dyDescent="0.3">
      <c r="A755"/>
      <c r="B755"/>
      <c r="C755"/>
      <c r="D755" s="9"/>
      <c r="E755"/>
      <c r="F755"/>
      <c r="G755"/>
      <c r="H755"/>
      <c r="I755"/>
      <c r="J755"/>
      <c r="L755"/>
      <c r="M755"/>
    </row>
    <row r="756" spans="1:13" x14ac:dyDescent="0.3">
      <c r="A756"/>
      <c r="B756"/>
      <c r="C756"/>
      <c r="D756" s="9"/>
      <c r="E756"/>
      <c r="F756"/>
      <c r="G756"/>
      <c r="H756"/>
      <c r="I756"/>
      <c r="J756"/>
      <c r="L756"/>
      <c r="M756"/>
    </row>
    <row r="757" spans="1:13" x14ac:dyDescent="0.3">
      <c r="A757"/>
      <c r="B757"/>
      <c r="C757"/>
      <c r="D757" s="9"/>
      <c r="E757"/>
      <c r="F757"/>
      <c r="G757"/>
      <c r="H757"/>
      <c r="I757"/>
      <c r="J757"/>
      <c r="L757"/>
      <c r="M757"/>
    </row>
    <row r="758" spans="1:13" x14ac:dyDescent="0.3">
      <c r="A758"/>
      <c r="B758"/>
      <c r="C758"/>
      <c r="D758" s="9"/>
      <c r="E758"/>
      <c r="F758"/>
      <c r="G758"/>
      <c r="H758"/>
      <c r="I758"/>
      <c r="J758"/>
      <c r="L758"/>
      <c r="M758"/>
    </row>
    <row r="759" spans="1:13" x14ac:dyDescent="0.3">
      <c r="A759"/>
      <c r="B759"/>
      <c r="C759"/>
      <c r="D759" s="9"/>
      <c r="E759"/>
      <c r="F759"/>
      <c r="G759"/>
      <c r="H759"/>
      <c r="I759"/>
      <c r="J759"/>
      <c r="L759"/>
      <c r="M759"/>
    </row>
    <row r="760" spans="1:13" x14ac:dyDescent="0.3">
      <c r="A760"/>
      <c r="B760"/>
      <c r="C760"/>
      <c r="D760" s="9"/>
      <c r="E760"/>
      <c r="F760"/>
      <c r="G760"/>
      <c r="H760"/>
      <c r="I760"/>
      <c r="J760"/>
      <c r="L760"/>
      <c r="M760"/>
    </row>
    <row r="761" spans="1:13" x14ac:dyDescent="0.3">
      <c r="A761"/>
      <c r="B761"/>
      <c r="C761"/>
      <c r="D761" s="9"/>
      <c r="E761"/>
      <c r="F761"/>
      <c r="G761"/>
      <c r="H761"/>
      <c r="I761"/>
      <c r="J761"/>
      <c r="L761"/>
      <c r="M761"/>
    </row>
    <row r="762" spans="1:13" x14ac:dyDescent="0.3">
      <c r="A762"/>
      <c r="B762"/>
      <c r="C762"/>
      <c r="D762" s="9"/>
      <c r="E762"/>
      <c r="F762"/>
      <c r="G762"/>
      <c r="H762"/>
      <c r="I762"/>
      <c r="J762"/>
      <c r="L762"/>
      <c r="M762"/>
    </row>
    <row r="763" spans="1:13" x14ac:dyDescent="0.3">
      <c r="A763"/>
      <c r="B763"/>
      <c r="C763"/>
      <c r="D763" s="9"/>
      <c r="E763"/>
      <c r="F763"/>
      <c r="G763"/>
      <c r="H763"/>
      <c r="I763"/>
      <c r="J763"/>
      <c r="L763"/>
      <c r="M763"/>
    </row>
    <row r="764" spans="1:13" x14ac:dyDescent="0.3">
      <c r="A764"/>
      <c r="B764"/>
      <c r="C764"/>
      <c r="D764" s="9"/>
      <c r="E764"/>
      <c r="F764"/>
      <c r="G764"/>
      <c r="H764"/>
      <c r="I764"/>
      <c r="J764"/>
      <c r="L764"/>
      <c r="M764"/>
    </row>
    <row r="765" spans="1:13" x14ac:dyDescent="0.3">
      <c r="A765"/>
      <c r="B765"/>
      <c r="C765"/>
      <c r="D765" s="9"/>
      <c r="E765"/>
      <c r="F765"/>
      <c r="G765"/>
      <c r="H765"/>
      <c r="I765"/>
      <c r="J765"/>
      <c r="L765"/>
      <c r="M765"/>
    </row>
    <row r="766" spans="1:13" x14ac:dyDescent="0.3">
      <c r="A766"/>
      <c r="B766"/>
      <c r="C766"/>
      <c r="D766" s="9"/>
      <c r="E766"/>
      <c r="F766"/>
      <c r="G766"/>
      <c r="H766"/>
      <c r="I766"/>
      <c r="J766"/>
      <c r="L766"/>
      <c r="M766"/>
    </row>
    <row r="767" spans="1:13" x14ac:dyDescent="0.3">
      <c r="A767"/>
      <c r="B767"/>
      <c r="C767"/>
      <c r="D767" s="9"/>
      <c r="E767"/>
      <c r="F767"/>
      <c r="G767"/>
      <c r="H767"/>
      <c r="I767"/>
      <c r="J767"/>
      <c r="L767"/>
      <c r="M767"/>
    </row>
    <row r="768" spans="1:13" x14ac:dyDescent="0.3">
      <c r="A768"/>
      <c r="B768"/>
      <c r="C768"/>
      <c r="D768" s="9"/>
      <c r="E768"/>
      <c r="F768"/>
      <c r="G768"/>
      <c r="H768"/>
      <c r="I768"/>
      <c r="J768"/>
      <c r="L768"/>
      <c r="M768"/>
    </row>
    <row r="769" spans="1:13" x14ac:dyDescent="0.3">
      <c r="A769"/>
      <c r="B769"/>
      <c r="C769"/>
      <c r="D769" s="9"/>
      <c r="E769"/>
      <c r="F769"/>
      <c r="G769"/>
      <c r="H769"/>
      <c r="I769"/>
      <c r="J769"/>
      <c r="L769"/>
      <c r="M769"/>
    </row>
    <row r="770" spans="1:13" x14ac:dyDescent="0.3">
      <c r="A770"/>
      <c r="B770"/>
      <c r="C770"/>
      <c r="D770" s="9"/>
      <c r="E770"/>
      <c r="F770"/>
      <c r="G770"/>
      <c r="H770"/>
      <c r="I770"/>
      <c r="J770"/>
      <c r="L770"/>
      <c r="M770"/>
    </row>
    <row r="771" spans="1:13" x14ac:dyDescent="0.3">
      <c r="A771"/>
      <c r="B771"/>
      <c r="C771"/>
      <c r="D771" s="9"/>
      <c r="E771"/>
      <c r="F771"/>
      <c r="G771"/>
      <c r="H771"/>
      <c r="I771"/>
      <c r="J771"/>
      <c r="L771"/>
      <c r="M771"/>
    </row>
  </sheetData>
  <conditionalFormatting sqref="A1:A751 A772:A1048576">
    <cfRule type="duplicateValues" dxfId="0" priority="1"/>
    <cfRule type="duplicateValues" priority="4"/>
  </conditionalFormatting>
  <conditionalFormatting sqref="E1:E751 E772:E1048576">
    <cfRule type="duplicateValues" priority="2"/>
    <cfRule type="duplicateValues" priority="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74F0-9280-47A6-AA8C-64B0F10F4105}">
  <dimension ref="A3:K24"/>
  <sheetViews>
    <sheetView workbookViewId="0">
      <selection activeCell="H3" sqref="H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5.88671875" bestFit="1" customWidth="1"/>
    <col min="4" max="4" width="13.109375" bestFit="1" customWidth="1"/>
    <col min="5" max="5" width="11.6640625" bestFit="1" customWidth="1"/>
    <col min="6" max="6" width="12.109375" bestFit="1" customWidth="1"/>
    <col min="7" max="7" width="12.5546875" bestFit="1" customWidth="1"/>
    <col min="8" max="8" width="12.109375" bestFit="1" customWidth="1"/>
    <col min="10" max="10" width="13.109375" bestFit="1" customWidth="1"/>
    <col min="11" max="11" width="18.109375" bestFit="1" customWidth="1"/>
  </cols>
  <sheetData>
    <row r="3" spans="1:11" x14ac:dyDescent="0.3">
      <c r="A3" s="51" t="s">
        <v>2260</v>
      </c>
      <c r="B3" t="s">
        <v>2258</v>
      </c>
      <c r="D3" s="51" t="s">
        <v>2260</v>
      </c>
      <c r="E3" s="51" t="s">
        <v>2259</v>
      </c>
      <c r="G3" s="51" t="s">
        <v>2260</v>
      </c>
      <c r="H3" s="51" t="s">
        <v>2258</v>
      </c>
      <c r="J3" s="51" t="s">
        <v>2260</v>
      </c>
      <c r="K3" s="51" t="s">
        <v>2258</v>
      </c>
    </row>
    <row r="4" spans="1:11" x14ac:dyDescent="0.3">
      <c r="A4" s="9" t="s">
        <v>1519</v>
      </c>
      <c r="B4" s="52">
        <v>33519.380000000005</v>
      </c>
      <c r="D4" s="9" t="s">
        <v>1519</v>
      </c>
      <c r="E4" s="52">
        <v>503502.56000000011</v>
      </c>
      <c r="G4" s="9" t="s">
        <v>1513</v>
      </c>
      <c r="H4" s="52">
        <v>38390.509999999995</v>
      </c>
      <c r="J4" s="9" t="s">
        <v>1522</v>
      </c>
      <c r="K4" s="52">
        <v>52988.840000000018</v>
      </c>
    </row>
    <row r="5" spans="1:11" x14ac:dyDescent="0.3">
      <c r="A5" s="9" t="s">
        <v>1516</v>
      </c>
      <c r="B5" s="52">
        <v>25948.619999999988</v>
      </c>
      <c r="D5" s="9" t="s">
        <v>1516</v>
      </c>
      <c r="E5" s="52">
        <v>412491.75999999983</v>
      </c>
      <c r="G5" s="9" t="s">
        <v>1514</v>
      </c>
      <c r="H5" s="52">
        <v>48388.25</v>
      </c>
      <c r="J5" s="9" t="s">
        <v>1520</v>
      </c>
      <c r="K5" s="52">
        <v>43084.210000000006</v>
      </c>
    </row>
    <row r="6" spans="1:11" x14ac:dyDescent="0.3">
      <c r="A6" s="9" t="s">
        <v>1517</v>
      </c>
      <c r="B6" s="52">
        <v>38760.630000000005</v>
      </c>
      <c r="D6" s="9" t="s">
        <v>1517</v>
      </c>
      <c r="E6" s="52">
        <v>433256.42999999976</v>
      </c>
      <c r="G6" s="9" t="s">
        <v>1515</v>
      </c>
      <c r="H6" s="52">
        <v>53278.759999999987</v>
      </c>
      <c r="J6" s="9" t="s">
        <v>1521</v>
      </c>
      <c r="K6" s="52">
        <v>43984.47</v>
      </c>
    </row>
    <row r="7" spans="1:11" x14ac:dyDescent="0.3">
      <c r="A7" s="9" t="s">
        <v>1518</v>
      </c>
      <c r="B7" s="52">
        <v>41828.890000000007</v>
      </c>
      <c r="D7" s="9" t="s">
        <v>1518</v>
      </c>
      <c r="E7" s="52">
        <v>531022.96000000008</v>
      </c>
      <c r="G7" s="9" t="s">
        <v>2261</v>
      </c>
      <c r="H7" s="52">
        <v>140057.51999999999</v>
      </c>
      <c r="J7" s="9" t="s">
        <v>2261</v>
      </c>
      <c r="K7" s="52">
        <v>140057.52000000002</v>
      </c>
    </row>
    <row r="8" spans="1:11" x14ac:dyDescent="0.3">
      <c r="A8" s="9" t="s">
        <v>2261</v>
      </c>
      <c r="B8" s="52">
        <v>140057.52000000002</v>
      </c>
      <c r="D8" s="9" t="s">
        <v>2261</v>
      </c>
      <c r="E8" s="52">
        <v>1880273.71</v>
      </c>
    </row>
    <row r="11" spans="1:11" x14ac:dyDescent="0.3">
      <c r="A11" s="51" t="s">
        <v>2260</v>
      </c>
      <c r="B11" t="s">
        <v>2262</v>
      </c>
      <c r="D11" s="51" t="s">
        <v>2260</v>
      </c>
      <c r="E11" t="s">
        <v>2259</v>
      </c>
      <c r="G11" s="51" t="s">
        <v>2260</v>
      </c>
      <c r="H11" t="s">
        <v>2258</v>
      </c>
      <c r="I11" s="51"/>
    </row>
    <row r="12" spans="1:11" x14ac:dyDescent="0.3">
      <c r="A12" s="9" t="s">
        <v>1519</v>
      </c>
      <c r="B12" s="52">
        <v>192</v>
      </c>
      <c r="D12" s="9" t="s">
        <v>1522</v>
      </c>
      <c r="E12" s="52">
        <v>644115.56000000041</v>
      </c>
      <c r="G12" s="9" t="s">
        <v>1519</v>
      </c>
      <c r="H12" s="52">
        <v>33519.380000000012</v>
      </c>
    </row>
    <row r="13" spans="1:11" x14ac:dyDescent="0.3">
      <c r="A13" s="9" t="s">
        <v>1516</v>
      </c>
      <c r="B13" s="52">
        <v>166</v>
      </c>
      <c r="D13" s="9" t="s">
        <v>1520</v>
      </c>
      <c r="E13" s="52">
        <v>584271.08000000031</v>
      </c>
      <c r="G13" s="53" t="s">
        <v>2263</v>
      </c>
      <c r="H13" s="52">
        <v>-18408.21</v>
      </c>
    </row>
    <row r="14" spans="1:11" x14ac:dyDescent="0.3">
      <c r="A14" s="9" t="s">
        <v>1517</v>
      </c>
      <c r="B14" s="52">
        <v>182</v>
      </c>
      <c r="D14" s="9" t="s">
        <v>1521</v>
      </c>
      <c r="E14" s="52">
        <v>651887.07000000007</v>
      </c>
      <c r="G14" s="53" t="s">
        <v>12</v>
      </c>
      <c r="H14" s="52">
        <v>51927.590000000011</v>
      </c>
    </row>
    <row r="15" spans="1:11" x14ac:dyDescent="0.3">
      <c r="A15" s="9" t="s">
        <v>1518</v>
      </c>
      <c r="B15" s="52">
        <v>210</v>
      </c>
      <c r="D15" s="9" t="s">
        <v>2261</v>
      </c>
      <c r="E15" s="52">
        <v>1880273.7100000007</v>
      </c>
      <c r="G15" s="9" t="s">
        <v>1516</v>
      </c>
      <c r="H15" s="52">
        <v>25948.62</v>
      </c>
    </row>
    <row r="16" spans="1:11" x14ac:dyDescent="0.3">
      <c r="A16" s="9" t="s">
        <v>2261</v>
      </c>
      <c r="B16" s="52">
        <v>750</v>
      </c>
      <c r="G16" s="53" t="s">
        <v>2263</v>
      </c>
      <c r="H16" s="52">
        <v>-14358.459999999995</v>
      </c>
    </row>
    <row r="17" spans="7:8" x14ac:dyDescent="0.3">
      <c r="G17" s="53" t="s">
        <v>12</v>
      </c>
      <c r="H17" s="52">
        <v>40307.079999999994</v>
      </c>
    </row>
    <row r="18" spans="7:8" x14ac:dyDescent="0.3">
      <c r="G18" s="9" t="s">
        <v>1517</v>
      </c>
      <c r="H18" s="52">
        <v>38760.630000000012</v>
      </c>
    </row>
    <row r="19" spans="7:8" x14ac:dyDescent="0.3">
      <c r="G19" s="53" t="s">
        <v>2263</v>
      </c>
      <c r="H19" s="52">
        <v>-12181.599999999997</v>
      </c>
    </row>
    <row r="20" spans="7:8" x14ac:dyDescent="0.3">
      <c r="G20" s="53" t="s">
        <v>12</v>
      </c>
      <c r="H20" s="52">
        <v>50942.23000000001</v>
      </c>
    </row>
    <row r="21" spans="7:8" x14ac:dyDescent="0.3">
      <c r="G21" s="9" t="s">
        <v>1518</v>
      </c>
      <c r="H21" s="52">
        <v>41828.890000000007</v>
      </c>
    </row>
    <row r="22" spans="7:8" x14ac:dyDescent="0.3">
      <c r="G22" s="53" t="s">
        <v>2263</v>
      </c>
      <c r="H22" s="52">
        <v>-21336.519999999997</v>
      </c>
    </row>
    <row r="23" spans="7:8" x14ac:dyDescent="0.3">
      <c r="G23" s="53" t="s">
        <v>12</v>
      </c>
      <c r="H23" s="52">
        <v>63165.41</v>
      </c>
    </row>
    <row r="24" spans="7:8" x14ac:dyDescent="0.3">
      <c r="G24" s="9" t="s">
        <v>2261</v>
      </c>
      <c r="H24" s="52">
        <v>140057.52000000005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4E8201-6E37-4BAC-ABC2-7BA884BA1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dummy</vt:lpstr>
      <vt:lpstr>data cleaning</vt:lpstr>
      <vt:lpstr>cleaned 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 Chandrika</cp:lastModifiedBy>
  <dcterms:created xsi:type="dcterms:W3CDTF">2026-05-25T17:29:17Z</dcterms:created>
  <dcterms:modified xsi:type="dcterms:W3CDTF">2026-05-29T16:20:16Z</dcterms:modified>
</cp:coreProperties>
</file>